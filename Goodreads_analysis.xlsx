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zivatel\Desktop\Dátová analýza\Goodreads\"/>
    </mc:Choice>
  </mc:AlternateContent>
  <xr:revisionPtr revIDLastSave="0" documentId="13_ncr:1_{879DF380-B87B-42C0-867D-4CB715E30835}" xr6:coauthVersionLast="47" xr6:coauthVersionMax="47" xr10:uidLastSave="{00000000-0000-0000-0000-000000000000}"/>
  <bookViews>
    <workbookView xWindow="23880" yWindow="-120" windowWidth="29040" windowHeight="15840" xr2:uid="{049EB3A8-76EE-451E-9BDF-3F18A2C74A2F}"/>
  </bookViews>
  <sheets>
    <sheet name="FaktBooks" sheetId="9" r:id="rId1"/>
    <sheet name="DimBookMetadata" sheetId="8" r:id="rId2"/>
    <sheet name="Goodreads_genres2" sheetId="7" r:id="rId3"/>
    <sheet name="Goodreads_analysis" sheetId="3" r:id="rId4"/>
    <sheet name="goodreads_library_export_7 6 20" sheetId="2" r:id="rId5"/>
    <sheet name="Sheet1" sheetId="1" r:id="rId6"/>
  </sheets>
  <definedNames>
    <definedName name="ExternalData_1" localSheetId="4" hidden="1">'goodreads_library_export_7 6 20'!$B$1:$S$759</definedName>
    <definedName name="ExternalData_2" localSheetId="3" hidden="1">Goodreads_analysis!$A$1:$U$759</definedName>
    <definedName name="ExternalData_3" localSheetId="2" hidden="1">Goodreads_genres2!$A$1:$D$759</definedName>
    <definedName name="ExternalData_4" localSheetId="1" hidden="1">DimBookMetadata!$A$1:$J$759</definedName>
    <definedName name="ExternalData_5" localSheetId="0" hidden="1">FaktBooks!$A$1:$Y$759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747" i="2" l="1"/>
  <c r="H742" i="2"/>
  <c r="H741" i="2"/>
  <c r="H733" i="2"/>
  <c r="H754" i="2"/>
  <c r="H736" i="2"/>
  <c r="H730" i="2"/>
  <c r="H725" i="2"/>
  <c r="H722" i="2"/>
  <c r="H721" i="2"/>
  <c r="H746" i="2"/>
  <c r="H744" i="2"/>
  <c r="H689" i="2"/>
  <c r="H663" i="2"/>
  <c r="H655" i="2"/>
  <c r="H651" i="2"/>
  <c r="H647" i="2"/>
  <c r="H646" i="2"/>
  <c r="H639" i="2"/>
  <c r="H640" i="2"/>
  <c r="H637" i="2"/>
  <c r="H622" i="2"/>
  <c r="H612" i="2"/>
  <c r="H605" i="2"/>
  <c r="H592" i="2"/>
  <c r="H578" i="2"/>
  <c r="H560" i="2"/>
  <c r="H558" i="2"/>
  <c r="H556" i="2"/>
  <c r="H555" i="2"/>
  <c r="H549" i="2"/>
  <c r="H542" i="2"/>
  <c r="H467" i="2"/>
  <c r="H453" i="2"/>
  <c r="H443" i="2"/>
  <c r="H434" i="2"/>
  <c r="H426" i="2"/>
  <c r="H417" i="2"/>
  <c r="H372" i="2"/>
  <c r="H363" i="2"/>
  <c r="H358" i="2"/>
  <c r="H336" i="2"/>
  <c r="H328" i="2"/>
  <c r="H327" i="2"/>
  <c r="H320" i="2"/>
  <c r="H317" i="2"/>
  <c r="H309" i="2"/>
  <c r="H285" i="2"/>
  <c r="H284" i="2"/>
  <c r="H281" i="2"/>
  <c r="H261" i="2"/>
  <c r="H259" i="2"/>
  <c r="H187" i="2"/>
  <c r="H250" i="2"/>
  <c r="H217" i="2"/>
  <c r="H204" i="2"/>
  <c r="H193" i="2"/>
  <c r="H183" i="2"/>
  <c r="H135" i="2"/>
  <c r="H134" i="2"/>
  <c r="H99" i="2"/>
  <c r="H84" i="2"/>
  <c r="H80" i="2"/>
  <c r="H53" i="2"/>
  <c r="H42" i="2"/>
  <c r="H40" i="2"/>
  <c r="H38" i="2"/>
  <c r="H36" i="2"/>
  <c r="H28" i="2"/>
  <c r="H24" i="2"/>
  <c r="H2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327043-67ED-417D-B46D-0CFC518AFA56}" keepAlive="1" name="Query - DimBookMetadata" description="Connection to the 'DimBookMetadata' query in the workbook." type="5" refreshedVersion="8" background="1" saveData="1">
    <dbPr connection="Provider=Microsoft.Mashup.OleDb.1;Data Source=$Workbook$;Location=DimBookMetadata;Extended Properties=&quot;&quot;" command="SELECT * FROM [DimBookMetadata]"/>
  </connection>
  <connection id="2" xr16:uid="{CCB89F8E-7FAE-485A-A4E7-C787A31A206B}" keepAlive="1" name="Query - FaktBooks" description="Connection to the 'FaktBooks' query in the workbook." type="5" refreshedVersion="8" background="1" saveData="1">
    <dbPr connection="Provider=Microsoft.Mashup.OleDb.1;Data Source=$Workbook$;Location=FaktBooks;Extended Properties=&quot;&quot;" command="SELECT * FROM [FaktBooks]"/>
  </connection>
  <connection id="3" xr16:uid="{CDC361DB-FD4F-46BE-9DA8-AEF28C29638D}" keepAlive="1" name="Query - fnGoogleBooks" description="Connection to the 'fnGoogleBooks' query in the workbook." type="5" refreshedVersion="0" background="1">
    <dbPr connection="Provider=Microsoft.Mashup.OleDb.1;Data Source=$Workbook$;Location=fnGoogleBooks;Extended Properties=&quot;&quot;" command="SELECT * FROM [fnGoogleBooks]"/>
  </connection>
  <connection id="4" xr16:uid="{E0C8FA17-8D24-48C6-B674-74611C4FAF5D}" keepAlive="1" name="Query - Goodreads_analysis" description="Connection to the 'Goodreads_analysis' query in the workbook." type="5" refreshedVersion="8" background="1" saveData="1">
    <dbPr connection="Provider=Microsoft.Mashup.OleDb.1;Data Source=$Workbook$;Location=Goodreads_analysis;Extended Properties=&quot;&quot;" command="SELECT * FROM [Goodreads_analysis]"/>
  </connection>
  <connection id="5" xr16:uid="{908CE3E1-5A6C-4220-B4EC-0FE3FBB3CB52}" keepAlive="1" name="Query - Goodreads_Genres" description="Connection to the 'Goodreads_Genres' query in the workbook." type="5" refreshedVersion="0" background="1" saveData="1">
    <dbPr connection="Provider=Microsoft.Mashup.OleDb.1;Data Source=$Workbook$;Location=Goodreads_Genres;Extended Properties=&quot;&quot;" command="SELECT * FROM [Goodreads_Genres]"/>
  </connection>
  <connection id="6" xr16:uid="{BEF4756D-4E30-4A65-B5EC-35FBE8395240}" keepAlive="1" name="Query - goodreads_library_export_7 6 2026" description="Connection to the 'goodreads_library_export_7 6 2026' query in the workbook." type="5" refreshedVersion="8" background="1" saveData="1">
    <dbPr connection="Provider=Microsoft.Mashup.OleDb.1;Data Source=$Workbook$;Location=&quot;goodreads_library_export_7 6 2026&quot;;Extended Properties=&quot;&quot;" command="SELECT * FROM [goodreads_library_export_7 6 2026]"/>
  </connection>
</connections>
</file>

<file path=xl/sharedStrings.xml><?xml version="1.0" encoding="utf-8"?>
<sst xmlns="http://schemas.openxmlformats.org/spreadsheetml/2006/main" count="34685" uniqueCount="4180">
  <si>
    <t>Book Id</t>
  </si>
  <si>
    <t>Title</t>
  </si>
  <si>
    <t>Series</t>
  </si>
  <si>
    <t>Author</t>
  </si>
  <si>
    <t>Author l-f</t>
  </si>
  <si>
    <t>My Rating</t>
  </si>
  <si>
    <t>Binding</t>
  </si>
  <si>
    <t>Number of Pages</t>
  </si>
  <si>
    <t>Date Read</t>
  </si>
  <si>
    <t>Date Added</t>
  </si>
  <si>
    <t>Exclusive Shelf</t>
  </si>
  <si>
    <t xml:space="preserve">Stretnutie s Rámom </t>
  </si>
  <si>
    <t>Ráma, #1</t>
  </si>
  <si>
    <t>Arthur C. Clarke</t>
  </si>
  <si>
    <t>Clarke, Arthur C.</t>
  </si>
  <si>
    <t/>
  </si>
  <si>
    <t>read</t>
  </si>
  <si>
    <t>Standalone</t>
  </si>
  <si>
    <t>Boris Bajer</t>
  </si>
  <si>
    <t>Bajer, Boris</t>
  </si>
  <si>
    <t>Denisa Moravčík Debrecká</t>
  </si>
  <si>
    <t xml:space="preserve">Muž, ktorý hľadal svoj tieň  </t>
  </si>
  <si>
    <t>Millennium, #5</t>
  </si>
  <si>
    <t>David Lagercrantz</t>
  </si>
  <si>
    <t>Lagercrantz, David</t>
  </si>
  <si>
    <t xml:space="preserve">Mistborn: Finální říše </t>
  </si>
  <si>
    <t>Mistborn, #1</t>
  </si>
  <si>
    <t>Brandon Sanderson</t>
  </si>
  <si>
    <t>Sanderson, Brandon</t>
  </si>
  <si>
    <t>Paperback</t>
  </si>
  <si>
    <t>Nelly Möhle</t>
  </si>
  <si>
    <t>Möhle, Nelly</t>
  </si>
  <si>
    <t>Dievča, ktoré musí zomrieť</t>
  </si>
  <si>
    <t xml:space="preserve">Čarodějnice </t>
  </si>
  <si>
    <t>Patrik Hedström, #10</t>
  </si>
  <si>
    <t>Camilla Läckberg</t>
  </si>
  <si>
    <t>Läckberg, Camilla</t>
  </si>
  <si>
    <t xml:space="preserve">Dievča, ktoré uviazlo v pavúčej sieti </t>
  </si>
  <si>
    <t>Millennium, #4</t>
  </si>
  <si>
    <t>Stieg Larsson</t>
  </si>
  <si>
    <t xml:space="preserve">Krotitel </t>
  </si>
  <si>
    <t>Erika Falcková &amp; Patrik Hedström, #9</t>
  </si>
  <si>
    <t xml:space="preserve">Andělíčkářka </t>
  </si>
  <si>
    <t>Patrik Hedström, #8</t>
  </si>
  <si>
    <t xml:space="preserve">Lietajúce dobrodružstvá </t>
  </si>
  <si>
    <t>Čarovná Záhrada, #2</t>
  </si>
  <si>
    <t xml:space="preserve">Strážce majáku </t>
  </si>
  <si>
    <t>Patrik Hedström, #7</t>
  </si>
  <si>
    <t>Monine oči</t>
  </si>
  <si>
    <t>Thomas Schlesser</t>
  </si>
  <si>
    <t>Schlesser, Thomas</t>
  </si>
  <si>
    <t>Večírek lhářů</t>
  </si>
  <si>
    <t>Kelsey  Cox</t>
  </si>
  <si>
    <t>Cox, Kelsey</t>
  </si>
  <si>
    <t>Navždy plynule: Jak se rychle naučit cizí jazyk a nikdy ho nezapomenout</t>
  </si>
  <si>
    <t>Gabriel Wyner</t>
  </si>
  <si>
    <t>Wyner, Gabriel</t>
  </si>
  <si>
    <t>ebook</t>
  </si>
  <si>
    <t>Morská panna</t>
  </si>
  <si>
    <t xml:space="preserve">Elsyino Tajemství </t>
  </si>
  <si>
    <t>Patrik Hedström, #5</t>
  </si>
  <si>
    <t>Pád</t>
  </si>
  <si>
    <t>Jozef Karika</t>
  </si>
  <si>
    <t>Karika, Jozef</t>
  </si>
  <si>
    <t>Vlastní spravedlnost</t>
  </si>
  <si>
    <t xml:space="preserve">Kameník </t>
  </si>
  <si>
    <t>Patrik Hedström, #3</t>
  </si>
  <si>
    <t xml:space="preserve">Tajomstvo modrého kvetu </t>
  </si>
  <si>
    <t>Čarovná Záhrada, #1</t>
  </si>
  <si>
    <t>Algot, Anna Stina a požehnaná pálenka</t>
  </si>
  <si>
    <t>Jonas Jonasson</t>
  </si>
  <si>
    <t>Jonasson, Jonas</t>
  </si>
  <si>
    <t xml:space="preserve">Kazatel </t>
  </si>
  <si>
    <t>Patrik Hedström, #2</t>
  </si>
  <si>
    <t>Sociopatka: Memoáre</t>
  </si>
  <si>
    <t>Patric Gagne</t>
  </si>
  <si>
    <t>Gagne, Patric</t>
  </si>
  <si>
    <t xml:space="preserve">Ledová princezna </t>
  </si>
  <si>
    <t>Patrik Hedström, #1</t>
  </si>
  <si>
    <t>Bezmocná, #2</t>
  </si>
  <si>
    <t>Lauren  Roberts</t>
  </si>
  <si>
    <t>Roberts, Lauren</t>
  </si>
  <si>
    <t>Madeline Miller</t>
  </si>
  <si>
    <t>Miller, Madeline</t>
  </si>
  <si>
    <t>Karen Inglis</t>
  </si>
  <si>
    <t>Inglis, Karen</t>
  </si>
  <si>
    <t>Amerikáni</t>
  </si>
  <si>
    <t>Tomáš Hudák</t>
  </si>
  <si>
    <t>Hudák, Tomáš</t>
  </si>
  <si>
    <t>William Warwick, #3</t>
  </si>
  <si>
    <t>Jeffrey Archer</t>
  </si>
  <si>
    <t>Archer, Jeffrey</t>
  </si>
  <si>
    <t xml:space="preserve">Přes písek </t>
  </si>
  <si>
    <t>The Sand Chronicles, #2</t>
  </si>
  <si>
    <t>Hugh Howey</t>
  </si>
  <si>
    <t>Howey, Hugh</t>
  </si>
  <si>
    <t>Blue Sisters</t>
  </si>
  <si>
    <t>Coco Mellors</t>
  </si>
  <si>
    <t>Mellors, Coco</t>
  </si>
  <si>
    <t>William Warwick, #2</t>
  </si>
  <si>
    <t>William Warwick, #1</t>
  </si>
  <si>
    <t>Jediná vec</t>
  </si>
  <si>
    <t>Gary Keller</t>
  </si>
  <si>
    <t>Keller, Gary</t>
  </si>
  <si>
    <t>The Clifton Chronicles, #7</t>
  </si>
  <si>
    <t>The Clifton Chronicles, #6</t>
  </si>
  <si>
    <t>Kazuo Ishiguro</t>
  </si>
  <si>
    <t>Ishiguro, Kazuo</t>
  </si>
  <si>
    <t>Písek</t>
  </si>
  <si>
    <t>The Clifton Chronicles, #5</t>
  </si>
  <si>
    <t xml:space="preserve">Příliš odvážné přání </t>
  </si>
  <si>
    <t>The Clifton Chronicles, #4</t>
  </si>
  <si>
    <t>Audiobook</t>
  </si>
  <si>
    <t>Psíček Eddie a prasiatko Hólms</t>
  </si>
  <si>
    <t>Pavel Chodúr</t>
  </si>
  <si>
    <t>Chodúr, Pavel</t>
  </si>
  <si>
    <t xml:space="preserve">Přísně střežené tajemství </t>
  </si>
  <si>
    <t>The Clifton Chronicles, #3</t>
  </si>
  <si>
    <t xml:space="preserve">Vzdušný zámok, ktorý vybuchol </t>
  </si>
  <si>
    <t>Millennium, #3</t>
  </si>
  <si>
    <t>Larsson, Stieg</t>
  </si>
  <si>
    <t>Emily St. John Mandel</t>
  </si>
  <si>
    <t>Mandel, Emily St. John</t>
  </si>
  <si>
    <t xml:space="preserve">Posledné tajomstvo </t>
  </si>
  <si>
    <t>Robert Langdon, #6</t>
  </si>
  <si>
    <t>Dan    Brown</t>
  </si>
  <si>
    <t>Brown, Dan</t>
  </si>
  <si>
    <t>Sarah J. Maas</t>
  </si>
  <si>
    <t>Maas, Sarah J.</t>
  </si>
  <si>
    <t xml:space="preserve">Dědička ohně </t>
  </si>
  <si>
    <t>Skleněný Trůn, #3</t>
  </si>
  <si>
    <t xml:space="preserve">Skandar a kostrová kliatba </t>
  </si>
  <si>
    <t>Skandar, #4</t>
  </si>
  <si>
    <t>A.F. Steadman</t>
  </si>
  <si>
    <t>Steadman, A.F.</t>
  </si>
  <si>
    <t xml:space="preserve">Bezmocná </t>
  </si>
  <si>
    <t>Bezmocná, #1</t>
  </si>
  <si>
    <t>Koľko stojí vaše šťastie?</t>
  </si>
  <si>
    <t>Juraj Hrbatý</t>
  </si>
  <si>
    <t>Hrbatý, Juraj</t>
  </si>
  <si>
    <t>Pseudohlad: Proč jíme, když nemáme hlad, a jak s tím skoncovat</t>
  </si>
  <si>
    <t>Judson Brewer</t>
  </si>
  <si>
    <t>Brewer, Judson</t>
  </si>
  <si>
    <t>Napospas</t>
  </si>
  <si>
    <t>Sarah Goodwin</t>
  </si>
  <si>
    <t>Goodwin, Sarah</t>
  </si>
  <si>
    <t xml:space="preserve">Otcovy hříchy </t>
  </si>
  <si>
    <t>The Clifton Chronicles, #2</t>
  </si>
  <si>
    <t>Za zamknutými dverami</t>
  </si>
  <si>
    <t>Freida McFadden</t>
  </si>
  <si>
    <t>McFadden, Freida</t>
  </si>
  <si>
    <t xml:space="preserve">Jen čas ukáže </t>
  </si>
  <si>
    <t>Cliftonova Kronika, #1</t>
  </si>
  <si>
    <t xml:space="preserve">Skandar a skúšky chaosu </t>
  </si>
  <si>
    <t>Skandar, #3</t>
  </si>
  <si>
    <t>Petr Ludwig</t>
  </si>
  <si>
    <t>Ludwig, Petr</t>
  </si>
  <si>
    <t>Chrissie Sains</t>
  </si>
  <si>
    <t>Sains, Chrissie</t>
  </si>
  <si>
    <t>Buona Base</t>
  </si>
  <si>
    <t>Base, Buona</t>
  </si>
  <si>
    <t xml:space="preserve">Slnečná sestra </t>
  </si>
  <si>
    <t>Sedem Sestier, #6</t>
  </si>
  <si>
    <t>Lucinda Riley</t>
  </si>
  <si>
    <t>Riley, Lucinda</t>
  </si>
  <si>
    <t xml:space="preserve">Sen o stromě </t>
  </si>
  <si>
    <t>Klimatické Kvarteto, #4</t>
  </si>
  <si>
    <t>Maja Lunde</t>
  </si>
  <si>
    <t>Lunde, Maja</t>
  </si>
  <si>
    <t>ZERO</t>
  </si>
  <si>
    <t>Marc Elsberg</t>
  </si>
  <si>
    <t>Elsberg, Marc</t>
  </si>
  <si>
    <t xml:space="preserve">Svobodnej národ </t>
  </si>
  <si>
    <t>Tonička Bolavá, #1 (Úžasná Zeměplocha, #30</t>
  </si>
  <si>
    <t>Terry Pratchett</t>
  </si>
  <si>
    <t>Pratchett, Terry</t>
  </si>
  <si>
    <t>Dievča z Neapola</t>
  </si>
  <si>
    <t>Lucinda Edmonds</t>
  </si>
  <si>
    <t>Edmonds, Lucinda</t>
  </si>
  <si>
    <t>Hranice</t>
  </si>
  <si>
    <t>Henry Cloud</t>
  </si>
  <si>
    <t>Cloud, Henry</t>
  </si>
  <si>
    <t xml:space="preserve">Zrkadlový muž </t>
  </si>
  <si>
    <t>Joona Linna, #8</t>
  </si>
  <si>
    <t>Lars Kepler</t>
  </si>
  <si>
    <t>Kepler, Lars</t>
  </si>
  <si>
    <t>Moderná psychológia</t>
  </si>
  <si>
    <t>Debrecká, Denisa Moravčík</t>
  </si>
  <si>
    <t>Taliansko a láska majú 3 spoločné veci - Cestovanie</t>
  </si>
  <si>
    <t>Smrť v divadle La Fenice</t>
  </si>
  <si>
    <t>Donna Leon</t>
  </si>
  <si>
    <t>Leon, Donna</t>
  </si>
  <si>
    <t xml:space="preserve">Pátý elefant </t>
  </si>
  <si>
    <t>Úžasná Zeměplocha, #24; Městská Hlídka, #5</t>
  </si>
  <si>
    <t>Jak na sítě: Ovládněte čtyři principy úspěchu na sociálních sítích</t>
  </si>
  <si>
    <t>Michelle Losekoot</t>
  </si>
  <si>
    <t>Losekoot, Michelle</t>
  </si>
  <si>
    <t>Richard Osman</t>
  </si>
  <si>
    <t>Osman, Richard</t>
  </si>
  <si>
    <t xml:space="preserve">Dievča, ktoré sa hralo s ohňom </t>
  </si>
  <si>
    <t>Millennium, #2</t>
  </si>
  <si>
    <t xml:space="preserve">Vila v Itálii </t>
  </si>
  <si>
    <t>Romantické Útěky, #11</t>
  </si>
  <si>
    <t>Julie Caplin</t>
  </si>
  <si>
    <t>Caplin, Julie</t>
  </si>
  <si>
    <t xml:space="preserve">Smrť na Capri </t>
  </si>
  <si>
    <t>Vraždy Pod Slnkom, #1</t>
  </si>
  <si>
    <t>Anders de la Motte</t>
  </si>
  <si>
    <t>Motte, Anders de la</t>
  </si>
  <si>
    <t>Není to tebou</t>
  </si>
  <si>
    <t>Ramani Durvasula</t>
  </si>
  <si>
    <t>Durvasula, Ramani</t>
  </si>
  <si>
    <t xml:space="preserve">Muži, ktorí nenávidia ženy </t>
  </si>
  <si>
    <t>Millennium, #1</t>
  </si>
  <si>
    <t>Podaj prst</t>
  </si>
  <si>
    <t>Dominik Dán</t>
  </si>
  <si>
    <t>Dán, Dominik</t>
  </si>
  <si>
    <t>Vianočná nádielka</t>
  </si>
  <si>
    <t xml:space="preserve">Onyxová bouře </t>
  </si>
  <si>
    <t>Empyreum, #3</t>
  </si>
  <si>
    <t>Rebecca Yarros</t>
  </si>
  <si>
    <t>Yarros, Rebecca</t>
  </si>
  <si>
    <t>Kruhy na vode</t>
  </si>
  <si>
    <t>Modrá hodinka</t>
  </si>
  <si>
    <t>Paula Hawkins</t>
  </si>
  <si>
    <t>Hawkins, Paula</t>
  </si>
  <si>
    <t xml:space="preserve">Těžké melodično </t>
  </si>
  <si>
    <t>Úžasná Zeměplocha, #16; Smrť, #3</t>
  </si>
  <si>
    <t>John Grisham</t>
  </si>
  <si>
    <t>Grisham, John</t>
  </si>
  <si>
    <t>Prežila len jediná</t>
  </si>
  <si>
    <t>Riley Sager</t>
  </si>
  <si>
    <t>Sager, Riley</t>
  </si>
  <si>
    <t>Konečne normálna vražda</t>
  </si>
  <si>
    <t xml:space="preserve">Koruna z temnoty </t>
  </si>
  <si>
    <t>Trón Zo Skla, #2</t>
  </si>
  <si>
    <t>Ministerstvo času</t>
  </si>
  <si>
    <t>Kaliane Bradley</t>
  </si>
  <si>
    <t>Bradley, Kaliane</t>
  </si>
  <si>
    <t xml:space="preserve">Vodný hrob </t>
  </si>
  <si>
    <t>Detektív Cormoran Strike, #7</t>
  </si>
  <si>
    <t>Robert Galbraith</t>
  </si>
  <si>
    <t>Galbraith, Robert</t>
  </si>
  <si>
    <t>Reminiscencie</t>
  </si>
  <si>
    <t xml:space="preserve">Mesačná sestra </t>
  </si>
  <si>
    <t>Sedem Sestier, #5</t>
  </si>
  <si>
    <t xml:space="preserve">Perlová sestra </t>
  </si>
  <si>
    <t>Sedem Sestier, #4</t>
  </si>
  <si>
    <t>Robert Langdon, #5</t>
  </si>
  <si>
    <t>TEXT</t>
  </si>
  <si>
    <t>Dmitry Glukhovsky</t>
  </si>
  <si>
    <t>Glukhovsky, Dmitry</t>
  </si>
  <si>
    <t xml:space="preserve">Tieňová sestra </t>
  </si>
  <si>
    <t>Sedem Sestier, #3</t>
  </si>
  <si>
    <t>V zajetí jídla: Co znamenají naše nutkavé chutě a jak je překonat</t>
  </si>
  <si>
    <t>Doreen Virtue</t>
  </si>
  <si>
    <t>Virtue, Doreen</t>
  </si>
  <si>
    <t xml:space="preserve">Búrková sestra </t>
  </si>
  <si>
    <t>Sedem Sestier, #2</t>
  </si>
  <si>
    <t xml:space="preserve">Galéria mŕtvych </t>
  </si>
  <si>
    <t>Robert Hunter, #9</t>
  </si>
  <si>
    <t>Chris Carter</t>
  </si>
  <si>
    <t>Carter, Chris</t>
  </si>
  <si>
    <t xml:space="preserve">Sedem sestier </t>
  </si>
  <si>
    <t>Sedem Sestier, #1</t>
  </si>
  <si>
    <t>Agatha Christie</t>
  </si>
  <si>
    <t>Christie, Agatha</t>
  </si>
  <si>
    <t xml:space="preserve">Murtagh </t>
  </si>
  <si>
    <t>The Inheritance Cycle, #5</t>
  </si>
  <si>
    <t>Christopher Paolini</t>
  </si>
  <si>
    <t>Paolini, Christopher</t>
  </si>
  <si>
    <t xml:space="preserve">Čajovna v Tokiu </t>
  </si>
  <si>
    <t>Romantické Útěky, #6</t>
  </si>
  <si>
    <t xml:space="preserve">Muži ve zbrani </t>
  </si>
  <si>
    <t>Úžasná Zeměplocha, #15; Městská Hlídka, #2</t>
  </si>
  <si>
    <t>Bazén</t>
  </si>
  <si>
    <t>Libby  Page</t>
  </si>
  <si>
    <t>Page, Libby</t>
  </si>
  <si>
    <t xml:space="preserve">Svatba duchů </t>
  </si>
  <si>
    <t>China Thrillers, #7</t>
  </si>
  <si>
    <t>Peter  May</t>
  </si>
  <si>
    <t>May, Peter</t>
  </si>
  <si>
    <t xml:space="preserve">Pláž v Chorvatsku </t>
  </si>
  <si>
    <t>Romantické Útěky, #5</t>
  </si>
  <si>
    <t xml:space="preserve">Železný plameň </t>
  </si>
  <si>
    <t>Empyreum, #2</t>
  </si>
  <si>
    <t>Pohádka</t>
  </si>
  <si>
    <t>Stephen  King</t>
  </si>
  <si>
    <t>King, Stephen</t>
  </si>
  <si>
    <t>Umění nemoci</t>
  </si>
  <si>
    <t>Jan Vojáček</t>
  </si>
  <si>
    <t>Vojáček, Jan</t>
  </si>
  <si>
    <t>Anatómia lží</t>
  </si>
  <si>
    <t xml:space="preserve">Pomocnice </t>
  </si>
  <si>
    <t>Pomocnice, #1</t>
  </si>
  <si>
    <t xml:space="preserve">Štvrté krídlo </t>
  </si>
  <si>
    <t>Empyreum, #1</t>
  </si>
  <si>
    <t>Myšlení, rychlé a pomalé</t>
  </si>
  <si>
    <t>Daniel Kahneman</t>
  </si>
  <si>
    <t>Kahneman, Daniel</t>
  </si>
  <si>
    <t xml:space="preserve">Zbroj světla </t>
  </si>
  <si>
    <t>Pilíře Země, #4</t>
  </si>
  <si>
    <t>Ken Follett</t>
  </si>
  <si>
    <t>Follett, Ken</t>
  </si>
  <si>
    <t>Anne Deans</t>
  </si>
  <si>
    <t>Deans, Anne</t>
  </si>
  <si>
    <t xml:space="preserve">Trón zo skla </t>
  </si>
  <si>
    <t>Trón Zo Skla, #1</t>
  </si>
  <si>
    <t xml:space="preserve">Piloti </t>
  </si>
  <si>
    <t>Medzi Hviezdami, #2</t>
  </si>
  <si>
    <t xml:space="preserve">Kadeti </t>
  </si>
  <si>
    <t>Medzi Hviezdami, #1</t>
  </si>
  <si>
    <t>Večer a ráno</t>
  </si>
  <si>
    <t xml:space="preserve">Červený úsvit </t>
  </si>
  <si>
    <t>Red Rising, #1</t>
  </si>
  <si>
    <t>Pierce Brown</t>
  </si>
  <si>
    <t>Brown, Pierce</t>
  </si>
  <si>
    <t>Střela mimo cíl</t>
  </si>
  <si>
    <t>Všetko, čo viem o láske</t>
  </si>
  <si>
    <t>Dolly Alderton</t>
  </si>
  <si>
    <t>Alderton, Dolly</t>
  </si>
  <si>
    <t>Odhalíte lož?</t>
  </si>
  <si>
    <t>Amy Tintera</t>
  </si>
  <si>
    <t>Tintera, Amy</t>
  </si>
  <si>
    <t>Polnočná ruža</t>
  </si>
  <si>
    <t>Jeden z nás: Príbeh o Nórsku</t>
  </si>
  <si>
    <t>Åsne Seierstad</t>
  </si>
  <si>
    <t>Seierstad, Åsne</t>
  </si>
  <si>
    <t>Slepá mapa</t>
  </si>
  <si>
    <t>Alena Mornštajnová</t>
  </si>
  <si>
    <t>Mornštajnová, Alena</t>
  </si>
  <si>
    <t>Cesta domov</t>
  </si>
  <si>
    <t>Sebastian Fitzek</t>
  </si>
  <si>
    <t>Fitzek, Sebastian</t>
  </si>
  <si>
    <t>Ťažké časy v Číne a ako ma vyhnali z vlastného domu!</t>
  </si>
  <si>
    <t>Pavel Dvořák ml.</t>
  </si>
  <si>
    <t>Zápisník alkoholičky</t>
  </si>
  <si>
    <t>Michaela Duffková</t>
  </si>
  <si>
    <t>Duffková, Michaela</t>
  </si>
  <si>
    <t>Olivovník</t>
  </si>
  <si>
    <t>Knihomoľský život Niny Hillovej</t>
  </si>
  <si>
    <t>Abbi Waxman</t>
  </si>
  <si>
    <t>Waxman, Abbi</t>
  </si>
  <si>
    <t>Organizační porno</t>
  </si>
  <si>
    <t>Aneta Martinek</t>
  </si>
  <si>
    <t>Martinek, Aneta</t>
  </si>
  <si>
    <t xml:space="preserve">Černočerné srdce </t>
  </si>
  <si>
    <t>Cormoran Strike, #6</t>
  </si>
  <si>
    <t>Persepolis</t>
  </si>
  <si>
    <t>Marjane Satrapi</t>
  </si>
  <si>
    <t>Satrapi, Marjane</t>
  </si>
  <si>
    <t>Straka</t>
  </si>
  <si>
    <t>Natalie Daniels</t>
  </si>
  <si>
    <t>Daniels, Natalie</t>
  </si>
  <si>
    <t>Hlbina</t>
  </si>
  <si>
    <t>Červený zápisník</t>
  </si>
  <si>
    <t>Sofia Lundberg</t>
  </si>
  <si>
    <t>Lundberg, Sofia</t>
  </si>
  <si>
    <t>Nocny dom</t>
  </si>
  <si>
    <t>Jo Nesbø</t>
  </si>
  <si>
    <t>Nesbø, Jo</t>
  </si>
  <si>
    <t>Adrian McKinty</t>
  </si>
  <si>
    <t>McKinty, Adrian</t>
  </si>
  <si>
    <t>Temná dcéra</t>
  </si>
  <si>
    <t>Elena Ferrante</t>
  </si>
  <si>
    <t>Ferrante, Elena</t>
  </si>
  <si>
    <t>Polnočná knižnica</t>
  </si>
  <si>
    <t>Matt Haig</t>
  </si>
  <si>
    <t>Haig, Matt</t>
  </si>
  <si>
    <t>Vzdelaná</t>
  </si>
  <si>
    <t>Tara Westover</t>
  </si>
  <si>
    <t>Westover, Tara</t>
  </si>
  <si>
    <t>Náhradník</t>
  </si>
  <si>
    <t>Prince Harry</t>
  </si>
  <si>
    <t>Harry, Prince</t>
  </si>
  <si>
    <t>Len nie láska nebeská</t>
  </si>
  <si>
    <t>Catherine Bennetto</t>
  </si>
  <si>
    <t>Bennetto, Catherine</t>
  </si>
  <si>
    <t>Ako som vozil Nórov</t>
  </si>
  <si>
    <t>Ondrej Sokol</t>
  </si>
  <si>
    <t>Sokol, Ondrej</t>
  </si>
  <si>
    <t>Život zn. Hygge</t>
  </si>
  <si>
    <t>Rosie Blake</t>
  </si>
  <si>
    <t>Blake, Rosie</t>
  </si>
  <si>
    <t>Ryder Carroll</t>
  </si>
  <si>
    <t>Carroll, Ryder</t>
  </si>
  <si>
    <t>Dáma kontra strelec</t>
  </si>
  <si>
    <t>Tajomný závoj</t>
  </si>
  <si>
    <t>Mačacia stopa</t>
  </si>
  <si>
    <t>Bremeno minulosti</t>
  </si>
  <si>
    <t>Oko ihly</t>
  </si>
  <si>
    <t>V tieni</t>
  </si>
  <si>
    <t>Klbko zmijí</t>
  </si>
  <si>
    <t>Tiene bieleho orgovánu</t>
  </si>
  <si>
    <t>Zuzana Široká</t>
  </si>
  <si>
    <t>Široká, Zuzana</t>
  </si>
  <si>
    <t>Nevieš dňa, nevieš hodiny</t>
  </si>
  <si>
    <t>Pochovaní zaživa</t>
  </si>
  <si>
    <t>Psychológia peňazí: Nadčasové lekcie o bohatstve, chamtivosti a šťastí</t>
  </si>
  <si>
    <t>Morgan Housel</t>
  </si>
  <si>
    <t>Housel, Morgan</t>
  </si>
  <si>
    <t>Venuša zo zátoky</t>
  </si>
  <si>
    <t>Hniezdo</t>
  </si>
  <si>
    <t>Cynthia D'Aprix Sweeney</t>
  </si>
  <si>
    <t>Sweeney, Cynthia D'Aprix</t>
  </si>
  <si>
    <t>List zo záhrobia</t>
  </si>
  <si>
    <t>Cigaretka na dva ťahy</t>
  </si>
  <si>
    <t>Mŕtve tajomstvo</t>
  </si>
  <si>
    <t>Ava McCarthy</t>
  </si>
  <si>
    <t>McCarthy, Ava</t>
  </si>
  <si>
    <t>Korene zla</t>
  </si>
  <si>
    <t>Milenec</t>
  </si>
  <si>
    <t>Marika Studeničová</t>
  </si>
  <si>
    <t>Studeničová, Marika</t>
  </si>
  <si>
    <t>Deväť neznámych</t>
  </si>
  <si>
    <t>Liane Moriarty</t>
  </si>
  <si>
    <t>Moriarty, Liane</t>
  </si>
  <si>
    <t>Nikdykde</t>
  </si>
  <si>
    <t>Neil Gaiman</t>
  </si>
  <si>
    <t>Gaiman, Neil</t>
  </si>
  <si>
    <t xml:space="preserve">Hvězdy nad hlavou </t>
  </si>
  <si>
    <t>Měsíční Kroniky, #4.5</t>
  </si>
  <si>
    <t>Marissa Meyer</t>
  </si>
  <si>
    <t>Meyer, Marissa</t>
  </si>
  <si>
    <t xml:space="preserve">Kaviareň v Kodani </t>
  </si>
  <si>
    <t>Romantické Úteky, #1</t>
  </si>
  <si>
    <t>Moře klidu</t>
  </si>
  <si>
    <t xml:space="preserve">Mág: Učedník </t>
  </si>
  <si>
    <t>Sága Trhlinové Války, #1</t>
  </si>
  <si>
    <t>Raymond E. Feist</t>
  </si>
  <si>
    <t>Feist, Raymond E.</t>
  </si>
  <si>
    <t>Smrť na druhom brehu</t>
  </si>
  <si>
    <t>Jednou nohou v hrobe</t>
  </si>
  <si>
    <t xml:space="preserve">Winter </t>
  </si>
  <si>
    <t>The Lunar Chronicles, #4</t>
  </si>
  <si>
    <t>S kouzelnickou hůlkou: Magické dospívání filmového čaroděje</t>
  </si>
  <si>
    <t>Tom Felton</t>
  </si>
  <si>
    <t>Felton, Tom</t>
  </si>
  <si>
    <t>Básnik</t>
  </si>
  <si>
    <t xml:space="preserve">Hon na mrtvého </t>
  </si>
  <si>
    <t>David Raker, #1</t>
  </si>
  <si>
    <t>Tim Weaver</t>
  </si>
  <si>
    <t>Weaver, Tim</t>
  </si>
  <si>
    <t xml:space="preserve">Illuminae </t>
  </si>
  <si>
    <t>Akta Illuminae, #1</t>
  </si>
  <si>
    <t>Amie Kaufman</t>
  </si>
  <si>
    <t>Kaufman, Amie</t>
  </si>
  <si>
    <t>Uzol</t>
  </si>
  <si>
    <t>Na podpätkoch</t>
  </si>
  <si>
    <t>Pohodová produktivita: Jak dělat víc věcí, které jsou pro vás důležité</t>
  </si>
  <si>
    <t>Ali  Abdaal</t>
  </si>
  <si>
    <t>Abdaal, Ali</t>
  </si>
  <si>
    <t>Žiješ iba dvakrát</t>
  </si>
  <si>
    <t xml:space="preserve">Oko světa </t>
  </si>
  <si>
    <t>Kolo Času, #1</t>
  </si>
  <si>
    <t>Robert Jordan</t>
  </si>
  <si>
    <t>Jordan, Robert</t>
  </si>
  <si>
    <t xml:space="preserve">The Worlds We Make </t>
  </si>
  <si>
    <t>Fallen World, #3</t>
  </si>
  <si>
    <t>Megan Crewe</t>
  </si>
  <si>
    <t>Crewe, Megan</t>
  </si>
  <si>
    <t>Mucholapka</t>
  </si>
  <si>
    <t>Mucha</t>
  </si>
  <si>
    <t>Knieža Smrť</t>
  </si>
  <si>
    <t>Hriech náš každodenný</t>
  </si>
  <si>
    <t xml:space="preserve">Extinction Crisis </t>
  </si>
  <si>
    <t>Extinction, #3</t>
  </si>
  <si>
    <t>James D. Prescott</t>
  </si>
  <si>
    <t>Prescott, James D.</t>
  </si>
  <si>
    <t xml:space="preserve">Babylon </t>
  </si>
  <si>
    <t>Neboli Nutnost Násilí: Skryté Dějiny Revoluce Oxfordských Překladatelů</t>
  </si>
  <si>
    <t>R.F. Kuang</t>
  </si>
  <si>
    <t>Kuang, R.F.</t>
  </si>
  <si>
    <t xml:space="preserve">Fairest </t>
  </si>
  <si>
    <t>The Lunar Chronicles, #3.5</t>
  </si>
  <si>
    <t xml:space="preserve">Stráže! Stráže! </t>
  </si>
  <si>
    <t>Úžasná Zeměplocha, #8; Městská Hlídka, #1</t>
  </si>
  <si>
    <t xml:space="preserve">Extinction Countdown </t>
  </si>
  <si>
    <t>Extinction, #2</t>
  </si>
  <si>
    <t xml:space="preserve">Cress </t>
  </si>
  <si>
    <t>The Lunar Chronicles, #3</t>
  </si>
  <si>
    <t>Uranova</t>
  </si>
  <si>
    <t>Lenka Elbe</t>
  </si>
  <si>
    <t>Elbe, Lenka</t>
  </si>
  <si>
    <t xml:space="preserve">Scarlet </t>
  </si>
  <si>
    <t>The Lunar Chronicles, #2</t>
  </si>
  <si>
    <t>Obyčajné zázraky</t>
  </si>
  <si>
    <t>Samuel Kováčik</t>
  </si>
  <si>
    <t>Kováčik, Samuel</t>
  </si>
  <si>
    <t>Severská mytologie</t>
  </si>
  <si>
    <t xml:space="preserve">Životy, Ktoré Sme Stratili </t>
  </si>
  <si>
    <t>Fallen World, #2</t>
  </si>
  <si>
    <t>Zlá krv: Tajomstvá a lži v Silicon Valley</t>
  </si>
  <si>
    <t>John Carreyrou</t>
  </si>
  <si>
    <t>Carreyrou, John</t>
  </si>
  <si>
    <t>Cela číslo 17</t>
  </si>
  <si>
    <t xml:space="preserve">Tak Padne Náš Svět </t>
  </si>
  <si>
    <t>Padlý Svět, #1</t>
  </si>
  <si>
    <t>Nehanebné neviniatko</t>
  </si>
  <si>
    <t>Skrinka času</t>
  </si>
  <si>
    <t>Nikki Erlick</t>
  </si>
  <si>
    <t>Erlick, Nikki</t>
  </si>
  <si>
    <t>A každé ráno je cesta domů delší a delší</t>
  </si>
  <si>
    <t>Fredrik Backman</t>
  </si>
  <si>
    <t>Backman, Fredrik</t>
  </si>
  <si>
    <t>Zákon neviny</t>
  </si>
  <si>
    <t>Michael    Connelly</t>
  </si>
  <si>
    <t>Connelly, Michael</t>
  </si>
  <si>
    <t>Zimní lidé</t>
  </si>
  <si>
    <t>Jennifer  McMahon</t>
  </si>
  <si>
    <t>McMahon, Jennifer</t>
  </si>
  <si>
    <t>Kráľovná: Jej život</t>
  </si>
  <si>
    <t>Andrew Morton</t>
  </si>
  <si>
    <t>Morton, Andrew</t>
  </si>
  <si>
    <t>Joyland</t>
  </si>
  <si>
    <t>A Lady Eleanor Swift Mystery, #1</t>
  </si>
  <si>
    <t>Verity Bright</t>
  </si>
  <si>
    <t>Bright, Verity</t>
  </si>
  <si>
    <t xml:space="preserve">Pán ohně </t>
  </si>
  <si>
    <t>Čínské Thrillery, #1</t>
  </si>
  <si>
    <t xml:space="preserve">Panenka </t>
  </si>
  <si>
    <t>Children'S House, #5</t>
  </si>
  <si>
    <t>Yrsa Sigurdardottir</t>
  </si>
  <si>
    <t>Sigurdardottir, Yrsa</t>
  </si>
  <si>
    <t>Moja čínska dekáda</t>
  </si>
  <si>
    <t>Trauma očima dítěte</t>
  </si>
  <si>
    <t>Peter A. Levine</t>
  </si>
  <si>
    <t>Levine, Peter A.</t>
  </si>
  <si>
    <t xml:space="preserve">Kosenie </t>
  </si>
  <si>
    <t>Žatva Smrti</t>
  </si>
  <si>
    <t>Neal Shusterman</t>
  </si>
  <si>
    <t>Shusterman, Neal</t>
  </si>
  <si>
    <t xml:space="preserve">Fraktální šum </t>
  </si>
  <si>
    <t>Fractalverse, #0</t>
  </si>
  <si>
    <t xml:space="preserve">Začína sa to nami </t>
  </si>
  <si>
    <t>Končí Sa To Nami, #2</t>
  </si>
  <si>
    <t>Colleen Hoover</t>
  </si>
  <si>
    <t>Hoover, Colleen</t>
  </si>
  <si>
    <t xml:space="preserve">Lazarus </t>
  </si>
  <si>
    <t>Joona Linna, #7</t>
  </si>
  <si>
    <t>Posledný vlak do Londýna</t>
  </si>
  <si>
    <t>Meg Waite Clayton</t>
  </si>
  <si>
    <t>Clayton, Meg Waite</t>
  </si>
  <si>
    <t>Záhadné vraždy v internáte</t>
  </si>
  <si>
    <t>Začni vydělávat na tom, co tě baví: Do 30 dnů – krok za krokem</t>
  </si>
  <si>
    <t>Williams, John</t>
  </si>
  <si>
    <t>Gustav Bubník</t>
  </si>
  <si>
    <t xml:space="preserve">Ihrisko </t>
  </si>
  <si>
    <t>Playground, #1</t>
  </si>
  <si>
    <t xml:space="preserve">Lovec králikov </t>
  </si>
  <si>
    <t>Joona Linna, #6</t>
  </si>
  <si>
    <t>Oko</t>
  </si>
  <si>
    <t>Bernard Minier</t>
  </si>
  <si>
    <t>Minier, Bernard</t>
  </si>
  <si>
    <t xml:space="preserve">Vzpomínka na Zemi </t>
  </si>
  <si>
    <t>Vzpomínka Na Zemi, #3</t>
  </si>
  <si>
    <t>Liu Cixin</t>
  </si>
  <si>
    <t>Cixin, Liu</t>
  </si>
  <si>
    <t xml:space="preserve">Skandar a Prvý jazdec </t>
  </si>
  <si>
    <t>Skandar, #2</t>
  </si>
  <si>
    <t xml:space="preserve">Temný les </t>
  </si>
  <si>
    <t>Vzpomínka Na Zemi, #2</t>
  </si>
  <si>
    <t>Neviditelný život Addie LaRue</t>
  </si>
  <si>
    <t>V.E. Schwab</t>
  </si>
  <si>
    <t>Schwab, V.E.</t>
  </si>
  <si>
    <t xml:space="preserve">Problém tří těles </t>
  </si>
  <si>
    <t>Vzpomínka Na Zemi, #1</t>
  </si>
  <si>
    <t>Zabudnutý vesmír</t>
  </si>
  <si>
    <t>Anton Stiffel</t>
  </si>
  <si>
    <t>Stiffel, Anton</t>
  </si>
  <si>
    <t xml:space="preserve">Písečný muž </t>
  </si>
  <si>
    <t>Joona Linna, #4</t>
  </si>
  <si>
    <t>Odkiaľ je život dokonalý</t>
  </si>
  <si>
    <t>Silvia Avallone</t>
  </si>
  <si>
    <t>Avallone, Silvia</t>
  </si>
  <si>
    <t>Joona Linna, #2</t>
  </si>
  <si>
    <t>Atómové návyky</t>
  </si>
  <si>
    <t>James Clear</t>
  </si>
  <si>
    <t>Clear, James</t>
  </si>
  <si>
    <t xml:space="preserve">Hypnotizér </t>
  </si>
  <si>
    <t>Joona Linna, #1</t>
  </si>
  <si>
    <t>Ostrov bez pamäti</t>
  </si>
  <si>
    <t>Yōko Ogawa</t>
  </si>
  <si>
    <t>Ogawa, Yōko</t>
  </si>
  <si>
    <t>Město v oblacích</t>
  </si>
  <si>
    <t>Kristýna Sněgoňová</t>
  </si>
  <si>
    <t>Sněgoňová, Kristýna</t>
  </si>
  <si>
    <t>Normálni ľudia</t>
  </si>
  <si>
    <t>Sally Rooney</t>
  </si>
  <si>
    <t>Rooney, Sally</t>
  </si>
  <si>
    <t>Ako funguje psychológia</t>
  </si>
  <si>
    <t>Jo Hemmings</t>
  </si>
  <si>
    <t>Hemmings, Jo</t>
  </si>
  <si>
    <t>Les v domě</t>
  </si>
  <si>
    <t>Zelené klamstvo</t>
  </si>
  <si>
    <t>Kathrin Hartmann</t>
  </si>
  <si>
    <t>Hartmann, Kathrin</t>
  </si>
  <si>
    <t xml:space="preserve">Před bouří </t>
  </si>
  <si>
    <t>Krysy Apokalypsy, #1</t>
  </si>
  <si>
    <t>Zuzana Hartmanová</t>
  </si>
  <si>
    <t>Hartmanová, Zuzana</t>
  </si>
  <si>
    <t>Pokojská</t>
  </si>
  <si>
    <t>Nita Prose</t>
  </si>
  <si>
    <t>Prose, Nita</t>
  </si>
  <si>
    <t>Sabrina</t>
  </si>
  <si>
    <t>Nick Drnaso</t>
  </si>
  <si>
    <t>Drnaso, Nick</t>
  </si>
  <si>
    <t>Lockdown</t>
  </si>
  <si>
    <t>František Kotleta</t>
  </si>
  <si>
    <t>Kotleta, František</t>
  </si>
  <si>
    <t xml:space="preserve">Dotyky budúcnosti </t>
  </si>
  <si>
    <t>Dotyky Budúcnosti, #1</t>
  </si>
  <si>
    <t>Martin Králik</t>
  </si>
  <si>
    <t>Králik, Martin</t>
  </si>
  <si>
    <t xml:space="preserve">Rodina z domu tieňov </t>
  </si>
  <si>
    <t>Rodina V Podkroví, #2</t>
  </si>
  <si>
    <t>Lisa Jewell</t>
  </si>
  <si>
    <t>Jewell, Lisa</t>
  </si>
  <si>
    <t>Konec prokrastinace</t>
  </si>
  <si>
    <t xml:space="preserve">Bird Box </t>
  </si>
  <si>
    <t>Bird Box, #1</t>
  </si>
  <si>
    <t>Josh Malerman</t>
  </si>
  <si>
    <t>Malerman, Josh</t>
  </si>
  <si>
    <t>Mesto v oblakoch</t>
  </si>
  <si>
    <t>Anthony Doerr</t>
  </si>
  <si>
    <t>Doerr, Anthony</t>
  </si>
  <si>
    <t>Klára a slnko</t>
  </si>
  <si>
    <t>Jediná kniha o financiách, ktorú by ste si mali prečítať</t>
  </si>
  <si>
    <t>Thomas Kehl</t>
  </si>
  <si>
    <t>Kehl, Thomas</t>
  </si>
  <si>
    <t xml:space="preserve">Led pod kůží </t>
  </si>
  <si>
    <t>Mycelium, #2</t>
  </si>
  <si>
    <t>Vilma Kadlečková</t>
  </si>
  <si>
    <t>Kadlečková, Vilma</t>
  </si>
  <si>
    <t>Nicholas Binge</t>
  </si>
  <si>
    <t>Binge, Nicholas</t>
  </si>
  <si>
    <t xml:space="preserve">Extinction Code </t>
  </si>
  <si>
    <t>Extinction, #1</t>
  </si>
  <si>
    <t xml:space="preserve">Jantarové oči </t>
  </si>
  <si>
    <t>Mycelium, #1</t>
  </si>
  <si>
    <t xml:space="preserve">Den nula </t>
  </si>
  <si>
    <t>Moře Rzi, #0</t>
  </si>
  <si>
    <t>C. Robert Cargill</t>
  </si>
  <si>
    <t>Cargill, C. Robert</t>
  </si>
  <si>
    <t>Mačací kožuch a ťava pri Čínskom múre</t>
  </si>
  <si>
    <t>Dominika Sakmárová</t>
  </si>
  <si>
    <t>Sakmárová, Dominika</t>
  </si>
  <si>
    <t>Zmeň svoje telo, zmeníš svoj život</t>
  </si>
  <si>
    <t>Matúš Špirko</t>
  </si>
  <si>
    <t>Špirko, Matúš</t>
  </si>
  <si>
    <t>Život a iné predsmrtné zážitky</t>
  </si>
  <si>
    <t>Camille Pagán</t>
  </si>
  <si>
    <t>Pagán, Camille</t>
  </si>
  <si>
    <t>Konec</t>
  </si>
  <si>
    <t>Mats Strandberg</t>
  </si>
  <si>
    <t>Strandberg, Mats</t>
  </si>
  <si>
    <t>Ži, kým sa dá</t>
  </si>
  <si>
    <t>Zoznam hostí</t>
  </si>
  <si>
    <t>Lucy Foley</t>
  </si>
  <si>
    <t>Foley, Lucy</t>
  </si>
  <si>
    <t xml:space="preserve">Nasterea </t>
  </si>
  <si>
    <t>Naslouchač, #3</t>
  </si>
  <si>
    <t>Petra Stehlíková</t>
  </si>
  <si>
    <t>Stehlíková, Petra</t>
  </si>
  <si>
    <t xml:space="preserve">Faja </t>
  </si>
  <si>
    <t>Naslouchač, #2</t>
  </si>
  <si>
    <t xml:space="preserve">Balada o ptácích a hadech </t>
  </si>
  <si>
    <t>Hunger Games, #0</t>
  </si>
  <si>
    <t>Suzanne Collins</t>
  </si>
  <si>
    <t>Collins, Suzanne</t>
  </si>
  <si>
    <t xml:space="preserve">Naslouchač </t>
  </si>
  <si>
    <t>Naslouchač, #1</t>
  </si>
  <si>
    <t xml:space="preserve">Končí sa to nami </t>
  </si>
  <si>
    <t>Končí Sa To Nami, #1</t>
  </si>
  <si>
    <t>Alternatívne fakty: O poznaní a jeho nepriateľoch</t>
  </si>
  <si>
    <t>Åsa Wikforss</t>
  </si>
  <si>
    <t>Wikforss, Åsa</t>
  </si>
  <si>
    <t>Glukózová revolúcia: Udržte hladinu cukru v krvi v rovnováhe a váš život sa zmení</t>
  </si>
  <si>
    <t>Jessie Inchauspé</t>
  </si>
  <si>
    <t>Inchauspé, Jessie</t>
  </si>
  <si>
    <t>Moje vražedné vnútorné dieťa</t>
  </si>
  <si>
    <t>Karsten Dusse</t>
  </si>
  <si>
    <t>Dusse, Karsten</t>
  </si>
  <si>
    <t>Sedem manželov Evelyn Hugovej</t>
  </si>
  <si>
    <t>Taylor Jenkins Reid</t>
  </si>
  <si>
    <t>Reid, Taylor Jenkins</t>
  </si>
  <si>
    <t>Sústreď sa na vraždu</t>
  </si>
  <si>
    <t>Medicína výživy 2</t>
  </si>
  <si>
    <t>Evelyn Tribole</t>
  </si>
  <si>
    <t>Tribole, Evelyn</t>
  </si>
  <si>
    <t>Tma 2.0</t>
  </si>
  <si>
    <t>Ondřej Neff</t>
  </si>
  <si>
    <t>Neff, Ondřej</t>
  </si>
  <si>
    <t xml:space="preserve">Dva razy mŕtvy </t>
  </si>
  <si>
    <t>Štvrtkový Klub Detektívov, #2</t>
  </si>
  <si>
    <t>Časonauti</t>
  </si>
  <si>
    <t>Priateľstvo</t>
  </si>
  <si>
    <t xml:space="preserve">Štvrtkový klub detektívov </t>
  </si>
  <si>
    <t>Štvrtkový Klub Detektívov, #1</t>
  </si>
  <si>
    <t>Obklopený idiotmi</t>
  </si>
  <si>
    <t>Thomas Erikson</t>
  </si>
  <si>
    <t>Erikson, Thomas</t>
  </si>
  <si>
    <t xml:space="preserve">Krvavý mesiac </t>
  </si>
  <si>
    <t>Harry Hole, #13</t>
  </si>
  <si>
    <t>Sedem smrtí Evelyn Hardcastlovej</t>
  </si>
  <si>
    <t>Stuart Turton</t>
  </si>
  <si>
    <t>Turton, Stuart</t>
  </si>
  <si>
    <t xml:space="preserve">Kane &amp; Abel </t>
  </si>
  <si>
    <t>Kane &amp; Abel, #1</t>
  </si>
  <si>
    <t>Výdech</t>
  </si>
  <si>
    <t>Ted Chiang</t>
  </si>
  <si>
    <t>Chiang, Ted</t>
  </si>
  <si>
    <t>Sto rokov samoty</t>
  </si>
  <si>
    <t>Gabriel García Márquez</t>
  </si>
  <si>
    <t>Márquez, Gabriel García</t>
  </si>
  <si>
    <t>Hlavný hrdina</t>
  </si>
  <si>
    <t>Martin Petro</t>
  </si>
  <si>
    <t>Petro, Martin</t>
  </si>
  <si>
    <t>Mimika</t>
  </si>
  <si>
    <t xml:space="preserve">Cinder </t>
  </si>
  <si>
    <t>The Lunar Chronicles, #1</t>
  </si>
  <si>
    <t>Dveře do léta</t>
  </si>
  <si>
    <t>Robert A. Heinlein</t>
  </si>
  <si>
    <t>Heinlein, Robert A.</t>
  </si>
  <si>
    <t>Motýlia izba</t>
  </si>
  <si>
    <t>Nihilista na balkonu</t>
  </si>
  <si>
    <t>Petr  Holý</t>
  </si>
  <si>
    <t>Holý, Petr</t>
  </si>
  <si>
    <t xml:space="preserve">Anna a francúzsky bozk </t>
  </si>
  <si>
    <t>Anna A Francúzsky Bozk, #1</t>
  </si>
  <si>
    <t>Stephanie Perkins</t>
  </si>
  <si>
    <t>Perkins, Stephanie</t>
  </si>
  <si>
    <t>Útek z Berlína</t>
  </si>
  <si>
    <t>Gerhard Seyfried</t>
  </si>
  <si>
    <t>Seyfried, Gerhard</t>
  </si>
  <si>
    <t>Zpěv drozda</t>
  </si>
  <si>
    <t>Walter Tevis</t>
  </si>
  <si>
    <t>Tevis, Walter</t>
  </si>
  <si>
    <t xml:space="preserve">Skandar a zlodej jednorožcov </t>
  </si>
  <si>
    <t>Skandar, #1</t>
  </si>
  <si>
    <t>Kniha, ktorá vám možno zachráni život</t>
  </si>
  <si>
    <t>Graham Lawton</t>
  </si>
  <si>
    <t>Lawton, Graham</t>
  </si>
  <si>
    <t>Gigantická zlovestná brada</t>
  </si>
  <si>
    <t>Stephen    Collins</t>
  </si>
  <si>
    <t>Collins, Stephen</t>
  </si>
  <si>
    <t>Úraz</t>
  </si>
  <si>
    <t>Mikaël Ross</t>
  </si>
  <si>
    <t>Ross, Mikaël</t>
  </si>
  <si>
    <t>Zhroucený čas</t>
  </si>
  <si>
    <t>Blake Crouch</t>
  </si>
  <si>
    <t>Crouch, Blake</t>
  </si>
  <si>
    <t>Macbeth</t>
  </si>
  <si>
    <t>Cesta do Els</t>
  </si>
  <si>
    <t>Kateřina Pojkarová</t>
  </si>
  <si>
    <t>Pojkarová, Kateřina</t>
  </si>
  <si>
    <t>Malevil</t>
  </si>
  <si>
    <t>Robert Merle</t>
  </si>
  <si>
    <t>Merle, Robert</t>
  </si>
  <si>
    <t>Valard &amp; vejce na draka</t>
  </si>
  <si>
    <t>Jan Marvel Horn</t>
  </si>
  <si>
    <t>Horn, Jan Marvel</t>
  </si>
  <si>
    <t>Jak si zlepšit menstruační cyklus</t>
  </si>
  <si>
    <t>Lara Briden</t>
  </si>
  <si>
    <t>Briden, Lara</t>
  </si>
  <si>
    <t>Poviedky o Rusku</t>
  </si>
  <si>
    <t>Černobyľská modlitba</t>
  </si>
  <si>
    <t>Svetlana Alexievich</t>
  </si>
  <si>
    <t>Alexievich, Svetlana</t>
  </si>
  <si>
    <t>Páté roční období</t>
  </si>
  <si>
    <t>N.K. Jemisin</t>
  </si>
  <si>
    <t>Jemisin, N.K.</t>
  </si>
  <si>
    <t>Strieborné krídla</t>
  </si>
  <si>
    <t>Telo si pamätá: Mozog, myseľ a telo pri liečení traumy</t>
  </si>
  <si>
    <t>Bessel van der Kolk</t>
  </si>
  <si>
    <t>Kolk, Bessel van der</t>
  </si>
  <si>
    <t xml:space="preserve">Nadácia a Impérium </t>
  </si>
  <si>
    <t>Isaac Asimov</t>
  </si>
  <si>
    <t>Asimov, Isaac</t>
  </si>
  <si>
    <t>Ohnivý stĺp</t>
  </si>
  <si>
    <t xml:space="preserve">Nadácia </t>
  </si>
  <si>
    <t>Faktomluva: Deset důvodů, proč se mýlíme v pohledu na svět – a proč jsou věci lepší, než vypadají</t>
  </si>
  <si>
    <t>Hans Rosling</t>
  </si>
  <si>
    <t>Rosling, Hans</t>
  </si>
  <si>
    <t>Karneval krýs</t>
  </si>
  <si>
    <t>Jozef Banáš</t>
  </si>
  <si>
    <t>Banáš, Jozef</t>
  </si>
  <si>
    <t>Studňa</t>
  </si>
  <si>
    <t>Cyklická žena  Menštruačný cyklus ako nástroj osobného rozvoja, šťastia a naplnenia</t>
  </si>
  <si>
    <t>Miranda Gray</t>
  </si>
  <si>
    <t>Gray, Miranda</t>
  </si>
  <si>
    <t>Dievča vo vlaku</t>
  </si>
  <si>
    <t>Polnoc v Černobyli</t>
  </si>
  <si>
    <t>Adam Higginbotham</t>
  </si>
  <si>
    <t>Higginbotham, Adam</t>
  </si>
  <si>
    <t xml:space="preserve">Poločas rozpadu </t>
  </si>
  <si>
    <t>Spad #2</t>
  </si>
  <si>
    <t>Odlet</t>
  </si>
  <si>
    <t>A.G. Riddle</t>
  </si>
  <si>
    <t>Riddle, A.G.</t>
  </si>
  <si>
    <t>Noc temných klamstiev</t>
  </si>
  <si>
    <t xml:space="preserve">Pandemic </t>
  </si>
  <si>
    <t>Jack Stapleton &amp; Laurie Montgomery, #11</t>
  </si>
  <si>
    <t>Robin Cook</t>
  </si>
  <si>
    <t>Cook, Robin</t>
  </si>
  <si>
    <t>Bezhviezdne more</t>
  </si>
  <si>
    <t>Erin Morgenstern</t>
  </si>
  <si>
    <t>Morgenstern, Erin</t>
  </si>
  <si>
    <t>Hervé Le Tellier</t>
  </si>
  <si>
    <t>Tellier, Hervé Le</t>
  </si>
  <si>
    <t>Prorokyně a hlupák</t>
  </si>
  <si>
    <t>Sezóna potkanov</t>
  </si>
  <si>
    <t>Kožené srdce</t>
  </si>
  <si>
    <t>Veronica Roth</t>
  </si>
  <si>
    <t>Roth, Veronica</t>
  </si>
  <si>
    <t>Anger Management for Parents: The ultimate guide to understand your triggers, stop losing your temper, master your emotions, and raise confident children</t>
  </si>
  <si>
    <t>Vivian Foster</t>
  </si>
  <si>
    <t>Foster, Vivian</t>
  </si>
  <si>
    <t>Cudzincov kabát</t>
  </si>
  <si>
    <t>Jonathan Gresty</t>
  </si>
  <si>
    <t>Gresty, Jonathan</t>
  </si>
  <si>
    <t>Boh v ruinách</t>
  </si>
  <si>
    <t>Kate Atkinson</t>
  </si>
  <si>
    <t>Atkinson, Kate</t>
  </si>
  <si>
    <t>Nikdy nedělej kompromis</t>
  </si>
  <si>
    <t>Chris Voss</t>
  </si>
  <si>
    <t>Voss, Chris</t>
  </si>
  <si>
    <t>Pomsta je sladká a.s.</t>
  </si>
  <si>
    <t>Nežná fatamorgána</t>
  </si>
  <si>
    <t>Stratené dievča</t>
  </si>
  <si>
    <t>Gillian Flynn</t>
  </si>
  <si>
    <t>Flynn, Gillian</t>
  </si>
  <si>
    <t>Krv nie je voda</t>
  </si>
  <si>
    <t>Kráska a netvor</t>
  </si>
  <si>
    <t xml:space="preserve">Posol </t>
  </si>
  <si>
    <t>Žatva Smrti, #3</t>
  </si>
  <si>
    <t>Hacknuté tělo Zpomalte stárnutí a žijte déle jako superčlověk</t>
  </si>
  <si>
    <t>Dave Asprey</t>
  </si>
  <si>
    <t>Asprey, Dave</t>
  </si>
  <si>
    <t xml:space="preserve">Nimbus </t>
  </si>
  <si>
    <t>Smrtka, #2</t>
  </si>
  <si>
    <t xml:space="preserve">Tanečník </t>
  </si>
  <si>
    <t>Lincoln Rhyme, #2</t>
  </si>
  <si>
    <t>Jeffery Deaver</t>
  </si>
  <si>
    <t>Deaver, Jeffery</t>
  </si>
  <si>
    <t xml:space="preserve">SPAD </t>
  </si>
  <si>
    <t>Spad #1</t>
  </si>
  <si>
    <t xml:space="preserve">Děti plástve </t>
  </si>
  <si>
    <t>Děti Plástve, #1</t>
  </si>
  <si>
    <t>Josef Pecinovský</t>
  </si>
  <si>
    <t>Pecinovský, Josef</t>
  </si>
  <si>
    <t>Zlatá klietka</t>
  </si>
  <si>
    <t xml:space="preserve">Smrtka </t>
  </si>
  <si>
    <t>Smrtka, #1</t>
  </si>
  <si>
    <t>Umění být zdráv</t>
  </si>
  <si>
    <t>Osada</t>
  </si>
  <si>
    <t>Kir Bulychev</t>
  </si>
  <si>
    <t>Bulychev, Kir</t>
  </si>
  <si>
    <t>Vox</t>
  </si>
  <si>
    <t>Christina Dalcher</t>
  </si>
  <si>
    <t>Dalcher, Christina</t>
  </si>
  <si>
    <t>Do vody</t>
  </si>
  <si>
    <t>Nikdy</t>
  </si>
  <si>
    <t>Manželka medzi nami</t>
  </si>
  <si>
    <t>Greer Hendricks</t>
  </si>
  <si>
    <t>Hendricks, Greer</t>
  </si>
  <si>
    <t>Podzemná železnica</t>
  </si>
  <si>
    <t>Colson Whitehead</t>
  </si>
  <si>
    <t>Whitehead, Colson</t>
  </si>
  <si>
    <t>Simon Stålenhag</t>
  </si>
  <si>
    <t>Stålenhag, Simon</t>
  </si>
  <si>
    <t>Ernest Cline</t>
  </si>
  <si>
    <t>Cline, Ernest</t>
  </si>
  <si>
    <t>Pasáž: Osamelá cesta postapokalyptickou krajinou</t>
  </si>
  <si>
    <t>Pomaľované vtáča</t>
  </si>
  <si>
    <t>Jerzy Kosiński</t>
  </si>
  <si>
    <t>Kosiński, Jerzy</t>
  </si>
  <si>
    <t>Jednoducho zmizla</t>
  </si>
  <si>
    <t xml:space="preserve">Na veky vekov </t>
  </si>
  <si>
    <t>Piliere Zeme, #2</t>
  </si>
  <si>
    <t>Niečo vo vode</t>
  </si>
  <si>
    <t>Catherine Steadman</t>
  </si>
  <si>
    <t>Steadman, Catherine</t>
  </si>
  <si>
    <t>Červený kapitán</t>
  </si>
  <si>
    <t>Noc, keď zmizla</t>
  </si>
  <si>
    <t>Päť hviezdičiek pre teba</t>
  </si>
  <si>
    <t>Charlotte Lucas</t>
  </si>
  <si>
    <t>Lucas, Charlotte</t>
  </si>
  <si>
    <t>AHA! rodičovství: Jak přestat křičet a začít žít s dětmi v harmonii</t>
  </si>
  <si>
    <t>Laura Markham</t>
  </si>
  <si>
    <t>Markham, Laura</t>
  </si>
  <si>
    <t>Koncept kontinua. Hledání ztraceného štěstí pro nás a naše děti</t>
  </si>
  <si>
    <t>Jean Liedloff</t>
  </si>
  <si>
    <t>Liedloff, Jean</t>
  </si>
  <si>
    <t>Beštia</t>
  </si>
  <si>
    <t xml:space="preserve">Žiarenie </t>
  </si>
  <si>
    <t>The Shining, #1</t>
  </si>
  <si>
    <t>Sára</t>
  </si>
  <si>
    <t>Ostrov doktora Moreaua</t>
  </si>
  <si>
    <t>H.G. Wells</t>
  </si>
  <si>
    <t>Wells, H.G.</t>
  </si>
  <si>
    <t>Andy Weir</t>
  </si>
  <si>
    <t>Weir, Andy</t>
  </si>
  <si>
    <t xml:space="preserve">Slepota </t>
  </si>
  <si>
    <t>Jack Stapleton &amp; Laurie Montgomery, #1</t>
  </si>
  <si>
    <t>Toxin</t>
  </si>
  <si>
    <t>Tma</t>
  </si>
  <si>
    <t>Hra so svetmi</t>
  </si>
  <si>
    <t>Invázia z galaxie</t>
  </si>
  <si>
    <t>Neklidná krev</t>
  </si>
  <si>
    <t>Únosné riziko</t>
  </si>
  <si>
    <t>Cesta</t>
  </si>
  <si>
    <t>Cormac McCarthy</t>
  </si>
  <si>
    <t>McCarthy, Cormac</t>
  </si>
  <si>
    <t>Indigový svět – Transformace kreativních myšlenek do reality podle kvantové fyziky</t>
  </si>
  <si>
    <t>Simon Loyd</t>
  </si>
  <si>
    <t>Loyd, Simon</t>
  </si>
  <si>
    <t>Vystúpte z kolotoča diét</t>
  </si>
  <si>
    <t>Michal Páleník</t>
  </si>
  <si>
    <t>Páleník, Michal</t>
  </si>
  <si>
    <t>Alias Grace</t>
  </si>
  <si>
    <t>Margaret Atwood</t>
  </si>
  <si>
    <t>Atwood, Margaret</t>
  </si>
  <si>
    <t>Marie Forleo</t>
  </si>
  <si>
    <t>Forleo, Marie</t>
  </si>
  <si>
    <t xml:space="preserve">Vražda na Ostrove Camino </t>
  </si>
  <si>
    <t>Ostrov Camino, #2</t>
  </si>
  <si>
    <t>Spát v moři hvězd - Kniha II.</t>
  </si>
  <si>
    <t>Odpor</t>
  </si>
  <si>
    <t>Svědectví</t>
  </si>
  <si>
    <t>GRM: Brainfuck</t>
  </si>
  <si>
    <t>Sibylle Berg</t>
  </si>
  <si>
    <t>Berg, Sibylle</t>
  </si>
  <si>
    <t>Příběh služebnice</t>
  </si>
  <si>
    <t>C.J. Tudor</t>
  </si>
  <si>
    <t>Tudor, C.J.</t>
  </si>
  <si>
    <t xml:space="preserve">Generácia apokalypsy </t>
  </si>
  <si>
    <t>Život, Na Ktorý Sme Naše Deti Nepripravili</t>
  </si>
  <si>
    <t>Juraj Mesík</t>
  </si>
  <si>
    <t>Mesík, Juraj</t>
  </si>
  <si>
    <t>Zásah</t>
  </si>
  <si>
    <t>Taylor  Adams</t>
  </si>
  <si>
    <t>Adams, Taylor</t>
  </si>
  <si>
    <t>Spát v moři hvězd - Kniha I.</t>
  </si>
  <si>
    <t>Niet úniku</t>
  </si>
  <si>
    <t>Popol všetkých zarovná</t>
  </si>
  <si>
    <t>Lásk@ na prvý klik</t>
  </si>
  <si>
    <t>Rainbow Rowell</t>
  </si>
  <si>
    <t>Rowell, Rainbow</t>
  </si>
  <si>
    <t xml:space="preserve">Rodina v podkroví </t>
  </si>
  <si>
    <t>Rodina V Podkroví, #1</t>
  </si>
  <si>
    <t>Elaine N. Aron</t>
  </si>
  <si>
    <t>Aron, Elaine N.</t>
  </si>
  <si>
    <t>Cizinec v cizí zemi</t>
  </si>
  <si>
    <t>Gill Sims</t>
  </si>
  <si>
    <t>Sims, Gill</t>
  </si>
  <si>
    <t>Plástev jedu</t>
  </si>
  <si>
    <t xml:space="preserve">Lov </t>
  </si>
  <si>
    <t>Martin Servaz #7</t>
  </si>
  <si>
    <t xml:space="preserve">Magický Prazdroj </t>
  </si>
  <si>
    <t>Úžasná Zeměplocha, #5; Mrakoplaš #3</t>
  </si>
  <si>
    <t xml:space="preserve">Noční brána </t>
  </si>
  <si>
    <t xml:space="preserve">Šachové figurky </t>
  </si>
  <si>
    <t>Lewis Trilogy, #3</t>
  </si>
  <si>
    <t>Deň, keď sme zmizli</t>
  </si>
  <si>
    <t>Lucy Robinson</t>
  </si>
  <si>
    <t>Robinson, Lucy</t>
  </si>
  <si>
    <t xml:space="preserve">Muž z ostrova Lewis </t>
  </si>
  <si>
    <t>Trilogie Lewis, #2</t>
  </si>
  <si>
    <t>Martin Kasarda</t>
  </si>
  <si>
    <t>Kasarda, Martin</t>
  </si>
  <si>
    <t xml:space="preserve">Skála </t>
  </si>
  <si>
    <t>Lewis Trilogy, #1</t>
  </si>
  <si>
    <t>Nepriateľ štátu</t>
  </si>
  <si>
    <t>V tieni mafie II – Čas dravcov</t>
  </si>
  <si>
    <t>Dny opuštění</t>
  </si>
  <si>
    <t xml:space="preserve">Čaroprávnost </t>
  </si>
  <si>
    <t>Úžasná Zeměplocha, #3</t>
  </si>
  <si>
    <t>Tíživá láska</t>
  </si>
  <si>
    <t xml:space="preserve">Nezvratné alibi </t>
  </si>
  <si>
    <t>Akta Enzo, #6</t>
  </si>
  <si>
    <t>V tieni mafie</t>
  </si>
  <si>
    <t xml:space="preserve">Zpětný ráz </t>
  </si>
  <si>
    <t>Akta Enzo, #5</t>
  </si>
  <si>
    <t xml:space="preserve">Entomologův odkaz </t>
  </si>
  <si>
    <t>Akta Enzo, #4</t>
  </si>
  <si>
    <t>Jael Backe</t>
  </si>
  <si>
    <t>Backe, Jael</t>
  </si>
  <si>
    <t>Jak se dělá imunita</t>
  </si>
  <si>
    <t>Blanka Rihova</t>
  </si>
  <si>
    <t>Rihova, Blanka</t>
  </si>
  <si>
    <t xml:space="preserve">Černé světlo </t>
  </si>
  <si>
    <t>Akta Enzo, #3</t>
  </si>
  <si>
    <t xml:space="preserve">Kritik </t>
  </si>
  <si>
    <t xml:space="preserve">Devět nocí </t>
  </si>
  <si>
    <t>Devět Dní, #2</t>
  </si>
  <si>
    <t>Zuzana Strachotová</t>
  </si>
  <si>
    <t>Strachotová, Zuzana</t>
  </si>
  <si>
    <t xml:space="preserve">Devět dní </t>
  </si>
  <si>
    <t>Devět Dní, #1</t>
  </si>
  <si>
    <t xml:space="preserve">Výnimoční ľudia </t>
  </si>
  <si>
    <t>Koniec je blízko</t>
  </si>
  <si>
    <t>Henrik Svensen</t>
  </si>
  <si>
    <t>Svensen, Henrik</t>
  </si>
  <si>
    <t xml:space="preserve">First Blood </t>
  </si>
  <si>
    <t>D.I. Kim Stone #0</t>
  </si>
  <si>
    <t>Angela Marsons</t>
  </si>
  <si>
    <t>Marsons, Angela</t>
  </si>
  <si>
    <t xml:space="preserve">Děti Duny </t>
  </si>
  <si>
    <t>Duna, #3</t>
  </si>
  <si>
    <t>Frank Patrick Herbert</t>
  </si>
  <si>
    <t>Herbert, Frank Patrick</t>
  </si>
  <si>
    <t>Imunita: Cesta dovnútra záhadného systému, ktorý vás drží nažive</t>
  </si>
  <si>
    <t>Philipp Dettmer</t>
  </si>
  <si>
    <t>Dettmer, Philipp</t>
  </si>
  <si>
    <t xml:space="preserve">Spasitel Duny </t>
  </si>
  <si>
    <t>Duna, #2</t>
  </si>
  <si>
    <t xml:space="preserve">Duna </t>
  </si>
  <si>
    <t>Duna, #1</t>
  </si>
  <si>
    <t>Velmi osobní kniha o zdraví</t>
  </si>
  <si>
    <t>Margit Slimáková</t>
  </si>
  <si>
    <t>Slimáková, Margit</t>
  </si>
  <si>
    <t xml:space="preserve">Lehké fantastično </t>
  </si>
  <si>
    <t>Úžasná Zeměplocha, #2</t>
  </si>
  <si>
    <t xml:space="preserve">Barva kouzel </t>
  </si>
  <si>
    <t>Úžasná Zeměplocha, #1; Mrakoplaš, #1</t>
  </si>
  <si>
    <t>Karanténa</t>
  </si>
  <si>
    <t xml:space="preserve">Nůž </t>
  </si>
  <si>
    <t>Harry Hole, #12</t>
  </si>
  <si>
    <t xml:space="preserve">Smäd </t>
  </si>
  <si>
    <t>Harry Hole #11</t>
  </si>
  <si>
    <t>Prečo má mama všetko v...</t>
  </si>
  <si>
    <t xml:space="preserve">Policie </t>
  </si>
  <si>
    <t>Harry Hole, #10</t>
  </si>
  <si>
    <t>Medicína výživy</t>
  </si>
  <si>
    <t xml:space="preserve">Přízrak </t>
  </si>
  <si>
    <t>Harry Hole #9</t>
  </si>
  <si>
    <t>Elizabeth Gilbert</t>
  </si>
  <si>
    <t>Gilbert, Elizabeth</t>
  </si>
  <si>
    <t>Neposlušné deti neexistujú</t>
  </si>
  <si>
    <t>Kate Silverton</t>
  </si>
  <si>
    <t>Silverton, Kate</t>
  </si>
  <si>
    <t>Harry Hole, #8</t>
  </si>
  <si>
    <t xml:space="preserve">Dětské duše </t>
  </si>
  <si>
    <t>Případy Kim Stoneové, #11</t>
  </si>
  <si>
    <t>Snehuliak</t>
  </si>
  <si>
    <t xml:space="preserve">Mrtvé vzpomínky </t>
  </si>
  <si>
    <t>Případy Kim Stoneové, #10</t>
  </si>
  <si>
    <t xml:space="preserve">Spasitel </t>
  </si>
  <si>
    <t>Harry Hole, #6</t>
  </si>
  <si>
    <t>Danielle Steel</t>
  </si>
  <si>
    <t>Steel, Danielle</t>
  </si>
  <si>
    <t xml:space="preserve">Pentagram </t>
  </si>
  <si>
    <t>Harry Hole, #5</t>
  </si>
  <si>
    <t xml:space="preserve">Osudný slib </t>
  </si>
  <si>
    <t>Případy Kim Stoneové, #9</t>
  </si>
  <si>
    <t xml:space="preserve">Nemesis </t>
  </si>
  <si>
    <t>Harry Hole, #4</t>
  </si>
  <si>
    <t xml:space="preserve">Červenka </t>
  </si>
  <si>
    <t>Harry Hole, #3</t>
  </si>
  <si>
    <t xml:space="preserve">Šváby </t>
  </si>
  <si>
    <t>Harry Hole, #2</t>
  </si>
  <si>
    <t xml:space="preserve">Netopýr </t>
  </si>
  <si>
    <t>Harry Hole #1</t>
  </si>
  <si>
    <t>Mama milovala Gabčíka</t>
  </si>
  <si>
    <t>Veronika Homolová Tóthová</t>
  </si>
  <si>
    <t>Tóthová, Veronika Homolová</t>
  </si>
  <si>
    <t>Všichni muži Kremlu: Stručná historie dnešního Ruska</t>
  </si>
  <si>
    <t>Михаил Зыгарь</t>
  </si>
  <si>
    <t>Зыгарь, Михаил</t>
  </si>
  <si>
    <t xml:space="preserve">Proč máma pije </t>
  </si>
  <si>
    <t>Deník Rozčílené Matky #1</t>
  </si>
  <si>
    <t xml:space="preserve">Temná věž </t>
  </si>
  <si>
    <t>Temná Věž, #7</t>
  </si>
  <si>
    <t>Second Chance</t>
  </si>
  <si>
    <t>Veľká šachovnica</t>
  </si>
  <si>
    <t>Zbigniew Brzeziński</t>
  </si>
  <si>
    <t>Brzeziński, Zbigniew</t>
  </si>
  <si>
    <t xml:space="preserve">Zpěv Susannah </t>
  </si>
  <si>
    <t>Temná Věž, #6</t>
  </si>
  <si>
    <t>Svedectvo o živote v KĽDR</t>
  </si>
  <si>
    <t>Nina Špitálníková</t>
  </si>
  <si>
    <t>Špitálníková, Nina</t>
  </si>
  <si>
    <t>Cesta do neslobody: Rusko, Európa, Amerika</t>
  </si>
  <si>
    <t>Timothy Snyder</t>
  </si>
  <si>
    <t>Snyder, Timothy</t>
  </si>
  <si>
    <t xml:space="preserve">Vlci z Cally </t>
  </si>
  <si>
    <t>Temná Věž, #5</t>
  </si>
  <si>
    <t>Dan Wells</t>
  </si>
  <si>
    <t>Wells, Dan</t>
  </si>
  <si>
    <t>V zajatí geografie</t>
  </si>
  <si>
    <t>Tim  Marshall</t>
  </si>
  <si>
    <t>Marshall, Tim</t>
  </si>
  <si>
    <t>Krátke dejiny Ruska: Od pohanov k Putinovi</t>
  </si>
  <si>
    <t>Mark Galeotti</t>
  </si>
  <si>
    <t>Galeotti, Mark</t>
  </si>
  <si>
    <t>Na brehu spieva dav</t>
  </si>
  <si>
    <t>Michal Franka</t>
  </si>
  <si>
    <t>Franka, Michal</t>
  </si>
  <si>
    <t xml:space="preserve">Čaroděj a sklo </t>
  </si>
  <si>
    <t>Temná Věž, #4</t>
  </si>
  <si>
    <t>Musíme si pohovoriť o Putinovi</t>
  </si>
  <si>
    <t>Donbas: Svadobný apartmán v hoteli Vojna</t>
  </si>
  <si>
    <t>Tomáš Forró</t>
  </si>
  <si>
    <t>Forró, Tomáš</t>
  </si>
  <si>
    <t>Keď Hitler bral kokaín a Leninovi ukradli mozog</t>
  </si>
  <si>
    <t>Giles Milton</t>
  </si>
  <si>
    <t>Milton, Giles</t>
  </si>
  <si>
    <t xml:space="preserve">QualityLand </t>
  </si>
  <si>
    <t>Qualityland, #1</t>
  </si>
  <si>
    <t>Marc-Uwe Kling</t>
  </si>
  <si>
    <t>Kling, Marc-Uwe</t>
  </si>
  <si>
    <t xml:space="preserve">Skryté karty </t>
  </si>
  <si>
    <t>Případy Kim Stoneové, #8</t>
  </si>
  <si>
    <t>Priznania štyridsiatničky, ktorá si pos*ala život</t>
  </si>
  <si>
    <t>Alexandra Potter</t>
  </si>
  <si>
    <t>Potter, Alexandra</t>
  </si>
  <si>
    <t xml:space="preserve">Pustiny </t>
  </si>
  <si>
    <t>Temná Věž, #3</t>
  </si>
  <si>
    <t>Leela Cyd</t>
  </si>
  <si>
    <t>Cyd, Leela</t>
  </si>
  <si>
    <t xml:space="preserve">Tři vyvolení </t>
  </si>
  <si>
    <t>Temná Věž, #2</t>
  </si>
  <si>
    <t>Zdravie bez liekov</t>
  </si>
  <si>
    <t>Ladislav Kužela</t>
  </si>
  <si>
    <t>Kužela, Ladislav</t>
  </si>
  <si>
    <t>Prípad Thomasa Quicka</t>
  </si>
  <si>
    <t>Hannes Råstam</t>
  </si>
  <si>
    <t>Råstam, Hannes</t>
  </si>
  <si>
    <t>Druhá tvář</t>
  </si>
  <si>
    <t>Ashley Audrain</t>
  </si>
  <si>
    <t>Audrain, Ashley</t>
  </si>
  <si>
    <t xml:space="preserve">Piliere zeme </t>
  </si>
  <si>
    <t>Piliere Zeme, #1</t>
  </si>
  <si>
    <t>Zdravé črevo a trávenie</t>
  </si>
  <si>
    <t>D.K. Publishing</t>
  </si>
  <si>
    <t>Publishing, D.K.</t>
  </si>
  <si>
    <t xml:space="preserve">Pistolník </t>
  </si>
  <si>
    <t>Temná Věž, #1</t>
  </si>
  <si>
    <t>Na okraji propasti</t>
  </si>
  <si>
    <t>Inštitúcia</t>
  </si>
  <si>
    <t>Zkurvenej příběh</t>
  </si>
  <si>
    <t>Jiří Žák</t>
  </si>
  <si>
    <t>Smäd</t>
  </si>
  <si>
    <t>Hlad</t>
  </si>
  <si>
    <t>The Great Influenza: The Story of the Deadliest Pandemic in History</t>
  </si>
  <si>
    <t>John M. Barry</t>
  </si>
  <si>
    <t>Barry, John M.</t>
  </si>
  <si>
    <t xml:space="preserve">Údolí </t>
  </si>
  <si>
    <t>Detektiv Martin Servaz, #6</t>
  </si>
  <si>
    <t xml:space="preserve">Sestry </t>
  </si>
  <si>
    <t>Detektiv Martin Servaz, #5</t>
  </si>
  <si>
    <t xml:space="preserve">Pokrevní pouta </t>
  </si>
  <si>
    <t>Případy Kim Stoneové, #5</t>
  </si>
  <si>
    <t xml:space="preserve">Poslední aristokratka </t>
  </si>
  <si>
    <t>Aristokratka, #1</t>
  </si>
  <si>
    <t>Evžen Boček</t>
  </si>
  <si>
    <t>Boček, Evžen</t>
  </si>
  <si>
    <t>Smršť</t>
  </si>
  <si>
    <t>Anna Kareninová</t>
  </si>
  <si>
    <t>Leo Tolstoy</t>
  </si>
  <si>
    <t>Tolstoy, Leo</t>
  </si>
  <si>
    <t>Na konci októbra</t>
  </si>
  <si>
    <t>Lawrence Wright</t>
  </si>
  <si>
    <t>Wright, Lawrence</t>
  </si>
  <si>
    <t>Dívaj sa na hviezdy</t>
  </si>
  <si>
    <t>Eva Slonim</t>
  </si>
  <si>
    <t>Slonim, Eva</t>
  </si>
  <si>
    <t>Will Grayson, Will Grayson</t>
  </si>
  <si>
    <t>John  Green</t>
  </si>
  <si>
    <t>Green, John</t>
  </si>
  <si>
    <t>A neostal ani jeden</t>
  </si>
  <si>
    <t>Kvety pre Algernona</t>
  </si>
  <si>
    <t>Daniel Keyes</t>
  </si>
  <si>
    <t>Keyes, Daniel</t>
  </si>
  <si>
    <t>451 stupňov Fahrenheita</t>
  </si>
  <si>
    <t>Ray Bradbury</t>
  </si>
  <si>
    <t>Bradbury, Ray</t>
  </si>
  <si>
    <t>Ako prekonať klamstvá o chudnutí</t>
  </si>
  <si>
    <t>Nadja  Hermann</t>
  </si>
  <si>
    <t>Hermann, Nadja</t>
  </si>
  <si>
    <t>Muž menom Ove</t>
  </si>
  <si>
    <t>Toto mali čítať naši rodičia</t>
  </si>
  <si>
    <t>Philippa Perry</t>
  </si>
  <si>
    <t>Perry, Philippa</t>
  </si>
  <si>
    <t xml:space="preserve">Bez milosti </t>
  </si>
  <si>
    <t>Na Smrť, #2</t>
  </si>
  <si>
    <t>Malé jablko</t>
  </si>
  <si>
    <t>Katarína Hybenová</t>
  </si>
  <si>
    <t>Hybenová, Katarína</t>
  </si>
  <si>
    <t>Aprílový sneh</t>
  </si>
  <si>
    <t>Rosamunde Pilcher</t>
  </si>
  <si>
    <t>Pilcher, Rosamunde</t>
  </si>
  <si>
    <t>Babička pozdravuje a omlouvá se</t>
  </si>
  <si>
    <t>Co by můj syn měl vědět o světě</t>
  </si>
  <si>
    <t>Kúzelné upratovanie</t>
  </si>
  <si>
    <t>Marie Kondō</t>
  </si>
  <si>
    <t>Kondō, Marie</t>
  </si>
  <si>
    <t>Tu žila Britt-Marie</t>
  </si>
  <si>
    <t>Medveďovce</t>
  </si>
  <si>
    <t>Listopád</t>
  </si>
  <si>
    <t>Detský plač v podkroví</t>
  </si>
  <si>
    <t>Ivana Ondriová</t>
  </si>
  <si>
    <t>Ondriová, Ivana</t>
  </si>
  <si>
    <t>Blog za milión</t>
  </si>
  <si>
    <t>Natasha Courtenay-Smith</t>
  </si>
  <si>
    <t>Courtenay-Smith, Natasha</t>
  </si>
  <si>
    <t xml:space="preserve">My proti vám </t>
  </si>
  <si>
    <t>Medvědín, #2</t>
  </si>
  <si>
    <t>Osvienčimská uspávanka</t>
  </si>
  <si>
    <t>Mario Escobar</t>
  </si>
  <si>
    <t>Escobar, Mario</t>
  </si>
  <si>
    <t xml:space="preserve">Aristokratka ve varu </t>
  </si>
  <si>
    <t>Aristokratka, #2</t>
  </si>
  <si>
    <t>Gauč alebo šťastie</t>
  </si>
  <si>
    <t>Maroš Molnár, Lucia Pastierová Čarná</t>
  </si>
  <si>
    <t>Čarná, Maroš Molnár, Lucia Pastierová</t>
  </si>
  <si>
    <t xml:space="preserve">Mŕtve duše </t>
  </si>
  <si>
    <t xml:space="preserve">Mráz </t>
  </si>
  <si>
    <t>Detektiv Martin Servaz, #1</t>
  </si>
  <si>
    <t xml:space="preserve">Kruh </t>
  </si>
  <si>
    <t>Detektiv Martin Servaz, #2</t>
  </si>
  <si>
    <t xml:space="preserve">Tma </t>
  </si>
  <si>
    <t>Detektiv Martin Servaz, #3</t>
  </si>
  <si>
    <t xml:space="preserve">Noc </t>
  </si>
  <si>
    <t>Detektiv Martin Servaz, #4</t>
  </si>
  <si>
    <t>Súrodenci bez rivality</t>
  </si>
  <si>
    <t>Adele Faber</t>
  </si>
  <si>
    <t>Faber, Adele</t>
  </si>
  <si>
    <t>Anthony William</t>
  </si>
  <si>
    <t>William, Anthony</t>
  </si>
  <si>
    <t xml:space="preserve">Němý křik </t>
  </si>
  <si>
    <t>Případy Kim Stoneové, #1</t>
  </si>
  <si>
    <t>Turner, Sarah</t>
  </si>
  <si>
    <t>Polámané kosti</t>
  </si>
  <si>
    <t>Zachráňte Svoje Črevo - Nové Riešenia Tráviacich Problémov</t>
  </si>
  <si>
    <t>Igor Bukovský</t>
  </si>
  <si>
    <t>Bukovský, Igor</t>
  </si>
  <si>
    <t xml:space="preserve">Hra na smrť </t>
  </si>
  <si>
    <t xml:space="preserve">Aristokratka na koni </t>
  </si>
  <si>
    <t>Aristokratka, #3</t>
  </si>
  <si>
    <t>Odpadlík</t>
  </si>
  <si>
    <t>Paul Beatty</t>
  </si>
  <si>
    <t>Beatty, Paul</t>
  </si>
  <si>
    <t>Tiché roky</t>
  </si>
  <si>
    <t>Michelle Obama</t>
  </si>
  <si>
    <t>Obama, Michelle</t>
  </si>
  <si>
    <t>Jednosmerný lístok</t>
  </si>
  <si>
    <t>Jay Forman</t>
  </si>
  <si>
    <t>Forman, Jay</t>
  </si>
  <si>
    <t>Kráľ potkanov</t>
  </si>
  <si>
    <t>Pascal Engman</t>
  </si>
  <si>
    <t>Engman, Pascal</t>
  </si>
  <si>
    <t>Ostrov Camino</t>
  </si>
  <si>
    <t>Michaela Ella Hajduková</t>
  </si>
  <si>
    <t>Hajduková, Michaela Ella</t>
  </si>
  <si>
    <t xml:space="preserve">Na smrť </t>
  </si>
  <si>
    <t>Na Smrť, #1</t>
  </si>
  <si>
    <t xml:space="preserve">Smrtiaca biela </t>
  </si>
  <si>
    <t>Cormoran Strike, #4</t>
  </si>
  <si>
    <t xml:space="preserve">Ve službách zla </t>
  </si>
  <si>
    <t>Cormoran Strike, #3</t>
  </si>
  <si>
    <t>Nevinná hra</t>
  </si>
  <si>
    <t>Alex Dahl</t>
  </si>
  <si>
    <t>Dahl, Alex</t>
  </si>
  <si>
    <t xml:space="preserve">Hodvábnik </t>
  </si>
  <si>
    <t>Cormoran Strike, #2</t>
  </si>
  <si>
    <t>Ohňová zem</t>
  </si>
  <si>
    <t xml:space="preserve">Volanie kukučky </t>
  </si>
  <si>
    <t>Cormoran Strike, #1</t>
  </si>
  <si>
    <t xml:space="preserve">Genome </t>
  </si>
  <si>
    <t>The Extinction Files, #2</t>
  </si>
  <si>
    <t>Tajný príbeh</t>
  </si>
  <si>
    <t>Donna Tartt</t>
  </si>
  <si>
    <t>Tartt, Donna</t>
  </si>
  <si>
    <t>A je tu zas</t>
  </si>
  <si>
    <t>Timur Vermes</t>
  </si>
  <si>
    <t>Vermes, Timur</t>
  </si>
  <si>
    <t>Posledná pani Parrishová</t>
  </si>
  <si>
    <t>Liv Constantine</t>
  </si>
  <si>
    <t>Constantine, Liv</t>
  </si>
  <si>
    <t>Inga Lindström</t>
  </si>
  <si>
    <t>Lindström, Inga</t>
  </si>
  <si>
    <t>Hana</t>
  </si>
  <si>
    <t>Bouřková sezóna</t>
  </si>
  <si>
    <t>Andrzej Sapkowski</t>
  </si>
  <si>
    <t>Sapkowski, Andrzej</t>
  </si>
  <si>
    <t xml:space="preserve">Paní jezera </t>
  </si>
  <si>
    <t>Zaklínač, #7</t>
  </si>
  <si>
    <t xml:space="preserve">Sklenené telá </t>
  </si>
  <si>
    <t>Melankolitrilogin, #1</t>
  </si>
  <si>
    <t>Erik Axl Sund</t>
  </si>
  <si>
    <t>Sund, Erik Axl</t>
  </si>
  <si>
    <t>Malý tyran</t>
  </si>
  <si>
    <t>Jiřina Prekopová</t>
  </si>
  <si>
    <t>Prekopová, Jiřina</t>
  </si>
  <si>
    <t xml:space="preserve">Věž vlaštovky </t>
  </si>
  <si>
    <t>Zaklínač, #6</t>
  </si>
  <si>
    <t xml:space="preserve">Křest ohněm </t>
  </si>
  <si>
    <t>Zaklínač, #5</t>
  </si>
  <si>
    <t>The Extinction Files, #1</t>
  </si>
  <si>
    <t xml:space="preserve">Čas opovržení </t>
  </si>
  <si>
    <t>Zaklínač, #4</t>
  </si>
  <si>
    <t>Jane Nelsen</t>
  </si>
  <si>
    <t>Nelsen, Jane</t>
  </si>
  <si>
    <t xml:space="preserve">Krev elfů </t>
  </si>
  <si>
    <t>Zaklínač, #3</t>
  </si>
  <si>
    <t xml:space="preserve">Atlantský svět </t>
  </si>
  <si>
    <t>The Origin Mystery, #3</t>
  </si>
  <si>
    <t>Intuitivne stravovanie</t>
  </si>
  <si>
    <t>Svetlana Bronnikovova</t>
  </si>
  <si>
    <t>Bronnikovova, Svetlana</t>
  </si>
  <si>
    <t xml:space="preserve">Meč osudu </t>
  </si>
  <si>
    <t>Zaklínač, #2</t>
  </si>
  <si>
    <t xml:space="preserve">Atlantský mor </t>
  </si>
  <si>
    <t>The Origin Mystery, #2</t>
  </si>
  <si>
    <t>Pred pádom</t>
  </si>
  <si>
    <t>Noah Hawley</t>
  </si>
  <si>
    <t>Hawley, Noah</t>
  </si>
  <si>
    <t xml:space="preserve">Zaklínač </t>
  </si>
  <si>
    <t>Inn Boonsboro Trilogy, #1</t>
  </si>
  <si>
    <t>Nora Roberts</t>
  </si>
  <si>
    <t>Roberts, Nora</t>
  </si>
  <si>
    <t xml:space="preserve">Atlantský gen </t>
  </si>
  <si>
    <t>The Origin Mystery, #1</t>
  </si>
  <si>
    <t>Snívanie vo svetle polárnej žiary</t>
  </si>
  <si>
    <t>Nezabudni na mňa</t>
  </si>
  <si>
    <t>Hnev: Vtedy na východe</t>
  </si>
  <si>
    <t>Arpád Soltész</t>
  </si>
  <si>
    <t>Soltész, Arpád</t>
  </si>
  <si>
    <t>Mesto</t>
  </si>
  <si>
    <t>Camilla Sten</t>
  </si>
  <si>
    <t>Sten, Camilla</t>
  </si>
  <si>
    <t xml:space="preserve">Příběh ztracené holčičky </t>
  </si>
  <si>
    <t>Geniální Přítelkyně, #4</t>
  </si>
  <si>
    <t>Krajina krásnych ľudí</t>
  </si>
  <si>
    <t xml:space="preserve">Tí, čo odchádzajú - tí, čo zostávajú </t>
  </si>
  <si>
    <t>Neapolská Sága, #3</t>
  </si>
  <si>
    <t xml:space="preserve">Zmiznuté dievčatá </t>
  </si>
  <si>
    <t>Obhliadka bytu</t>
  </si>
  <si>
    <t>Andrea Coddington</t>
  </si>
  <si>
    <t>Coddington, Andrea</t>
  </si>
  <si>
    <t>Samostatné dieťa alebo Ako sa stať lenivou mamou</t>
  </si>
  <si>
    <t>Anna Bykovová</t>
  </si>
  <si>
    <t>Bykovová, Anna</t>
  </si>
  <si>
    <t>Tanith Carey</t>
  </si>
  <si>
    <t>Carey, Tanith</t>
  </si>
  <si>
    <t>Bas Kast</t>
  </si>
  <si>
    <t>Kast, Bas</t>
  </si>
  <si>
    <t>Annette Kast-Zahn</t>
  </si>
  <si>
    <t>Kast-Zahn, Annette</t>
  </si>
  <si>
    <t xml:space="preserve">Diabolské hry </t>
  </si>
  <si>
    <t xml:space="preserve">Uvoľnení </t>
  </si>
  <si>
    <t>Unwind, #1</t>
  </si>
  <si>
    <t>Jak žít a nezbláznit se</t>
  </si>
  <si>
    <t>Lidmila Pekařová</t>
  </si>
  <si>
    <t>Pekařová, Lidmila</t>
  </si>
  <si>
    <t>Trvalý záznam</t>
  </si>
  <si>
    <t>Edward Snowden</t>
  </si>
  <si>
    <t>Snowden, Edward</t>
  </si>
  <si>
    <t>Ale ja nechcem!</t>
  </si>
  <si>
    <t>Susanne Mierau</t>
  </si>
  <si>
    <t>Mierau, Susanne</t>
  </si>
  <si>
    <t xml:space="preserve">Príbeh nového priezviska </t>
  </si>
  <si>
    <t>Neapolská Sága, #2</t>
  </si>
  <si>
    <t>Wayward Pines, #3</t>
  </si>
  <si>
    <t>Wayward Pines, #2</t>
  </si>
  <si>
    <t>Wayward Pines, #1</t>
  </si>
  <si>
    <t>Temná hmota</t>
  </si>
  <si>
    <t>Clayov most</t>
  </si>
  <si>
    <t>Markus Zusak</t>
  </si>
  <si>
    <t>Zusak, Markus</t>
  </si>
  <si>
    <t xml:space="preserve">Geniální přítelkyně </t>
  </si>
  <si>
    <t>L'Amica Geniale #1</t>
  </si>
  <si>
    <t>Strach</t>
  </si>
  <si>
    <t>The Last Policeman, #3</t>
  </si>
  <si>
    <t>Ben H. Winters</t>
  </si>
  <si>
    <t>Winters, Ben H.</t>
  </si>
  <si>
    <t>The Last Policeman, #2</t>
  </si>
  <si>
    <t>The Last Policeman, #1</t>
  </si>
  <si>
    <t>Čierny kruh: Koniec mafie</t>
  </si>
  <si>
    <t>Druhá planéta</t>
  </si>
  <si>
    <t>Jana Plauchová</t>
  </si>
  <si>
    <t>Plauchová, Jana</t>
  </si>
  <si>
    <t>Americký deník</t>
  </si>
  <si>
    <t>Jana Ciglerová</t>
  </si>
  <si>
    <t>Ciglerová, Jana</t>
  </si>
  <si>
    <t xml:space="preserve">Čierna hra </t>
  </si>
  <si>
    <t>Vláda Mafie</t>
  </si>
  <si>
    <t>Krotitelia displejov</t>
  </si>
  <si>
    <t>Slávka Kubíková</t>
  </si>
  <si>
    <t>Kubíková, Slávka</t>
  </si>
  <si>
    <t>Vieme prví</t>
  </si>
  <si>
    <t>Adriana Macháčová</t>
  </si>
  <si>
    <t>Macháčová, Adriana</t>
  </si>
  <si>
    <t>Deborah McKinlay</t>
  </si>
  <si>
    <t>McKinlay, Deborah</t>
  </si>
  <si>
    <t>Budem mama</t>
  </si>
  <si>
    <t>Kristína Tormová</t>
  </si>
  <si>
    <t>Tormová, Kristína</t>
  </si>
  <si>
    <t>Why Mummy, #2</t>
  </si>
  <si>
    <t>Hundred-Year-Old Man, #2</t>
  </si>
  <si>
    <t>Mäso: Vtedy na východe</t>
  </si>
  <si>
    <t>Sviňa</t>
  </si>
  <si>
    <t>Klub nerozbitných detí</t>
  </si>
  <si>
    <t>Artemis</t>
  </si>
  <si>
    <t xml:space="preserve">The Tattooist of Auschwitz </t>
  </si>
  <si>
    <t>The Tattooist Of Auschwitz, #1</t>
  </si>
  <si>
    <t>Heather   Morris</t>
  </si>
  <si>
    <t>Morris, Heather</t>
  </si>
  <si>
    <t>Priepasť</t>
  </si>
  <si>
    <t>Čierny rok: Vojna mafie</t>
  </si>
  <si>
    <t>Krvavé jahody</t>
  </si>
  <si>
    <t>Jiří S. Kupka</t>
  </si>
  <si>
    <t>Kupka, Jiří S.</t>
  </si>
  <si>
    <t>Carrie Elks</t>
  </si>
  <si>
    <t>Elks, Carrie</t>
  </si>
  <si>
    <t>Louisa Thomsen Brits</t>
  </si>
  <si>
    <t>Brits, Louisa Thomsen</t>
  </si>
  <si>
    <t>Mengeleho dievča</t>
  </si>
  <si>
    <t>Viola Stern Fischerová</t>
  </si>
  <si>
    <t>Fischerová, Viola Stern</t>
  </si>
  <si>
    <t>Sebastian Niedlich</t>
  </si>
  <si>
    <t>Niedlich, Sebastian</t>
  </si>
  <si>
    <t>Keď láska zabíja</t>
  </si>
  <si>
    <t xml:space="preserve">Harry Potter and the Cursed Child: Parts One and Two </t>
  </si>
  <si>
    <t>Harry Potter, #8</t>
  </si>
  <si>
    <t>J.K. Rowling</t>
  </si>
  <si>
    <t>Rowling, J.K.</t>
  </si>
  <si>
    <t>Trhlina</t>
  </si>
  <si>
    <t>Umenie lásky</t>
  </si>
  <si>
    <t>Jana Mutňanská</t>
  </si>
  <si>
    <t>Mutňanská, Jana</t>
  </si>
  <si>
    <t>Nemecké dievča neplače</t>
  </si>
  <si>
    <t xml:space="preserve">Ready Player One </t>
  </si>
  <si>
    <t>Ready Player One, #1</t>
  </si>
  <si>
    <t>Laurie Halse Anderson</t>
  </si>
  <si>
    <t>Anderson, Laurie Halse</t>
  </si>
  <si>
    <t xml:space="preserve">Metro 2035 </t>
  </si>
  <si>
    <t>Metro, #3</t>
  </si>
  <si>
    <t>Don Tillman, #2</t>
  </si>
  <si>
    <t>Graeme Simsion</t>
  </si>
  <si>
    <t>Simsion, Graeme</t>
  </si>
  <si>
    <t>Keď slzy liečia</t>
  </si>
  <si>
    <t>Eva Dedinská</t>
  </si>
  <si>
    <t>Dedinská, Eva</t>
  </si>
  <si>
    <t>Stále som mama</t>
  </si>
  <si>
    <t>Kristína Farkašová</t>
  </si>
  <si>
    <t>Farkašová, Kristína</t>
  </si>
  <si>
    <t>Som mama</t>
  </si>
  <si>
    <t>George Friedman</t>
  </si>
  <si>
    <t>Friedman, George</t>
  </si>
  <si>
    <t xml:space="preserve">Stalker </t>
  </si>
  <si>
    <t>Joona Linna, #5</t>
  </si>
  <si>
    <t>The Maze Runner, #3</t>
  </si>
  <si>
    <t>James Dashner</t>
  </si>
  <si>
    <t>Dashner, James</t>
  </si>
  <si>
    <t>The Maze Runner, #2</t>
  </si>
  <si>
    <t xml:space="preserve">I Heart Christmas </t>
  </si>
  <si>
    <t>I Heart, #6</t>
  </si>
  <si>
    <t>Lindsey Kelk</t>
  </si>
  <si>
    <t>Kelk, Lindsey</t>
  </si>
  <si>
    <t>Silo, #3</t>
  </si>
  <si>
    <t>Silo, #2</t>
  </si>
  <si>
    <t>Silo, #1</t>
  </si>
  <si>
    <t>Mal to byť pekný život</t>
  </si>
  <si>
    <t>Nevinným sa neodpúšťa</t>
  </si>
  <si>
    <t>The 5Th Wave, #3</t>
  </si>
  <si>
    <t>Rick Yancey</t>
  </si>
  <si>
    <t>Yancey, Rick</t>
  </si>
  <si>
    <t>The 5Th Wave, #2</t>
  </si>
  <si>
    <t>The 5Th Wave, #1</t>
  </si>
  <si>
    <t>Haló, tu je tvoja láska</t>
  </si>
  <si>
    <t>Jana Benková</t>
  </si>
  <si>
    <t>Benková, Jana</t>
  </si>
  <si>
    <t>Marriage To A Billionaire, #3</t>
  </si>
  <si>
    <t>Jennifer Probst</t>
  </si>
  <si>
    <t>Probst, Jennifer</t>
  </si>
  <si>
    <t>Rebecca  James</t>
  </si>
  <si>
    <t>James, Rebecca</t>
  </si>
  <si>
    <t>Victoria Bergman, #1-3</t>
  </si>
  <si>
    <t>Marriage To A Billionaire, #2</t>
  </si>
  <si>
    <t>Suzanne  Evans</t>
  </si>
  <si>
    <t>Evans, Suzanne</t>
  </si>
  <si>
    <t>Divergent, #3</t>
  </si>
  <si>
    <t>What's New, Pussycat?</t>
  </si>
  <si>
    <t>The Century Trilogy, #3</t>
  </si>
  <si>
    <t>The Century Trilogy #2</t>
  </si>
  <si>
    <t>The Century Trilogy, #1</t>
  </si>
  <si>
    <t xml:space="preserve">Kandidát </t>
  </si>
  <si>
    <t>Denníky Z Odpočúvania</t>
  </si>
  <si>
    <t>Maroš Hečko</t>
  </si>
  <si>
    <t>Hečko, Maroš</t>
  </si>
  <si>
    <t>I Heart, #1</t>
  </si>
  <si>
    <t>Marriage To A Billionaire, #1</t>
  </si>
  <si>
    <t>You're The One That I Don't Want</t>
  </si>
  <si>
    <t>Koethi Zan</t>
  </si>
  <si>
    <t>Zan, Koethi</t>
  </si>
  <si>
    <t>Hundred-Year-Old Man, #1</t>
  </si>
  <si>
    <t>Joona Linna, #3</t>
  </si>
  <si>
    <t>Na sociálnej sieti</t>
  </si>
  <si>
    <t>Eva Martinovičová</t>
  </si>
  <si>
    <t>Martinovičová, Eva</t>
  </si>
  <si>
    <t>Za facku</t>
  </si>
  <si>
    <t>Eva Urbaníková</t>
  </si>
  <si>
    <t>Urbaníková, Eva</t>
  </si>
  <si>
    <t>The Passage, #3</t>
  </si>
  <si>
    <t>Justin Cronin</t>
  </si>
  <si>
    <t>Cronin, Justin</t>
  </si>
  <si>
    <t>The Passage, #2</t>
  </si>
  <si>
    <t>Arabský svet - Iná planéta?</t>
  </si>
  <si>
    <t>Emíre Khidayer</t>
  </si>
  <si>
    <t>Khidayer, Emíre</t>
  </si>
  <si>
    <t>Who's That Girl?</t>
  </si>
  <si>
    <t>Neverné</t>
  </si>
  <si>
    <t>Ivana Havranová</t>
  </si>
  <si>
    <t>Havranová, Ivana</t>
  </si>
  <si>
    <t>David  Mitchell</t>
  </si>
  <si>
    <t>Mitchell, David</t>
  </si>
  <si>
    <t>Fifty Shades, #3</t>
  </si>
  <si>
    <t>E.L. James</t>
  </si>
  <si>
    <t>James, E.L.</t>
  </si>
  <si>
    <t>Fifty Shades, #2</t>
  </si>
  <si>
    <t>Partials Sequence, #1</t>
  </si>
  <si>
    <t xml:space="preserve">Where She Went </t>
  </si>
  <si>
    <t>If I Stay, #2</t>
  </si>
  <si>
    <t>Gayle Forman</t>
  </si>
  <si>
    <t>Forman, Gayle</t>
  </si>
  <si>
    <t xml:space="preserve">If I Stay </t>
  </si>
  <si>
    <t>If I Stay, #1</t>
  </si>
  <si>
    <t>Pretiahnutý čas</t>
  </si>
  <si>
    <t>Alica Hýravá</t>
  </si>
  <si>
    <t>Hýravá, Alica</t>
  </si>
  <si>
    <t>Level 26, #3</t>
  </si>
  <si>
    <t>Anthony E. Zuiker</t>
  </si>
  <si>
    <t>Zuiker, Anthony E.</t>
  </si>
  <si>
    <t>The Left Hand Of God, #3</t>
  </si>
  <si>
    <t>Paul  Hoffman</t>
  </si>
  <si>
    <t>Hoffman, Paul</t>
  </si>
  <si>
    <t>The Hunger Games, #3</t>
  </si>
  <si>
    <t>The Hunger Games, #2</t>
  </si>
  <si>
    <t>Recept na Araba</t>
  </si>
  <si>
    <t>Viktória Darsane</t>
  </si>
  <si>
    <t>Darsane, Viktória</t>
  </si>
  <si>
    <t>Divergent, #2</t>
  </si>
  <si>
    <t>House Of Night, #9</t>
  </si>
  <si>
    <t>P.C. Cast</t>
  </si>
  <si>
    <t>Cast, P.C.</t>
  </si>
  <si>
    <t>House Of Night, #8</t>
  </si>
  <si>
    <t>Temperance Brennan, #1</t>
  </si>
  <si>
    <t>Kathy Reichs</t>
  </si>
  <si>
    <t>Reichs, Kathy</t>
  </si>
  <si>
    <t>Level 26, #2</t>
  </si>
  <si>
    <t>Richard Overy</t>
  </si>
  <si>
    <t>Overy, Richard</t>
  </si>
  <si>
    <t>Erich Maria Remarque</t>
  </si>
  <si>
    <t>Remarque, Erich Maria</t>
  </si>
  <si>
    <t xml:space="preserve">Inheritance </t>
  </si>
  <si>
    <t>The Inheritance Cycle, #4</t>
  </si>
  <si>
    <t xml:space="preserve">Metro 2034 </t>
  </si>
  <si>
    <t>Metro, #2</t>
  </si>
  <si>
    <t>Lorien Legacies, #2</t>
  </si>
  <si>
    <t>Pittacus Lore</t>
  </si>
  <si>
    <t>Lore, Pittacus</t>
  </si>
  <si>
    <t>House Of Night, #7</t>
  </si>
  <si>
    <t>The Left Hand Of God, #2</t>
  </si>
  <si>
    <t>Lorien Legacies, #1</t>
  </si>
  <si>
    <t>Romain Rolland</t>
  </si>
  <si>
    <t>Rolland, Romain</t>
  </si>
  <si>
    <t>The Passage, #1</t>
  </si>
  <si>
    <t>V pazúroch moci</t>
  </si>
  <si>
    <t>Barbara Cisková</t>
  </si>
  <si>
    <t>Cisková, Barbara</t>
  </si>
  <si>
    <t>Antoine de Saint-Exupéry</t>
  </si>
  <si>
    <t>Saint-Exupéry, Antoine de</t>
  </si>
  <si>
    <t>Level 26, #1</t>
  </si>
  <si>
    <t>Babička</t>
  </si>
  <si>
    <t>Božena Němcová</t>
  </si>
  <si>
    <t>Němcová, Božena</t>
  </si>
  <si>
    <t xml:space="preserve">Metro 2033 </t>
  </si>
  <si>
    <t>Metro, #1</t>
  </si>
  <si>
    <t>The Left Hand Of God, #1</t>
  </si>
  <si>
    <t>House Of Night, #6</t>
  </si>
  <si>
    <t>House Of Night, #5</t>
  </si>
  <si>
    <t>House Of Night, #4</t>
  </si>
  <si>
    <t>House Of Night, #3</t>
  </si>
  <si>
    <t>House Of Night, #2</t>
  </si>
  <si>
    <t>House Of Night, #1</t>
  </si>
  <si>
    <t>Graceling Realm, #2</t>
  </si>
  <si>
    <t>Kristin Cashore</t>
  </si>
  <si>
    <t>Cashore, Kristin</t>
  </si>
  <si>
    <t>Graceling Realm, #1</t>
  </si>
  <si>
    <t>Magdalene Line Trilogy, #2</t>
  </si>
  <si>
    <t>Kathleen McGowan</t>
  </si>
  <si>
    <t>McGowan, Kathleen</t>
  </si>
  <si>
    <t>Robert Langdon, #3</t>
  </si>
  <si>
    <t xml:space="preserve">Eldest </t>
  </si>
  <si>
    <t>The Inheritance Cycle, #2</t>
  </si>
  <si>
    <t>Stephen Weir</t>
  </si>
  <si>
    <t>Weir, Stephen</t>
  </si>
  <si>
    <t>Twilight Saga, #4</t>
  </si>
  <si>
    <t>Stephenie Meyer</t>
  </si>
  <si>
    <t>Meyer, Stephenie</t>
  </si>
  <si>
    <t>Twilight Saga, #2</t>
  </si>
  <si>
    <t>Všetko alebo nič: Príbeh pokračuje</t>
  </si>
  <si>
    <t>William Paul Young</t>
  </si>
  <si>
    <t>Young, William Paul</t>
  </si>
  <si>
    <t>Loviť alebo nebyť</t>
  </si>
  <si>
    <t>Iva Kučerová</t>
  </si>
  <si>
    <t>Kučerová, Iva</t>
  </si>
  <si>
    <t>Stalo sa mi všetko</t>
  </si>
  <si>
    <t>The Secret, #1</t>
  </si>
  <si>
    <t>Rhonda Byrne</t>
  </si>
  <si>
    <t>Byrne, Rhonda</t>
  </si>
  <si>
    <t xml:space="preserve">Brisingr </t>
  </si>
  <si>
    <t>The Inheritance Cycle, #3</t>
  </si>
  <si>
    <t>Paulo Coelho</t>
  </si>
  <si>
    <t>Coelho, Paulo</t>
  </si>
  <si>
    <t>Miluj ma ironicky</t>
  </si>
  <si>
    <t>Maxim E. Matkin</t>
  </si>
  <si>
    <t>Matkin, Maxim E.</t>
  </si>
  <si>
    <t>Všechno nebo nic</t>
  </si>
  <si>
    <t>Harry Potter, #7</t>
  </si>
  <si>
    <t>Mužské interiéry</t>
  </si>
  <si>
    <t>Jane Eyre</t>
  </si>
  <si>
    <t>Charlotte Brontë</t>
  </si>
  <si>
    <t>Brontë, Charlotte</t>
  </si>
  <si>
    <t>Polnočný denník</t>
  </si>
  <si>
    <t>Sandra       Brown</t>
  </si>
  <si>
    <t>Brown, Sandra</t>
  </si>
  <si>
    <t>Mexická vlna</t>
  </si>
  <si>
    <t>Harry Potter, #6</t>
  </si>
  <si>
    <t>Johanna Lindsey</t>
  </si>
  <si>
    <t>Lindsey, Johanna</t>
  </si>
  <si>
    <t>Láska je chyba v programe</t>
  </si>
  <si>
    <t>Harry Potter, #5</t>
  </si>
  <si>
    <t>Živý bič</t>
  </si>
  <si>
    <t>Milo Urban</t>
  </si>
  <si>
    <t>Urban, Milo</t>
  </si>
  <si>
    <t>Búrka v raji</t>
  </si>
  <si>
    <t>Ernest Hemingway</t>
  </si>
  <si>
    <t>Hemingway, Ernest</t>
  </si>
  <si>
    <t xml:space="preserve">Inferno </t>
  </si>
  <si>
    <t>Robert Langdon, #4</t>
  </si>
  <si>
    <t>Robert Langdon, #2</t>
  </si>
  <si>
    <t>1984</t>
  </si>
  <si>
    <t>George Orwell</t>
  </si>
  <si>
    <t>Orwell, George</t>
  </si>
  <si>
    <t>The Maze Runner, #1</t>
  </si>
  <si>
    <t>Mark Cotta Vaz</t>
  </si>
  <si>
    <t>Vaz, Mark Cotta</t>
  </si>
  <si>
    <t>Fifty Shades, #1</t>
  </si>
  <si>
    <t xml:space="preserve">Eragon </t>
  </si>
  <si>
    <t>The Inheritance Cycle #1</t>
  </si>
  <si>
    <t>Harry Potter, #4</t>
  </si>
  <si>
    <t>Harry Potter, #3</t>
  </si>
  <si>
    <t>Harry Potter, #2</t>
  </si>
  <si>
    <t>Robert Langdon, #1</t>
  </si>
  <si>
    <t>Twilight Saga, #1</t>
  </si>
  <si>
    <t>Divergent, #1</t>
  </si>
  <si>
    <t>The Hunger Games, #1</t>
  </si>
  <si>
    <t>Harry Potter, #1</t>
  </si>
  <si>
    <t>ISBN13</t>
  </si>
  <si>
    <t>Publisher</t>
  </si>
  <si>
    <t>Year Published</t>
  </si>
  <si>
    <t>Original Publication Year</t>
  </si>
  <si>
    <t>="9788082680242"</t>
  </si>
  <si>
    <t>="9788055154886"</t>
  </si>
  <si>
    <t>Ikar</t>
  </si>
  <si>
    <t>="9788071973317"</t>
  </si>
  <si>
    <t>Talpress</t>
  </si>
  <si>
    <t>="9783737341899"</t>
  </si>
  <si>
    <t>="9788055168258"</t>
  </si>
  <si>
    <t>IKAR</t>
  </si>
  <si>
    <t>="9788026711186"</t>
  </si>
  <si>
    <t>Motto</t>
  </si>
  <si>
    <t>="9788055143804"</t>
  </si>
  <si>
    <t>="9788055614977"</t>
  </si>
  <si>
    <t>="9788026701309"</t>
  </si>
  <si>
    <t>="9788055199030"</t>
  </si>
  <si>
    <t>Stonožka</t>
  </si>
  <si>
    <t>="9788072467181"</t>
  </si>
  <si>
    <t>="9789538400377"</t>
  </si>
  <si>
    <t>Sonatina</t>
  </si>
  <si>
    <t>="9788028405045"</t>
  </si>
  <si>
    <t>Kalibr</t>
  </si>
  <si>
    <t>="9788075550729"</t>
  </si>
  <si>
    <t>Jan Melvil Publishing</t>
  </si>
  <si>
    <t>="9788055607580"</t>
  </si>
  <si>
    <t>="9788026708230"</t>
  </si>
  <si>
    <t>="9788025748213"</t>
  </si>
  <si>
    <t>Argo</t>
  </si>
  <si>
    <t>=""</t>
  </si>
  <si>
    <t>="9788072465378"</t>
  </si>
  <si>
    <t>="9788055196602"</t>
  </si>
  <si>
    <t>="9788057500490"</t>
  </si>
  <si>
    <t>="9788072465156"</t>
  </si>
  <si>
    <t>N Press</t>
  </si>
  <si>
    <t>="9788072464838"</t>
  </si>
  <si>
    <t>="9788028406615"</t>
  </si>
  <si>
    <t>YOLi</t>
  </si>
  <si>
    <t>="9786053759584"</t>
  </si>
  <si>
    <t>="9788056913635"</t>
  </si>
  <si>
    <t>Marenčin PT</t>
  </si>
  <si>
    <t>="9781250200808"</t>
  </si>
  <si>
    <t>="9788024290737"</t>
  </si>
  <si>
    <t>="9780593723760"</t>
  </si>
  <si>
    <t>="9781250200785"</t>
  </si>
  <si>
    <t>="9781250200761"</t>
  </si>
  <si>
    <t>="9788081093432"</t>
  </si>
  <si>
    <t>Eastone Books</t>
  </si>
  <si>
    <t>="9781466867505"</t>
  </si>
  <si>
    <t>Laser</t>
  </si>
  <si>
    <t>="9781250034519"</t>
  </si>
  <si>
    <t>SAGA Egmont</t>
  </si>
  <si>
    <t>="9788055193533"</t>
  </si>
  <si>
    <t>="9788055119519"</t>
  </si>
  <si>
    <t>="9788057501633"</t>
  </si>
  <si>
    <t>="9788075441119"</t>
  </si>
  <si>
    <t>CooBoo</t>
  </si>
  <si>
    <t>="9788057502494"</t>
  </si>
  <si>
    <t>="9788024292526"</t>
  </si>
  <si>
    <t>="9788022217330"</t>
  </si>
  <si>
    <t>Tatran</t>
  </si>
  <si>
    <t>="9788088494546"</t>
  </si>
  <si>
    <t>Audiolibrix</t>
  </si>
  <si>
    <t>="9788022024006"</t>
  </si>
  <si>
    <t>Slovenský Spisovateľ</t>
  </si>
  <si>
    <t>="9788726491265"</t>
  </si>
  <si>
    <t>="9788081643903"</t>
  </si>
  <si>
    <t>Motýľ</t>
  </si>
  <si>
    <t>="9788055196619"</t>
  </si>
  <si>
    <t>="9781406396126"</t>
  </si>
  <si>
    <t>="9788022211468"</t>
  </si>
  <si>
    <t>="9788027722020"</t>
  </si>
  <si>
    <t>Dobrovský s.r.o.</t>
  </si>
  <si>
    <t>="9783764504922"</t>
  </si>
  <si>
    <t xml:space="preserve">Blanvalet Verlag </t>
  </si>
  <si>
    <t>="9788071972457"</t>
  </si>
  <si>
    <t>="9788022214940"</t>
  </si>
  <si>
    <t>="9788072550555"</t>
  </si>
  <si>
    <t>Návrat domů</t>
  </si>
  <si>
    <t>="9788055175553"</t>
  </si>
  <si>
    <t>="9788082530141"</t>
  </si>
  <si>
    <t>Centrum výživy</t>
  </si>
  <si>
    <t>="9788097386207"</t>
  </si>
  <si>
    <t>Taliansko srdcom</t>
  </si>
  <si>
    <t>="9788055101156"</t>
  </si>
  <si>
    <t>Ikar, Bratislava</t>
  </si>
  <si>
    <t>="9788071971795"</t>
  </si>
  <si>
    <t>="9788075550842"</t>
  </si>
  <si>
    <t>="9788055118864"</t>
  </si>
  <si>
    <t>="9788024711027"</t>
  </si>
  <si>
    <t>Cosmopolis</t>
  </si>
  <si>
    <t>="9788069071360"</t>
  </si>
  <si>
    <t>DOT.</t>
  </si>
  <si>
    <t>="9788088494485"</t>
  </si>
  <si>
    <t>="9788055117638"</t>
  </si>
  <si>
    <t>="9788055671888"</t>
  </si>
  <si>
    <t>Slovart</t>
  </si>
  <si>
    <t>="9788055670683"</t>
  </si>
  <si>
    <t>="9788025372197"</t>
  </si>
  <si>
    <t>Fragment</t>
  </si>
  <si>
    <t>="9788055667461"</t>
  </si>
  <si>
    <t>="9788055666891"</t>
  </si>
  <si>
    <t>="9788071971504"</t>
  </si>
  <si>
    <t>="9788069071209"</t>
  </si>
  <si>
    <t>="9788055614007"</t>
  </si>
  <si>
    <t>="9788075936530"</t>
  </si>
  <si>
    <t>="9788056636350"</t>
  </si>
  <si>
    <t>Lindeni</t>
  </si>
  <si>
    <t>="9788022210621"</t>
  </si>
  <si>
    <t>="9788022210607"</t>
  </si>
  <si>
    <t>="9780385514231"</t>
  </si>
  <si>
    <t>="9783958902398"</t>
  </si>
  <si>
    <t>="9788022210584"</t>
  </si>
  <si>
    <t>="9788073702076"</t>
  </si>
  <si>
    <t>Synergie</t>
  </si>
  <si>
    <t>="9788022210096"</t>
  </si>
  <si>
    <t>="9788089873708"</t>
  </si>
  <si>
    <t>Aktuell</t>
  </si>
  <si>
    <t>="9788022210072"</t>
  </si>
  <si>
    <t>="9781774882993"</t>
  </si>
  <si>
    <t>="9788373374287"</t>
  </si>
  <si>
    <t>="9788027112326"</t>
  </si>
  <si>
    <t>="9788071971221"</t>
  </si>
  <si>
    <t>="9788055159614"</t>
  </si>
  <si>
    <t>="9788027129355"</t>
  </si>
  <si>
    <t>="9788055193922"</t>
  </si>
  <si>
    <t>Ikar SK</t>
  </si>
  <si>
    <t>="9788075935120"</t>
  </si>
  <si>
    <t>="9788026444244"</t>
  </si>
  <si>
    <t>="9788081643484"</t>
  </si>
  <si>
    <t>="9788024288727"</t>
  </si>
  <si>
    <t>="9788055192239"</t>
  </si>
  <si>
    <t>="9788087270424"</t>
  </si>
  <si>
    <t>="9788024297156"</t>
  </si>
  <si>
    <t>="9781903258538"</t>
  </si>
  <si>
    <t>="9788055612959"</t>
  </si>
  <si>
    <t>Vydavateľstvo SLOVART</t>
  </si>
  <si>
    <t>="9788055661964"</t>
  </si>
  <si>
    <t>="9788055656489"</t>
  </si>
  <si>
    <t>="9788022211536"</t>
  </si>
  <si>
    <t>="9788081720536"</t>
  </si>
  <si>
    <t>="9788027608782"</t>
  </si>
  <si>
    <t>="9788055665825"</t>
  </si>
  <si>
    <t>="9788081643873"</t>
  </si>
  <si>
    <t>="9788022213349"</t>
  </si>
  <si>
    <t>="9788089845309"</t>
  </si>
  <si>
    <t>Absynt</t>
  </si>
  <si>
    <t>="9788072948871"</t>
  </si>
  <si>
    <t>Host</t>
  </si>
  <si>
    <t>="9788022211390"</t>
  </si>
  <si>
    <t>="9788085501933"</t>
  </si>
  <si>
    <t>="9788026717072"</t>
  </si>
  <si>
    <t>="9788074332432"</t>
  </si>
  <si>
    <t>Víkend</t>
  </si>
  <si>
    <t>="9788056621448"</t>
  </si>
  <si>
    <t>="9788088494065"</t>
  </si>
  <si>
    <t>="9788076625853"</t>
  </si>
  <si>
    <t>Kniha Zlín</t>
  </si>
  <si>
    <t>="9788089921461"</t>
  </si>
  <si>
    <t>BRAK</t>
  </si>
  <si>
    <t>="9788055160702"</t>
  </si>
  <si>
    <t>="9788055191218"</t>
  </si>
  <si>
    <t>="9788055160047"</t>
  </si>
  <si>
    <t>="9788327164001"</t>
  </si>
  <si>
    <t>="9780316531283"</t>
  </si>
  <si>
    <t>Mulholland Books</t>
  </si>
  <si>
    <t>Inaque</t>
  </si>
  <si>
    <t>="9788022210294"</t>
  </si>
  <si>
    <t>="9788055188874"</t>
  </si>
  <si>
    <t>="9788055157603"</t>
  </si>
  <si>
    <t>="9788097292201"</t>
  </si>
  <si>
    <t>Eruditio</t>
  </si>
  <si>
    <t>="9788075653048"</t>
  </si>
  <si>
    <t>Jota</t>
  </si>
  <si>
    <t>="9780525533344"</t>
  </si>
  <si>
    <t>="9788056660034"</t>
  </si>
  <si>
    <t>="9788055656922"</t>
  </si>
  <si>
    <t>="9788055654935"</t>
  </si>
  <si>
    <t>="9788055652627"</t>
  </si>
  <si>
    <t>="9788022216296"</t>
  </si>
  <si>
    <t>="9788055648224"</t>
  </si>
  <si>
    <t>="9788055647623"</t>
  </si>
  <si>
    <t>="9788055140650"</t>
  </si>
  <si>
    <t>="9788055643588"</t>
  </si>
  <si>
    <t>="9788055640495"</t>
  </si>
  <si>
    <t>="9788097372712"</t>
  </si>
  <si>
    <t>="9788055636894"</t>
  </si>
  <si>
    <t>="9788055152684"</t>
  </si>
  <si>
    <t>="9788055635866"</t>
  </si>
  <si>
    <t>="9788055630939"</t>
  </si>
  <si>
    <t>="9788055152479"</t>
  </si>
  <si>
    <t>="9788055627830"</t>
  </si>
  <si>
    <t>="9788055130125"</t>
  </si>
  <si>
    <t>="9788055169408"</t>
  </si>
  <si>
    <t>="9788085911398"</t>
  </si>
  <si>
    <t>="9788025238844"</t>
  </si>
  <si>
    <t>Egmont</t>
  </si>
  <si>
    <t>="9788080900946"</t>
  </si>
  <si>
    <t>="9788025742792"</t>
  </si>
  <si>
    <t>="9788085892123"</t>
  </si>
  <si>
    <t>="9788055625935"</t>
  </si>
  <si>
    <t>="9788055609614"</t>
  </si>
  <si>
    <t>="9780312642983"</t>
  </si>
  <si>
    <t>Feiwel &amp; Friends</t>
  </si>
  <si>
    <t>="9788072529636"</t>
  </si>
  <si>
    <t>Práh</t>
  </si>
  <si>
    <t>="9788055610641"</t>
  </si>
  <si>
    <t>="9788075880451"</t>
  </si>
  <si>
    <t>Mystery Press</t>
  </si>
  <si>
    <t>="9788075442239"</t>
  </si>
  <si>
    <t>="9788055607900"</t>
  </si>
  <si>
    <t>="9788055603483"</t>
  </si>
  <si>
    <t>="9788024296951"</t>
  </si>
  <si>
    <t>="9788055602363"</t>
  </si>
  <si>
    <t>="9788073981693"</t>
  </si>
  <si>
    <t>Fantom Print</t>
  </si>
  <si>
    <t>="9780995216969"</t>
  </si>
  <si>
    <t>Another World Press</t>
  </si>
  <si>
    <t>="9788080859374"</t>
  </si>
  <si>
    <t>="9788080858650"</t>
  </si>
  <si>
    <t>="9788080856700"</t>
  </si>
  <si>
    <t>="9788080855222"</t>
  </si>
  <si>
    <t>="9788027518241"</t>
  </si>
  <si>
    <t>="9781250060556"</t>
  </si>
  <si>
    <t>="9788085609707"</t>
  </si>
  <si>
    <t>="9780312642976"</t>
  </si>
  <si>
    <t>="9788025732601"</t>
  </si>
  <si>
    <t>="9780312642969"</t>
  </si>
  <si>
    <t>="9788055650463"</t>
  </si>
  <si>
    <t>="9788025723708"</t>
  </si>
  <si>
    <t>="9788089873098"</t>
  </si>
  <si>
    <t>="9788080853556"</t>
  </si>
  <si>
    <t>="9788025221020"</t>
  </si>
  <si>
    <t>="9788080850494"</t>
  </si>
  <si>
    <t>="9788080905842"</t>
  </si>
  <si>
    <t>Cosmpolis</t>
  </si>
  <si>
    <t>="9788075774354"</t>
  </si>
  <si>
    <t>="9788055649443"</t>
  </si>
  <si>
    <t>="9788073902612"</t>
  </si>
  <si>
    <t>="9788055187181"</t>
  </si>
  <si>
    <t>="9781781162644"</t>
  </si>
  <si>
    <t>Titan Books</t>
  </si>
  <si>
    <t>Bookouture</t>
  </si>
  <si>
    <t>="9788074912351"</t>
  </si>
  <si>
    <t>="9788076250802"</t>
  </si>
  <si>
    <t>="9788085501872"</t>
  </si>
  <si>
    <t>="9788087249277"</t>
  </si>
  <si>
    <t>Maitrea</t>
  </si>
  <si>
    <t>="9788055661025"</t>
  </si>
  <si>
    <t>="9788025365571"</t>
  </si>
  <si>
    <t>="9788055188676"</t>
  </si>
  <si>
    <t>="9780593346099"</t>
  </si>
  <si>
    <t>="9788055172897"</t>
  </si>
  <si>
    <t>IKAR a.s.</t>
  </si>
  <si>
    <t>="9788022213264"</t>
  </si>
  <si>
    <t>="9788027103744"</t>
  </si>
  <si>
    <t>Progres Guru</t>
  </si>
  <si>
    <t>="9788055147680"</t>
  </si>
  <si>
    <t>="9788055155401"</t>
  </si>
  <si>
    <t>="9788056636473"</t>
  </si>
  <si>
    <t>="9788075775597"</t>
  </si>
  <si>
    <t>="9788055189147"</t>
  </si>
  <si>
    <t>="9788075771728"</t>
  </si>
  <si>
    <t>="9788027603398"</t>
  </si>
  <si>
    <t>Nakladatelství Slovart</t>
  </si>
  <si>
    <t>="9788075770615"</t>
  </si>
  <si>
    <t>="9788097193010"</t>
  </si>
  <si>
    <t>Hydra</t>
  </si>
  <si>
    <t>="9788072948550"</t>
  </si>
  <si>
    <t>="9788082070777"</t>
  </si>
  <si>
    <t>="9789100124694"</t>
  </si>
  <si>
    <t>="9788022209991"</t>
  </si>
  <si>
    <t>="9788072943999"</t>
  </si>
  <si>
    <t>="9788056623169"</t>
  </si>
  <si>
    <t>Lideni</t>
  </si>
  <si>
    <t>="9788075579560"</t>
  </si>
  <si>
    <t>Epocha</t>
  </si>
  <si>
    <t>="9788056615942"</t>
  </si>
  <si>
    <t>="9788055184210"</t>
  </si>
  <si>
    <t>="9788027515868"</t>
  </si>
  <si>
    <t>="9788081598159"</t>
  </si>
  <si>
    <t>Premedia</t>
  </si>
  <si>
    <t>="9788075778468"</t>
  </si>
  <si>
    <t>="9788024948324"</t>
  </si>
  <si>
    <t>="9781770463165"</t>
  </si>
  <si>
    <t>="9788075579416"</t>
  </si>
  <si>
    <t>="9788089718061"</t>
  </si>
  <si>
    <t>Artis Omnis</t>
  </si>
  <si>
    <t>="9788022214513"</t>
  </si>
  <si>
    <t>="9788087270516"</t>
  </si>
  <si>
    <t>="9780062259653"</t>
  </si>
  <si>
    <t>="9788055190419"</t>
  </si>
  <si>
    <t>="9788055185118"</t>
  </si>
  <si>
    <t>="9788022213554"</t>
  </si>
  <si>
    <t>="9788025710081"</t>
  </si>
  <si>
    <t>="9780593539583"</t>
  </si>
  <si>
    <t>Riverhead Books</t>
  </si>
  <si>
    <t>="9788025708736"</t>
  </si>
  <si>
    <t>="9788027712250"</t>
  </si>
  <si>
    <t>Fobos</t>
  </si>
  <si>
    <t>="9788097258955"</t>
  </si>
  <si>
    <t>Coach of People</t>
  </si>
  <si>
    <t>="9788055160276"</t>
  </si>
  <si>
    <t>="9788075779786"</t>
  </si>
  <si>
    <t>="9788055162843"</t>
  </si>
  <si>
    <t>="9788022211888"</t>
  </si>
  <si>
    <t>="9788075771766"</t>
  </si>
  <si>
    <t>="9788074913839"</t>
  </si>
  <si>
    <t>="9788055157856"</t>
  </si>
  <si>
    <t>="9788055177632"</t>
  </si>
  <si>
    <t>="9788081822049"</t>
  </si>
  <si>
    <t>Citadella</t>
  </si>
  <si>
    <t>="9788055186238"</t>
  </si>
  <si>
    <t>="9788022021630"</t>
  </si>
  <si>
    <t>="9788055181660"</t>
  </si>
  <si>
    <t>="9788082530073"</t>
  </si>
  <si>
    <t>Centrum výživy, s. r. o.</t>
  </si>
  <si>
    <t>="9780312321239"</t>
  </si>
  <si>
    <t>="9788000020495"</t>
  </si>
  <si>
    <t>Albatros</t>
  </si>
  <si>
    <t>="9788055652108"</t>
  </si>
  <si>
    <t>="9788089968831"</t>
  </si>
  <si>
    <t>="9788082071453"</t>
  </si>
  <si>
    <t>="9788055649450"</t>
  </si>
  <si>
    <t>="9788081641879"</t>
  </si>
  <si>
    <t>="9788055186672"</t>
  </si>
  <si>
    <t>="9788022022552"</t>
  </si>
  <si>
    <t>Slovenský spisovateľ, a.s.</t>
  </si>
  <si>
    <t>="9780312995058"</t>
  </si>
  <si>
    <t>="9788027502011"</t>
  </si>
  <si>
    <t>="9788056622322"</t>
  </si>
  <si>
    <t>="9788022213929"</t>
  </si>
  <si>
    <t>="9788022211000"</t>
  </si>
  <si>
    <t>="9788088287407"</t>
  </si>
  <si>
    <t>="9788055173702"</t>
  </si>
  <si>
    <t>="9788080859282"</t>
  </si>
  <si>
    <t>="9788071932611"</t>
  </si>
  <si>
    <t>="9788055185217"</t>
  </si>
  <si>
    <t>="9788099925985"</t>
  </si>
  <si>
    <t>="9788089921553"</t>
  </si>
  <si>
    <t>="9788082033420"</t>
  </si>
  <si>
    <t>="9788024266657"</t>
  </si>
  <si>
    <t>="9781781090268"</t>
  </si>
  <si>
    <t>="9788087702048"</t>
  </si>
  <si>
    <t>xPrint</t>
  </si>
  <si>
    <t>="9782070374441"</t>
  </si>
  <si>
    <t>="9788088346036"</t>
  </si>
  <si>
    <t>="9788090796836"</t>
  </si>
  <si>
    <t>Altenberg</t>
  </si>
  <si>
    <t>="9788055152844"</t>
  </si>
  <si>
    <t>="9788089876228"</t>
  </si>
  <si>
    <t>Absynth</t>
  </si>
  <si>
    <t>="9788075775603"</t>
  </si>
  <si>
    <t>="9788055648286"</t>
  </si>
  <si>
    <t>="9788022212861"</t>
  </si>
  <si>
    <t>="9788056617533"</t>
  </si>
  <si>
    <t>="9788022208666"</t>
  </si>
  <si>
    <t>="9788056616284"</t>
  </si>
  <si>
    <t>Jan Melvil</t>
  </si>
  <si>
    <t>="9788055186061"</t>
  </si>
  <si>
    <t>="9788055601366"</t>
  </si>
  <si>
    <t>="9788089628766"</t>
  </si>
  <si>
    <t>Citadela</t>
  </si>
  <si>
    <t>="9788055614908"</t>
  </si>
  <si>
    <t>="9788055174907"</t>
  </si>
  <si>
    <t>="9788075574237"</t>
  </si>
  <si>
    <t>="9788081640605"</t>
  </si>
  <si>
    <t>="9780525535331"</t>
  </si>
  <si>
    <t>="9788056617342"</t>
  </si>
  <si>
    <t>="9788087697689"</t>
  </si>
  <si>
    <t>Panteon</t>
  </si>
  <si>
    <t>="9788055127101"</t>
  </si>
  <si>
    <t>="9788055606934"</t>
  </si>
  <si>
    <t>="9781958134009"</t>
  </si>
  <si>
    <t>Star Spark Press, LLC</t>
  </si>
  <si>
    <t>="9788055177410"</t>
  </si>
  <si>
    <t>="9788055153513"</t>
  </si>
  <si>
    <t>="9788055623771"</t>
  </si>
  <si>
    <t>="9788022206679"</t>
  </si>
  <si>
    <t>="9788055614335"</t>
  </si>
  <si>
    <t>="9788055608556"</t>
  </si>
  <si>
    <t>="9788055645704"</t>
  </si>
  <si>
    <t>="9788074134500"</t>
  </si>
  <si>
    <t>="9788076173590"</t>
  </si>
  <si>
    <t>Yoli</t>
  </si>
  <si>
    <t>="9788075570352"</t>
  </si>
  <si>
    <t>="9788074252013"</t>
  </si>
  <si>
    <t>="9788055642192"</t>
  </si>
  <si>
    <t>="9788075497345"</t>
  </si>
  <si>
    <t>="9788026430315"</t>
  </si>
  <si>
    <t>="9788073877989"</t>
  </si>
  <si>
    <t>Triton</t>
  </si>
  <si>
    <t>="9780440000785"</t>
  </si>
  <si>
    <t>Berkley</t>
  </si>
  <si>
    <t>="9788024933757"</t>
  </si>
  <si>
    <t>="9788024278995"</t>
  </si>
  <si>
    <t>="9788056607480"</t>
  </si>
  <si>
    <t>="9783764505646"</t>
  </si>
  <si>
    <t>="9788055160009"</t>
  </si>
  <si>
    <t>="9788056607589"</t>
  </si>
  <si>
    <t>="9788055126265"</t>
  </si>
  <si>
    <t>="9788022210119"</t>
  </si>
  <si>
    <t>="9788022206051"</t>
  </si>
  <si>
    <t>="9788055164687"</t>
  </si>
  <si>
    <t>="9788080854409"</t>
  </si>
  <si>
    <t>="9788022213165"</t>
  </si>
  <si>
    <t>="9788055171920"</t>
  </si>
  <si>
    <t>="9788020439505"</t>
  </si>
  <si>
    <t>DharmaGaia</t>
  </si>
  <si>
    <t>="9788080851491"</t>
  </si>
  <si>
    <t>="9788055138343"</t>
  </si>
  <si>
    <t>="9788080852078"</t>
  </si>
  <si>
    <t>="9788090144002"</t>
  </si>
  <si>
    <t>Lika</t>
  </si>
  <si>
    <t>="9788071180791"</t>
  </si>
  <si>
    <t>="9780425166611"</t>
  </si>
  <si>
    <t>="9788055143620"</t>
  </si>
  <si>
    <t>="9788055652566"</t>
  </si>
  <si>
    <t>="9788055123066"</t>
  </si>
  <si>
    <t>="9788076623262"</t>
  </si>
  <si>
    <t>="9788071182221"</t>
  </si>
  <si>
    <t>="9788072039739"</t>
  </si>
  <si>
    <t>ANAG</t>
  </si>
  <si>
    <t>="9788097431907"</t>
  </si>
  <si>
    <t>Michal Páleník, s.r.o</t>
  </si>
  <si>
    <t>="9780385475716"</t>
  </si>
  <si>
    <t>="9780241341032"</t>
  </si>
  <si>
    <t>="9788055176895"</t>
  </si>
  <si>
    <t>="9788025350478"</t>
  </si>
  <si>
    <t>="9788055177052"</t>
  </si>
  <si>
    <t>="9788025731567"</t>
  </si>
  <si>
    <t>="9783462051438"</t>
  </si>
  <si>
    <t>="9788073814120"</t>
  </si>
  <si>
    <t>="9788099944115"</t>
  </si>
  <si>
    <t>Literárna bašta</t>
  </si>
  <si>
    <t>="9788055165219"</t>
  </si>
  <si>
    <t>="9788025349359"</t>
  </si>
  <si>
    <t>="9788055161884"</t>
  </si>
  <si>
    <t>="9788071452775"</t>
  </si>
  <si>
    <t>="9788055156859"</t>
  </si>
  <si>
    <t>="9788022211086"</t>
  </si>
  <si>
    <t>="9780767908726"</t>
  </si>
  <si>
    <t>="9788085782172"</t>
  </si>
  <si>
    <t>="9780008358570"</t>
  </si>
  <si>
    <t>HarperCollins</t>
  </si>
  <si>
    <t>="9788074252143"</t>
  </si>
  <si>
    <t>="9788056624623"</t>
  </si>
  <si>
    <t>="9788085609677"</t>
  </si>
  <si>
    <t>="9788027510818"</t>
  </si>
  <si>
    <t>="9788074912368"</t>
  </si>
  <si>
    <t>="9788055146676"</t>
  </si>
  <si>
    <t>="9788072949281"</t>
  </si>
  <si>
    <t>="9788072947072"</t>
  </si>
  <si>
    <t>="9788055127804"</t>
  </si>
  <si>
    <t>="9788055123967"</t>
  </si>
  <si>
    <t>="9788087162880"</t>
  </si>
  <si>
    <t>="9788085609547"</t>
  </si>
  <si>
    <t>="9788072603954"</t>
  </si>
  <si>
    <t>Prostor</t>
  </si>
  <si>
    <t>="9788027503353"</t>
  </si>
  <si>
    <t>="9788055121314"</t>
  </si>
  <si>
    <t>="9788075776273"</t>
  </si>
  <si>
    <t>="9788075771643"</t>
  </si>
  <si>
    <t>="9783864156571"</t>
  </si>
  <si>
    <t>="9788026435716"</t>
  </si>
  <si>
    <t>Cpress</t>
  </si>
  <si>
    <t>="9788074919848"</t>
  </si>
  <si>
    <t>="9788074914324"</t>
  </si>
  <si>
    <t>="9788075940247"</t>
  </si>
  <si>
    <t>="9788073983932"</t>
  </si>
  <si>
    <t>="9788025904206"</t>
  </si>
  <si>
    <t>="9788081593963"</t>
  </si>
  <si>
    <t>="9788072143887"</t>
  </si>
  <si>
    <t>="9788022212922"</t>
  </si>
  <si>
    <t>="9788072143443"</t>
  </si>
  <si>
    <t>="9788072141838"</t>
  </si>
  <si>
    <t>="9788026507536"</t>
  </si>
  <si>
    <t>Bizbooks</t>
  </si>
  <si>
    <t>="9788085609295"</t>
  </si>
  <si>
    <t>="9788085609288"</t>
  </si>
  <si>
    <t>="9788027503476"</t>
  </si>
  <si>
    <t>="9788055153254"</t>
  </si>
  <si>
    <t>="9788056616727"</t>
  </si>
  <si>
    <t>="9788074732706"</t>
  </si>
  <si>
    <t>="9788082530004"</t>
  </si>
  <si>
    <t>Centrum výživy s.r.o.</t>
  </si>
  <si>
    <t>="9788074732218"</t>
  </si>
  <si>
    <t>="9781594634741"</t>
  </si>
  <si>
    <t>="9788022212748"</t>
  </si>
  <si>
    <t>="9788024274294"</t>
  </si>
  <si>
    <t>="9788055131191"</t>
  </si>
  <si>
    <t>="9788024270920"</t>
  </si>
  <si>
    <t>="9788087497081"</t>
  </si>
  <si>
    <t>="9780385340229"</t>
  </si>
  <si>
    <t>="9788324589944"</t>
  </si>
  <si>
    <t>="9788024266701"</t>
  </si>
  <si>
    <t>="9780061655517"</t>
  </si>
  <si>
    <t>="9788055142449"</t>
  </si>
  <si>
    <t>="9788087497692"</t>
  </si>
  <si>
    <t>="9788055164922"</t>
  </si>
  <si>
    <t>="9788087855645"</t>
  </si>
  <si>
    <t>Pistorius &amp; Olšanská</t>
  </si>
  <si>
    <t>="9788026712053"</t>
  </si>
  <si>
    <t>="9788073062446"</t>
  </si>
  <si>
    <t>="9780440240792"</t>
  </si>
  <si>
    <t>Dell</t>
  </si>
  <si>
    <t>="9788055178455"</t>
  </si>
  <si>
    <t>="9788073063870"</t>
  </si>
  <si>
    <t>="9788081595981"</t>
  </si>
  <si>
    <t>="9788073063863"</t>
  </si>
  <si>
    <t>="9788081595134"</t>
  </si>
  <si>
    <t>="9788055178059"</t>
  </si>
  <si>
    <t>="9788055175898"</t>
  </si>
  <si>
    <t>="9788073060169"</t>
  </si>
  <si>
    <t>="9788055169835"</t>
  </si>
  <si>
    <t>="9788099925008"</t>
  </si>
  <si>
    <t>N Press, s.r.o.</t>
  </si>
  <si>
    <t>="9788055147444"</t>
  </si>
  <si>
    <t>="9783550050237"</t>
  </si>
  <si>
    <t>Ullstein</t>
  </si>
  <si>
    <t>="9788076179653"</t>
  </si>
  <si>
    <t>="9788081115608"</t>
  </si>
  <si>
    <t>Noxi</t>
  </si>
  <si>
    <t>="9788086278827"</t>
  </si>
  <si>
    <t>="9788086278322"</t>
  </si>
  <si>
    <t>="9788055181226"</t>
  </si>
  <si>
    <t>Príroda</t>
  </si>
  <si>
    <t>="9788056623220"</t>
  </si>
  <si>
    <t>="9788024944470"</t>
  </si>
  <si>
    <t>="9788022206020"</t>
  </si>
  <si>
    <t>="9788055176604"</t>
  </si>
  <si>
    <t>="9781465461193"</t>
  </si>
  <si>
    <t>DK</t>
  </si>
  <si>
    <t>="9788086029924"</t>
  </si>
  <si>
    <t>="9788075976338"</t>
  </si>
  <si>
    <t>XYZ</t>
  </si>
  <si>
    <t>="9788055173061"</t>
  </si>
  <si>
    <t>="9788075056207"</t>
  </si>
  <si>
    <t>="9788055180830"</t>
  </si>
  <si>
    <t>="9788055180823"</t>
  </si>
  <si>
    <t>="9780143036494"</t>
  </si>
  <si>
    <t>Penguin Books</t>
  </si>
  <si>
    <t>="9788075978479"</t>
  </si>
  <si>
    <t>="9788075973351"</t>
  </si>
  <si>
    <t>="9788024261256"</t>
  </si>
  <si>
    <t>Knižní klub</t>
  </si>
  <si>
    <t>="9788072273201"</t>
  </si>
  <si>
    <t>="9788055175294"</t>
  </si>
  <si>
    <t>="9788087391068"</t>
  </si>
  <si>
    <t>Československý spisovatel</t>
  </si>
  <si>
    <t>="9788055175027"</t>
  </si>
  <si>
    <t>="9788055142074"</t>
  </si>
  <si>
    <t>="9780525421580"</t>
  </si>
  <si>
    <t>="9788022015240"</t>
  </si>
  <si>
    <t>Slovenský spisovateľ</t>
  </si>
  <si>
    <t>="9788056608968"</t>
  </si>
  <si>
    <t>="9788089628988"</t>
  </si>
  <si>
    <t>="9788081115097"</t>
  </si>
  <si>
    <t>NOXI</t>
  </si>
  <si>
    <t>="9788055142869"</t>
  </si>
  <si>
    <t>="9788022211123"</t>
  </si>
  <si>
    <t>="9788055135816"</t>
  </si>
  <si>
    <t>="9788022211147"</t>
  </si>
  <si>
    <t>="9788651702986"</t>
  </si>
  <si>
    <t>Liber Novus</t>
  </si>
  <si>
    <t>="9788074912399"</t>
  </si>
  <si>
    <t>="9788075771223"</t>
  </si>
  <si>
    <t>="9788081592232"</t>
  </si>
  <si>
    <t>="9788055152677"</t>
  </si>
  <si>
    <t>="9788055161273"</t>
  </si>
  <si>
    <t>="9788027505937"</t>
  </si>
  <si>
    <t>="9788089452392"</t>
  </si>
  <si>
    <t>Evitapress</t>
  </si>
  <si>
    <t>="9788055154534"</t>
  </si>
  <si>
    <t>="9788075775627"</t>
  </si>
  <si>
    <t>="9788056613672"</t>
  </si>
  <si>
    <t>="9788072273386"</t>
  </si>
  <si>
    <t>="9788055176000"</t>
  </si>
  <si>
    <t>="9788055168883"</t>
  </si>
  <si>
    <t>="9788075050397"</t>
  </si>
  <si>
    <t>="9788075052445"</t>
  </si>
  <si>
    <t>="9788075053749"</t>
  </si>
  <si>
    <t>="9788075059741"</t>
  </si>
  <si>
    <t>="9788026401599"</t>
  </si>
  <si>
    <t>Albatros media</t>
  </si>
  <si>
    <t>="9781401948290"</t>
  </si>
  <si>
    <t>="9788024253688"</t>
  </si>
  <si>
    <t>="9780593076446"</t>
  </si>
  <si>
    <t>="9788055170671"</t>
  </si>
  <si>
    <t>="9788089719068"</t>
  </si>
  <si>
    <t>AKV - Ambulancia klinickej výživy</t>
  </si>
  <si>
    <t>="9788055157023"</t>
  </si>
  <si>
    <t>="9788072273843"</t>
  </si>
  <si>
    <t>="9788055155623"</t>
  </si>
  <si>
    <t>="9788075779113"</t>
  </si>
  <si>
    <t>="9781524763138"</t>
  </si>
  <si>
    <t>Crown</t>
  </si>
  <si>
    <t>="9788055162881"</t>
  </si>
  <si>
    <t>="9788055177090"</t>
  </si>
  <si>
    <t>="9788055159133"</t>
  </si>
  <si>
    <t>="9788055131702"</t>
  </si>
  <si>
    <t>="9788056612217"</t>
  </si>
  <si>
    <t>="9788025905289"</t>
  </si>
  <si>
    <t>Plus</t>
  </si>
  <si>
    <t>="9788022022903"</t>
  </si>
  <si>
    <t>="9788025903636"</t>
  </si>
  <si>
    <t>="9788055175812"</t>
  </si>
  <si>
    <t>="9788025902592"</t>
  </si>
  <si>
    <t>="9781940026138"</t>
  </si>
  <si>
    <t>Legion Books</t>
  </si>
  <si>
    <t>="9788021703568"</t>
  </si>
  <si>
    <t>="9788097153427"</t>
  </si>
  <si>
    <t xml:space="preserve">Zelený kocúr </t>
  </si>
  <si>
    <t>="9788055637303"</t>
  </si>
  <si>
    <t>Bastei Entertainment</t>
  </si>
  <si>
    <t>="9788074919404"</t>
  </si>
  <si>
    <t>="9788074770500"</t>
  </si>
  <si>
    <t>="9788085951196"</t>
  </si>
  <si>
    <t>="9788055144450"</t>
  </si>
  <si>
    <t>="9788089594030"</t>
  </si>
  <si>
    <t>premedia.sk</t>
  </si>
  <si>
    <t>="9788085951073"</t>
  </si>
  <si>
    <t>Luebbe Verlagsgruppe</t>
  </si>
  <si>
    <t>="9788085951110"</t>
  </si>
  <si>
    <t>="9781940026121"</t>
  </si>
  <si>
    <t>="9788085951080"</t>
  </si>
  <si>
    <t>="9780345487674"</t>
  </si>
  <si>
    <t>="9788085951059"</t>
  </si>
  <si>
    <t>="9788085951660"</t>
  </si>
  <si>
    <t>="9788055152257"</t>
  </si>
  <si>
    <t>="9781455806850"</t>
  </si>
  <si>
    <t>="9788025714492"</t>
  </si>
  <si>
    <t>="9788651703723"</t>
  </si>
  <si>
    <t>="9788081111570"</t>
  </si>
  <si>
    <t>="9788055175225"</t>
  </si>
  <si>
    <t>="9788055171388"</t>
  </si>
  <si>
    <t>="9788072603763"</t>
  </si>
  <si>
    <t>="9788055173054"</t>
  </si>
  <si>
    <t>="9788089737499"</t>
  </si>
  <si>
    <t>="9788055155074"</t>
  </si>
  <si>
    <t>="9788055170817"</t>
  </si>
  <si>
    <t>="9788055160221"</t>
  </si>
  <si>
    <t>="9781465479372"</t>
  </si>
  <si>
    <t>="9783641201074"</t>
  </si>
  <si>
    <t>="9783774274136"</t>
  </si>
  <si>
    <t>="9788055151656"</t>
  </si>
  <si>
    <t>="9788055148502"</t>
  </si>
  <si>
    <t>Poznání</t>
  </si>
  <si>
    <t>="9788055172101"</t>
  </si>
  <si>
    <t>="9788055161914"</t>
  </si>
  <si>
    <t>="9788089737352"</t>
  </si>
  <si>
    <t>="9781524760984"</t>
  </si>
  <si>
    <t>="9781477872581"</t>
  </si>
  <si>
    <t>="9781477808702"</t>
  </si>
  <si>
    <t>="9781612183954"</t>
  </si>
  <si>
    <t>="9788024245881"</t>
  </si>
  <si>
    <t>="9788024257556"</t>
  </si>
  <si>
    <t>="9788055166445"</t>
  </si>
  <si>
    <t>="9788072603404"</t>
  </si>
  <si>
    <t>="9788055139654"</t>
  </si>
  <si>
    <t>="9781594746857"</t>
  </si>
  <si>
    <t>="9781594745768"</t>
  </si>
  <si>
    <t>="9788055169910"</t>
  </si>
  <si>
    <t>="9788082010254"</t>
  </si>
  <si>
    <t>="9788090765207"</t>
  </si>
  <si>
    <t>N media</t>
  </si>
  <si>
    <t>="9788055144511"</t>
  </si>
  <si>
    <t>="9788089994137"</t>
  </si>
  <si>
    <t>POSTOJ MEDIA, s. r. o.</t>
  </si>
  <si>
    <t>="9788055140841"</t>
  </si>
  <si>
    <t>="9781455573653"</t>
  </si>
  <si>
    <t>="9788055172118"</t>
  </si>
  <si>
    <t>="9780008284237"</t>
  </si>
  <si>
    <t>="9781443455565"</t>
  </si>
  <si>
    <t>="9788055156453"</t>
  </si>
  <si>
    <t>="9788089994007"</t>
  </si>
  <si>
    <t>Postoj</t>
  </si>
  <si>
    <t>="9780553448122"</t>
  </si>
  <si>
    <t>="9780062870674"</t>
  </si>
  <si>
    <t>Harper</t>
  </si>
  <si>
    <t>="9788055164014"</t>
  </si>
  <si>
    <t>="9788055157528"</t>
  </si>
  <si>
    <t>="9788020417473"</t>
  </si>
  <si>
    <t>Mladá Fronta</t>
  </si>
  <si>
    <t>="9781782398240"</t>
  </si>
  <si>
    <t>="9781492654414"</t>
  </si>
  <si>
    <t>="9780380811960"</t>
  </si>
  <si>
    <t>="9781785034466"</t>
  </si>
  <si>
    <t>="9788055151885"</t>
  </si>
  <si>
    <t>="9783955204501"</t>
  </si>
  <si>
    <t>="9788055149172"</t>
  </si>
  <si>
    <t>="9780540027347"</t>
  </si>
  <si>
    <t>Little, Brown</t>
  </si>
  <si>
    <t>="9788055151465"</t>
  </si>
  <si>
    <t>="9788081640872"</t>
  </si>
  <si>
    <t>="9780307887436"</t>
  </si>
  <si>
    <t>="9780374311254"</t>
  </si>
  <si>
    <t>="9781539930723"</t>
  </si>
  <si>
    <t>="9781476767321"</t>
  </si>
  <si>
    <t>="9788055135045"</t>
  </si>
  <si>
    <t>="9781443446761"</t>
  </si>
  <si>
    <t>="9788055153230"</t>
  </si>
  <si>
    <t>="9788055144429"</t>
  </si>
  <si>
    <t>="9780385536332"</t>
  </si>
  <si>
    <t>="9789100136741"</t>
  </si>
  <si>
    <t>="9781517679279"</t>
  </si>
  <si>
    <t>="9780385738774"</t>
  </si>
  <si>
    <t>="9780385738750"</t>
  </si>
  <si>
    <t>="9781490904382"</t>
  </si>
  <si>
    <t>="9788096980055"</t>
  </si>
  <si>
    <t>="9788055611501"</t>
  </si>
  <si>
    <t>="9780399162435"</t>
  </si>
  <si>
    <t>="9781101599013"</t>
  </si>
  <si>
    <t>="9780399162411"</t>
  </si>
  <si>
    <t>SPOLOČNOSŤ 7 PLUS</t>
  </si>
  <si>
    <t>="9781742373010"</t>
  </si>
  <si>
    <t>="9780099583684"</t>
  </si>
  <si>
    <t>="9780007557905"</t>
  </si>
  <si>
    <t>="9781451699500"</t>
  </si>
  <si>
    <t>="9780007524273"</t>
  </si>
  <si>
    <t>="9781841153780"</t>
  </si>
  <si>
    <t>="9780525952923"</t>
  </si>
  <si>
    <t>="9780525951650"</t>
  </si>
  <si>
    <t>Viking</t>
  </si>
  <si>
    <t>="9788097090609"</t>
  </si>
  <si>
    <t>inaque.sk</t>
  </si>
  <si>
    <t>="9780007288380"</t>
  </si>
  <si>
    <t>="9781937044961"</t>
  </si>
  <si>
    <t>="9780340954133"</t>
  </si>
  <si>
    <t>Hodder Paperbacks</t>
  </si>
  <si>
    <t>="9780670026517"</t>
  </si>
  <si>
    <t>="9789100126438"</t>
  </si>
  <si>
    <t>="9780316228534"</t>
  </si>
  <si>
    <t>="9788055134284"</t>
  </si>
  <si>
    <t>="9788089452552"</t>
  </si>
  <si>
    <t>="9780345505002"</t>
  </si>
  <si>
    <t>="9780345504982"</t>
  </si>
  <si>
    <t>="9788081140266"</t>
  </si>
  <si>
    <t>="9780340954119"</t>
  </si>
  <si>
    <t>Hodder &amp; Stoughton (Hachette Livre UK)</t>
  </si>
  <si>
    <t>="9788089482689"</t>
  </si>
  <si>
    <t>="9780375507250"</t>
  </si>
  <si>
    <t>="9780340841129"</t>
  </si>
  <si>
    <t>="9780345803504"</t>
  </si>
  <si>
    <t>="9781612130583"</t>
  </si>
  <si>
    <t>="9780062071040"</t>
  </si>
  <si>
    <t>="9780525422945"</t>
  </si>
  <si>
    <t>Dutton Juvenile</t>
  </si>
  <si>
    <t>="9780525421030"</t>
  </si>
  <si>
    <t>="9788089452460"</t>
  </si>
  <si>
    <t>="9780525951971"</t>
  </si>
  <si>
    <t>="9780718155223"</t>
  </si>
  <si>
    <t>="9780439023511"</t>
  </si>
  <si>
    <t>="9780439023498"</t>
  </si>
  <si>
    <t>="9788089452415"</t>
  </si>
  <si>
    <t>="9780007442911"</t>
  </si>
  <si>
    <t>="9781905654871"</t>
  </si>
  <si>
    <t>="9780312650247"</t>
  </si>
  <si>
    <t>="9780525951858"</t>
  </si>
  <si>
    <t>="9781849162357"</t>
  </si>
  <si>
    <t>="9780449213940"</t>
  </si>
  <si>
    <t>="9780375856112"</t>
  </si>
  <si>
    <t>="9783453533011"</t>
  </si>
  <si>
    <t>="9780061974557"</t>
  </si>
  <si>
    <t>="9781905654949"</t>
  </si>
  <si>
    <t>="9780718155216"</t>
  </si>
  <si>
    <t>="9780061969553"</t>
  </si>
  <si>
    <t>="9781595690609"</t>
  </si>
  <si>
    <t>Mondial</t>
  </si>
  <si>
    <t>="9780345504968"</t>
  </si>
  <si>
    <t>="9788055123585"</t>
  </si>
  <si>
    <t>="9780152023980"</t>
  </si>
  <si>
    <t>Harcourt, Inc.</t>
  </si>
  <si>
    <t>="9780525951254"</t>
  </si>
  <si>
    <t>="9788072530724"</t>
  </si>
  <si>
    <t>Vitalis</t>
  </si>
  <si>
    <t>="9781481845700"</t>
  </si>
  <si>
    <t>="9780718155186"</t>
  </si>
  <si>
    <t>="9781905654581"</t>
  </si>
  <si>
    <t>="9780312379827"</t>
  </si>
  <si>
    <t>="9780312379834"</t>
  </si>
  <si>
    <t>="9780312360306"</t>
  </si>
  <si>
    <t>="9780312360283"</t>
  </si>
  <si>
    <t>="9780312360269"</t>
  </si>
  <si>
    <t>="9780803734616"</t>
  </si>
  <si>
    <t>="9780152063962"</t>
  </si>
  <si>
    <t>="9780743295352"</t>
  </si>
  <si>
    <t>="9780385504225"</t>
  </si>
  <si>
    <t>="9780375840401"</t>
  </si>
  <si>
    <t>="9781435111745"</t>
  </si>
  <si>
    <t>="9780316067928"</t>
  </si>
  <si>
    <t>="9780316160193"</t>
  </si>
  <si>
    <t>="9788089199877"</t>
  </si>
  <si>
    <t>="9788096980031"</t>
  </si>
  <si>
    <t>="9780375826726"</t>
  </si>
  <si>
    <t>="9780062315007"</t>
  </si>
  <si>
    <t>="9788080854522"</t>
  </si>
  <si>
    <t>="9788072465019"</t>
  </si>
  <si>
    <t>="9788080853563"</t>
  </si>
  <si>
    <t>="9780142437209"</t>
  </si>
  <si>
    <t xml:space="preserve">Slovart </t>
  </si>
  <si>
    <t>="9780743245531"</t>
  </si>
  <si>
    <t>="9788080850746"</t>
  </si>
  <si>
    <t>="9780743456357"</t>
  </si>
  <si>
    <t>="9788071459255"</t>
  </si>
  <si>
    <t>="9780439686525"</t>
  </si>
  <si>
    <t>="9788080462338"</t>
  </si>
  <si>
    <t>Perfekt</t>
  </si>
  <si>
    <t>="9780671027384"</t>
  </si>
  <si>
    <t>="9780385537858"</t>
  </si>
  <si>
    <t>="9780385737944"</t>
  </si>
  <si>
    <t>="9780316075800"</t>
  </si>
  <si>
    <t>="9781612130293"</t>
  </si>
  <si>
    <t>="9780375826696"</t>
  </si>
  <si>
    <t>="9780439139595"</t>
  </si>
  <si>
    <t>="9780439655484"</t>
  </si>
  <si>
    <t>="9781416524793"</t>
  </si>
  <si>
    <t>="9780316015844"</t>
  </si>
  <si>
    <t>="9780062024039"</t>
  </si>
  <si>
    <t>="9780439023481"</t>
  </si>
  <si>
    <t>="9780439554930"</t>
  </si>
  <si>
    <t>Lenght/h</t>
  </si>
  <si>
    <t>Language</t>
  </si>
  <si>
    <t>Czech</t>
  </si>
  <si>
    <t>Walker &amp; Wolf</t>
  </si>
  <si>
    <t>Print</t>
  </si>
  <si>
    <t>Narrator</t>
  </si>
  <si>
    <t>Martin Myšička</t>
  </si>
  <si>
    <t>Klára Suchá</t>
  </si>
  <si>
    <t>OneHotBook</t>
  </si>
  <si>
    <t>Čarovná záhrada, #3</t>
  </si>
  <si>
    <t>Slovak</t>
  </si>
  <si>
    <t>Millennium, #6</t>
  </si>
  <si>
    <t>Dana Černá</t>
  </si>
  <si>
    <t>Chlpaté prekvapenie</t>
  </si>
  <si>
    <t>Veronika Lazorčáková, Ján Teplý ml.</t>
  </si>
  <si>
    <t>Témbr</t>
  </si>
  <si>
    <t>Tomáš Voženílek</t>
  </si>
  <si>
    <t>Patrik Hedström, #6</t>
  </si>
  <si>
    <t>Patrik Hedström, #4</t>
  </si>
  <si>
    <t>P.č.</t>
  </si>
  <si>
    <t>Bezohľadná</t>
  </si>
  <si>
    <t>Kirké</t>
  </si>
  <si>
    <t>Petra Špalková</t>
  </si>
  <si>
    <t>Tajné jazero</t>
  </si>
  <si>
    <t>Bambook</t>
  </si>
  <si>
    <t>Přimhouřit oko</t>
  </si>
  <si>
    <t>Václav Knop</t>
  </si>
  <si>
    <t>Laser books</t>
  </si>
  <si>
    <t>Přímo před nosem</t>
  </si>
  <si>
    <t>Kdo neriskuje...</t>
  </si>
  <si>
    <t>Výjimečný člověk</t>
  </si>
  <si>
    <t>Otakar Brousek ml.</t>
  </si>
  <si>
    <t>A zrodí se hrdina</t>
  </si>
  <si>
    <t>Mocnejší než meč</t>
  </si>
  <si>
    <t>Marek Koleno</t>
  </si>
  <si>
    <t>Publixing, Ikar</t>
  </si>
  <si>
    <t>Petr Štěpán</t>
  </si>
  <si>
    <t>Jitka Ježková</t>
  </si>
  <si>
    <t>Čudo v továrni na džem</t>
  </si>
  <si>
    <t>Továreň na džem, #1</t>
  </si>
  <si>
    <t>Zuzana Jurigová Kapráliková</t>
  </si>
  <si>
    <t>Publixing, Tatran</t>
  </si>
  <si>
    <t>Tereza Dočkalová</t>
  </si>
  <si>
    <t>Pavel Rímsky</t>
  </si>
  <si>
    <t>Jan Zadražil</t>
  </si>
  <si>
    <t>Veronika Lazorčáková</t>
  </si>
  <si>
    <t>Karolína Zbořilová</t>
  </si>
  <si>
    <t>Martin Mňahončák</t>
  </si>
  <si>
    <t>Publixing</t>
  </si>
  <si>
    <t>Denník dobrého detektíva, #40</t>
  </si>
  <si>
    <t>Denník dobrého detektíva, #39</t>
  </si>
  <si>
    <t>Denník dobrého detektíva, #38</t>
  </si>
  <si>
    <t>Michaela Kapráliková</t>
  </si>
  <si>
    <t>Ján Vondráček</t>
  </si>
  <si>
    <t>Alexandra Lukáčová</t>
  </si>
  <si>
    <t>Publixing, DOT.</t>
  </si>
  <si>
    <t>Denník dobrého detektíva, #37</t>
  </si>
  <si>
    <t>Anežka Šťastná</t>
  </si>
  <si>
    <t>Denník dobrého detektíva, #36</t>
  </si>
  <si>
    <t>Pôvod</t>
  </si>
  <si>
    <t>Martin Stránsky</t>
  </si>
  <si>
    <t>Voxi</t>
  </si>
  <si>
    <t>Maškaráda</t>
  </si>
  <si>
    <t>Úžasná Zeměplocha, #18</t>
  </si>
  <si>
    <t>Zuzana Slavíková</t>
  </si>
  <si>
    <t>Jana Plodková, Martin Myšička</t>
  </si>
  <si>
    <t>Matouš Ruml</t>
  </si>
  <si>
    <t>Petr Gelnar, Iveta Dušková</t>
  </si>
  <si>
    <t>Nora Ibsenová</t>
  </si>
  <si>
    <t>Publixing, Motýľ</t>
  </si>
  <si>
    <t>Marie Štípková, Sarah Hlaváčová</t>
  </si>
  <si>
    <t>Borek Kapitančik</t>
  </si>
  <si>
    <t>Vasil Fridrich</t>
  </si>
  <si>
    <t>Kniha knih o mateřství</t>
  </si>
  <si>
    <t>Fortuna Print</t>
  </si>
  <si>
    <t>Pilíře Země, #0</t>
  </si>
  <si>
    <t>Štvrtkový klub detektívov, #3</t>
  </si>
  <si>
    <t>Libuše Švormová, Jan Vlasak</t>
  </si>
  <si>
    <t>Peter Kočiš</t>
  </si>
  <si>
    <t>Dvořák, Pavel</t>
  </si>
  <si>
    <t>Mário Zeumer</t>
  </si>
  <si>
    <t>Publixing, Rak</t>
  </si>
  <si>
    <t>Tereza Dočkalová, Iveta Dušková</t>
  </si>
  <si>
    <t>Anita Krausová</t>
  </si>
  <si>
    <t>Martin Zahálka</t>
  </si>
  <si>
    <t>Ostrov</t>
  </si>
  <si>
    <t>Petra Bučková</t>
  </si>
  <si>
    <t>Ascolto</t>
  </si>
  <si>
    <t>Daniel Krejčík</t>
  </si>
  <si>
    <t>Juraj Kemka</t>
  </si>
  <si>
    <t>Metoda Bullet Journal</t>
  </si>
  <si>
    <t>Antonín Kala</t>
  </si>
  <si>
    <t>Denník dobrého detektíva, #34</t>
  </si>
  <si>
    <t>Denník dobrého detektíva, #35</t>
  </si>
  <si>
    <t>Denník dobrého detektíva, #33</t>
  </si>
  <si>
    <t>Denník dobrého detektíva, #32</t>
  </si>
  <si>
    <t>Denník dobrého detektíva, #31</t>
  </si>
  <si>
    <t>Denník dobrého detektíva, #30</t>
  </si>
  <si>
    <t>Denník dobrého detektíva, #29</t>
  </si>
  <si>
    <t>Denník dobrého detektíva, #28</t>
  </si>
  <si>
    <t>Publixing, Aurora</t>
  </si>
  <si>
    <t>Denník dobrého detektíva, #27</t>
  </si>
  <si>
    <t>Denník dobrého detektíva, #26</t>
  </si>
  <si>
    <t>Marián Geišberg</t>
  </si>
  <si>
    <t>Denník dobrého detektíva, #25</t>
  </si>
  <si>
    <t>Denník dobrého detektíva, #24</t>
  </si>
  <si>
    <t>Tympanum</t>
  </si>
  <si>
    <t>Jana Plodková, Veronika Lazorčáková</t>
  </si>
  <si>
    <t>Libor Böhm</t>
  </si>
  <si>
    <t>Čti mi!</t>
  </si>
  <si>
    <t>Denník dobrého detektíva, #23</t>
  </si>
  <si>
    <t>Denník dobrého detektíva, #20</t>
  </si>
  <si>
    <t>Radek Škvor, Anežka Pohorská</t>
  </si>
  <si>
    <t>Denník dobrého detektíva, #19</t>
  </si>
  <si>
    <t>Denník dobrého detektíva, #16</t>
  </si>
  <si>
    <t>Denník dobrého detektíva, #14</t>
  </si>
  <si>
    <t>Ján Maxián</t>
  </si>
  <si>
    <t>Denník dobrého detektíva, #13</t>
  </si>
  <si>
    <t>Pavel Soukup</t>
  </si>
  <si>
    <t>English</t>
  </si>
  <si>
    <t>Denník dobrého detektíva, #11</t>
  </si>
  <si>
    <t>Denník dobrého detektíva, #10</t>
  </si>
  <si>
    <t>Denník dobrého detektíva, #8</t>
  </si>
  <si>
    <t>Denník dobrého detektíva, #7</t>
  </si>
  <si>
    <t>Prescott Publishing</t>
  </si>
  <si>
    <t>Ondřej Novák, Tereza Dočkalová</t>
  </si>
  <si>
    <t>Petr Čtvrtníček</t>
  </si>
  <si>
    <t>Miroslava Frankovská</t>
  </si>
  <si>
    <t>Egmont SK</t>
  </si>
  <si>
    <t>Denník dobrého detektíva, #5</t>
  </si>
  <si>
    <t>Denník dobrého detektíva, #2</t>
  </si>
  <si>
    <t>Pavel Nový, Michal Zelenka</t>
  </si>
  <si>
    <t>Mickey Haller, #6</t>
  </si>
  <si>
    <t>Kanopa</t>
  </si>
  <si>
    <t>Michal Ďuriš</t>
  </si>
  <si>
    <t>Taká veľmi anglická vražda</t>
  </si>
  <si>
    <t>Martin Mišička, Jana Plodková</t>
  </si>
  <si>
    <t>Klára Cibulková</t>
  </si>
  <si>
    <t>Kajetán Písařovic</t>
  </si>
  <si>
    <t>Zuzana Kyzeková</t>
  </si>
  <si>
    <t>John Williams</t>
  </si>
  <si>
    <t>Tereza Beberová</t>
  </si>
  <si>
    <t>Dan Brown</t>
  </si>
  <si>
    <t>Bookmedia</t>
  </si>
  <si>
    <t>Martin Servaz, #8</t>
  </si>
  <si>
    <t>František Kreuzmann</t>
  </si>
  <si>
    <t>Zbyšek Horák</t>
  </si>
  <si>
    <t>Paganiniho smlouva</t>
  </si>
  <si>
    <t>Města, #1</t>
  </si>
  <si>
    <t>Daniel Volný</t>
  </si>
  <si>
    <t>Teraza Dočkalová</t>
  </si>
  <si>
    <t>Ivana Uhlířová</t>
  </si>
  <si>
    <t>Ondřej Brett</t>
  </si>
  <si>
    <t>Ova Audio</t>
  </si>
  <si>
    <t>Chyžná, #1</t>
  </si>
  <si>
    <t>Marie Štípoková</t>
  </si>
  <si>
    <t>František Kotleta, Krystína Sněgoňová</t>
  </si>
  <si>
    <t>Jakub Hejdánek</t>
  </si>
  <si>
    <t>Jana Stryková, Valérie Zawadská</t>
  </si>
  <si>
    <t>Na vrchol</t>
  </si>
  <si>
    <t>Jana Stryková, Jan Vlasák</t>
  </si>
  <si>
    <t>Filip Jančík</t>
  </si>
  <si>
    <t>Lenka Libjaková</t>
  </si>
  <si>
    <t>Jakub Burýšek, Sára Erlebachová</t>
  </si>
  <si>
    <t>Miroslav Táborský</t>
  </si>
  <si>
    <t>Sústreď sa na vraždu, #2</t>
  </si>
  <si>
    <t>Milo Kráľ</t>
  </si>
  <si>
    <t>Sústreď sa na vraždu, #1</t>
  </si>
  <si>
    <t>Intuitívne stravovanie</t>
  </si>
  <si>
    <t>Judita Hansman</t>
  </si>
  <si>
    <t>Eva Matejková</t>
  </si>
  <si>
    <t>Přemysl Boublík</t>
  </si>
  <si>
    <t>Jan Šťastný</t>
  </si>
  <si>
    <t>Saga Egmont</t>
  </si>
  <si>
    <t>Walker &amp; Volf</t>
  </si>
  <si>
    <t>Vasil Frindrich</t>
  </si>
  <si>
    <t>C-FLAT s.r.o.</t>
  </si>
  <si>
    <t>Kateřina Winterová, Martin Písařík</t>
  </si>
  <si>
    <t>Václav Neužil</t>
  </si>
  <si>
    <t>PRÁH</t>
  </si>
  <si>
    <t>Valard, #1</t>
  </si>
  <si>
    <t>Anna Fixová, Ondřej Rychlý</t>
  </si>
  <si>
    <t>Faye, #2</t>
  </si>
  <si>
    <t>Szidi Tobias, Sarah Arató</t>
  </si>
  <si>
    <t>Piliere Zeme, #3</t>
  </si>
  <si>
    <t>Nadácia, #1</t>
  </si>
  <si>
    <t>Nadácia, #2</t>
  </si>
  <si>
    <t>Denník dobrého detektíva, #12</t>
  </si>
  <si>
    <t>Denník dobrého detektíva, #9</t>
  </si>
  <si>
    <t>Pandemie</t>
  </si>
  <si>
    <t>Anomália</t>
  </si>
  <si>
    <t>Denník dobrého detektíva, #15</t>
  </si>
  <si>
    <t>Petr Hanák</t>
  </si>
  <si>
    <t>Denník dobrého detektíva, #22</t>
  </si>
  <si>
    <t>Denník dobrého detektíva, #21</t>
  </si>
  <si>
    <t>Denník dobrého detektíva, #17</t>
  </si>
  <si>
    <t>Luboš Ondráček</t>
  </si>
  <si>
    <t>Iveta Dušková, Petr Gelner</t>
  </si>
  <si>
    <t>Vo</t>
  </si>
  <si>
    <t>Jitka Ježková, Lucie Pernetová</t>
  </si>
  <si>
    <t>Jana Štvrtecká</t>
  </si>
  <si>
    <t>Helix</t>
  </si>
  <si>
    <t>Omega</t>
  </si>
  <si>
    <t>Odeon</t>
  </si>
  <si>
    <t>Denník dobrého detektíva, #6</t>
  </si>
  <si>
    <t>Tereza Bebarová</t>
  </si>
  <si>
    <t>Kristián Entertainment</t>
  </si>
  <si>
    <t>Denník dobrého detektíva, #3</t>
  </si>
  <si>
    <t>Denník dobrého detektíva, #4</t>
  </si>
  <si>
    <t>Posledná šanca</t>
  </si>
  <si>
    <t>Lucie Pernetová</t>
  </si>
  <si>
    <t>Všetko je riešiteľné</t>
  </si>
  <si>
    <t>Spát v moři hvězd, #2</t>
  </si>
  <si>
    <t>Příběh služebnice, #2</t>
  </si>
  <si>
    <t>Příběh služebnice, #1</t>
  </si>
  <si>
    <t>Taťjana Medvecká, Veronika Khek Kubařová</t>
  </si>
  <si>
    <t>Zuzana Kajnarová-Říčařová, Martin Myšička</t>
  </si>
  <si>
    <t>Spát v moři hvězd, #1</t>
  </si>
  <si>
    <t>Denník dobrého detektíva, #1</t>
  </si>
  <si>
    <t>Vysoko citlivé dieťa</t>
  </si>
  <si>
    <t>Prečo mama stále pije</t>
  </si>
  <si>
    <t>Útrapy podráždenej matky, #4</t>
  </si>
  <si>
    <t>Plástev, #1</t>
  </si>
  <si>
    <t>František Kreuzman</t>
  </si>
  <si>
    <t>Akta Enzo, #7</t>
  </si>
  <si>
    <t>Jiří Dvořák</t>
  </si>
  <si>
    <t>David Matásek</t>
  </si>
  <si>
    <t>Lucie Žačková</t>
  </si>
  <si>
    <t>Radioservis</t>
  </si>
  <si>
    <t>Sám sebe lekárom</t>
  </si>
  <si>
    <t>Akta Enzo, #2</t>
  </si>
  <si>
    <t>Akta Enzo, #1</t>
  </si>
  <si>
    <t>Marek Holý, Zuzana Slavíková</t>
  </si>
  <si>
    <t>Marek Holý, Jan Vlasák</t>
  </si>
  <si>
    <t>Jana Stryková, Marek Holý</t>
  </si>
  <si>
    <t>Daniel Bambas</t>
  </si>
  <si>
    <t>Hynek Čermák</t>
  </si>
  <si>
    <t>Mesto dievčat</t>
  </si>
  <si>
    <t>Levhart</t>
  </si>
  <si>
    <t>Igor Bareš, Lukáš Hlavica</t>
  </si>
  <si>
    <t>Libor Terš</t>
  </si>
  <si>
    <t>Milena Steinmasslová, Gustav Hašek</t>
  </si>
  <si>
    <t>Svedectvo o živote v KĽDR, #1</t>
  </si>
  <si>
    <t>Ako fotiť na Instagram</t>
  </si>
  <si>
    <t>Esence</t>
  </si>
  <si>
    <t>Ako funguje jedlo</t>
  </si>
  <si>
    <t>Ako funguje...</t>
  </si>
  <si>
    <t>Jiří Schwarz</t>
  </si>
  <si>
    <t>Pavel Rímsky, Prokop Rímsky</t>
  </si>
  <si>
    <t>Veronika Khek Kubařová</t>
  </si>
  <si>
    <t>Jan Potměšil</t>
  </si>
  <si>
    <t>Jaromír Meduna, Jan Hartl</t>
  </si>
  <si>
    <t>Jan Vlasák</t>
  </si>
  <si>
    <t>Valérie Zawadská</t>
  </si>
  <si>
    <t>Lukáš Hejlík</t>
  </si>
  <si>
    <t>Medvědín, #1</t>
  </si>
  <si>
    <t>Medicínske médium</t>
  </si>
  <si>
    <t>Medicínske médium, #1</t>
  </si>
  <si>
    <t>Nanič mama</t>
  </si>
  <si>
    <t>Sarah Turner</t>
  </si>
  <si>
    <t>Případy Kim Stoneové, #6</t>
  </si>
  <si>
    <t>Případy Kim Stoneové, #7</t>
  </si>
  <si>
    <t>Případy Kim Stoneové, #4</t>
  </si>
  <si>
    <t>Klára Suchá, Miroslav Hanuš</t>
  </si>
  <si>
    <t>audiobook</t>
  </si>
  <si>
    <t>Môj príbeh</t>
  </si>
  <si>
    <t xml:space="preserve">Pavel Rímsky </t>
  </si>
  <si>
    <t>Petr Oliva</t>
  </si>
  <si>
    <t>Tereza Dočkalová, Jana Plodková</t>
  </si>
  <si>
    <t>Návraty</t>
  </si>
  <si>
    <t>Tereza Dočkalová, Lenka Vlasáková</t>
  </si>
  <si>
    <t>Martin Finger</t>
  </si>
  <si>
    <t>Krajina túžob</t>
  </si>
  <si>
    <t>Nástroje pozitívnej rodičovskej výchovy</t>
  </si>
  <si>
    <t>Zaklínač, #1</t>
  </si>
  <si>
    <t>Zaklínač, #0</t>
  </si>
  <si>
    <t>Ďalšia šanca</t>
  </si>
  <si>
    <t>Případy Kim Stoneové, #3</t>
  </si>
  <si>
    <t>Čo si myslí moje dieťa</t>
  </si>
  <si>
    <t>Stravovací kompas</t>
  </si>
  <si>
    <t>Ako naučiť deti pravidlá</t>
  </si>
  <si>
    <t>Případy Kim Stoneové, #2</t>
  </si>
  <si>
    <t>Martin Kaprálik</t>
  </si>
  <si>
    <t>Kriedové správy</t>
  </si>
  <si>
    <t>Posledné mesto</t>
  </si>
  <si>
    <t>Nevyspytateľný</t>
  </si>
  <si>
    <t>Borovice</t>
  </si>
  <si>
    <t>Papierové mestá</t>
  </si>
  <si>
    <t>Posledný policajt</t>
  </si>
  <si>
    <t>Koniec sa blíži</t>
  </si>
  <si>
    <t>Problémový svet</t>
  </si>
  <si>
    <t>Recept na šťastie</t>
  </si>
  <si>
    <t>Fortuna Libri</t>
  </si>
  <si>
    <t>Prečo mama nadáva</t>
  </si>
  <si>
    <t>Stojedenročný starček, ktorý sa obával, že priveľa myslí</t>
  </si>
  <si>
    <t>20/20 Diéta</t>
  </si>
  <si>
    <t>Phil McGraw</t>
  </si>
  <si>
    <t>McGraw, Phil</t>
  </si>
  <si>
    <t>Nenapraviteľní</t>
  </si>
  <si>
    <t>Blackout</t>
  </si>
  <si>
    <t>Ako hovoriť s deťmi aby počúvali</t>
  </si>
  <si>
    <t>CPRESS</t>
  </si>
  <si>
    <t>Hygge</t>
  </si>
  <si>
    <t>Ebury</t>
  </si>
  <si>
    <t>Smrť a iné okamihy môjho života</t>
  </si>
  <si>
    <t>Hovor!</t>
  </si>
  <si>
    <t>Projekt dieťa</t>
  </si>
  <si>
    <t>Zabijak Anders a jeho priatelia</t>
  </si>
  <si>
    <t>Ohniská napätia</t>
  </si>
  <si>
    <t>Budúcnosť</t>
  </si>
  <si>
    <t>Smrteľná liečba</t>
  </si>
  <si>
    <t>Zhorenisko skúška</t>
  </si>
  <si>
    <t>Silo</t>
  </si>
  <si>
    <t>Prach</t>
  </si>
  <si>
    <t>Turnus</t>
  </si>
  <si>
    <t>Piata vlna</t>
  </si>
  <si>
    <t>Nekonečné more</t>
  </si>
  <si>
    <t>Posledná hviezda</t>
  </si>
  <si>
    <t>Manželský omyl</t>
  </si>
  <si>
    <t>Zákerná hra</t>
  </si>
  <si>
    <t>Havranie dievča</t>
  </si>
  <si>
    <t>Analfabetka, ktorá vedela počítať</t>
  </si>
  <si>
    <t>Manželská pasca</t>
  </si>
  <si>
    <t>Machiavelli radí mamám</t>
  </si>
  <si>
    <t>Experiment</t>
  </si>
  <si>
    <t>Rezistencia</t>
  </si>
  <si>
    <t>Divergencia</t>
  </si>
  <si>
    <t>Hodder</t>
  </si>
  <si>
    <t>Prah večnosti</t>
  </si>
  <si>
    <t>Zima sveta</t>
  </si>
  <si>
    <t>Pád titanov</t>
  </si>
  <si>
    <t>Zbožňuju New York</t>
  </si>
  <si>
    <t>BB/art</t>
  </si>
  <si>
    <t>Dohodnuté manželstvo</t>
  </si>
  <si>
    <t>Zoznam zákazov</t>
  </si>
  <si>
    <t>Storočný starček, ktorý vyliezol z okna a zmizol</t>
  </si>
  <si>
    <t>Svedkyňa ohňa</t>
  </si>
  <si>
    <t>Prázdne miesto</t>
  </si>
  <si>
    <t>Mesto zrkadiel</t>
  </si>
  <si>
    <t>Dvanástka</t>
  </si>
  <si>
    <t>Priechod</t>
  </si>
  <si>
    <t>Atlas mrakov</t>
  </si>
  <si>
    <t>Daj si pozor na želania</t>
  </si>
  <si>
    <t>Päťdesiat odtieňov slobody</t>
  </si>
  <si>
    <t>Päťdesiat odtieňov temnoty</t>
  </si>
  <si>
    <t>Päťdesiat odtieňov sivej</t>
  </si>
  <si>
    <t>Potomkovia</t>
  </si>
  <si>
    <t>Temné odhalenia</t>
  </si>
  <si>
    <t>Proroctvo z temnoty</t>
  </si>
  <si>
    <t>Netvor z temnoty</t>
  </si>
  <si>
    <t>Pod krídlami smrti</t>
  </si>
  <si>
    <t>Posledné štyri istoty</t>
  </si>
  <si>
    <t>Ľavá ruka Boha</t>
  </si>
  <si>
    <t>Drozdajka</t>
  </si>
  <si>
    <t>CooBoo SK</t>
  </si>
  <si>
    <t>Skúška ohňom</t>
  </si>
  <si>
    <t>Hry o život</t>
  </si>
  <si>
    <t>Predurčená</t>
  </si>
  <si>
    <t>Prebudená</t>
  </si>
  <si>
    <t>Vyhorená</t>
  </si>
  <si>
    <t>Pokúšaná</t>
  </si>
  <si>
    <t>Prenasledovaná</t>
  </si>
  <si>
    <t>Neskrotená</t>
  </si>
  <si>
    <t>Vyvolená</t>
  </si>
  <si>
    <t>Zradená</t>
  </si>
  <si>
    <t>Označená</t>
  </si>
  <si>
    <t>Prídem ťa zabiť</t>
  </si>
  <si>
    <t>Tretia ríša - Kronika</t>
  </si>
  <si>
    <t>Na západe nič nové</t>
  </si>
  <si>
    <t>Sila šestky</t>
  </si>
  <si>
    <t>Som číslo štyri</t>
  </si>
  <si>
    <t>Peter a Lucia</t>
  </si>
  <si>
    <t>Malý princ</t>
  </si>
  <si>
    <t>Ohnivá</t>
  </si>
  <si>
    <t>Ediposs</t>
  </si>
  <si>
    <t>Výnimočná</t>
  </si>
  <si>
    <t>Kniha lásky</t>
  </si>
  <si>
    <t>Stratený symbol</t>
  </si>
  <si>
    <t>Bod klamu</t>
  </si>
  <si>
    <t>Digitálna pevnosť</t>
  </si>
  <si>
    <t>Da Vinciho kód</t>
  </si>
  <si>
    <t>Anjeli a démoni</t>
  </si>
  <si>
    <t>Nov</t>
  </si>
  <si>
    <t>Súmrak</t>
  </si>
  <si>
    <t>Úsvit</t>
  </si>
  <si>
    <t>Twilight Saga, #3</t>
  </si>
  <si>
    <t>Zatmenie</t>
  </si>
  <si>
    <t>Dejiny plné omylov</t>
  </si>
  <si>
    <t>Perfect</t>
  </si>
  <si>
    <t>Chatrč</t>
  </si>
  <si>
    <t>Tajomstvo</t>
  </si>
  <si>
    <t>Alchymista</t>
  </si>
  <si>
    <t>Harry Potter a Dary smrti</t>
  </si>
  <si>
    <t>Harry Potter a Polovičný princ</t>
  </si>
  <si>
    <t>Harry Potter a Fénixov rád</t>
  </si>
  <si>
    <t>Harry Potter a Ohnivá čaša</t>
  </si>
  <si>
    <t>Harry Potter a Väzeň z Azkabanu</t>
  </si>
  <si>
    <t>Harry Potter a Tajomná komnata</t>
  </si>
  <si>
    <t>Harry Potter a Kameň mudrcov</t>
  </si>
  <si>
    <t>Petit Press</t>
  </si>
  <si>
    <t>Biela horúčava</t>
  </si>
  <si>
    <t>Muž iba pre mňa</t>
  </si>
  <si>
    <t>Starec a more</t>
  </si>
  <si>
    <t>Labyrint: Útek</t>
  </si>
  <si>
    <t>Stretnutie s Rámom</t>
  </si>
  <si>
    <t>9788082680242</t>
  </si>
  <si>
    <t>3</t>
  </si>
  <si>
    <t>Muž, ktorý hľadal svoj tieň</t>
  </si>
  <si>
    <t>9788055154886</t>
  </si>
  <si>
    <t>Mistborn: Finální říše</t>
  </si>
  <si>
    <t>9788071973317</t>
  </si>
  <si>
    <t>9783737341899</t>
  </si>
  <si>
    <t>9788055168258</t>
  </si>
  <si>
    <t>Čarodějnice</t>
  </si>
  <si>
    <t>9788026711186</t>
  </si>
  <si>
    <t>Dievča, ktoré uviazlo v pavúčej sieti</t>
  </si>
  <si>
    <t>9788055143804</t>
  </si>
  <si>
    <t>4</t>
  </si>
  <si>
    <t>Krotitel</t>
  </si>
  <si>
    <t>9788055614977</t>
  </si>
  <si>
    <t>Andělíčkářka</t>
  </si>
  <si>
    <t>9788026701309</t>
  </si>
  <si>
    <t>Lietajúce dobrodružstvá</t>
  </si>
  <si>
    <t>9788055199030</t>
  </si>
  <si>
    <t>Strážce majáku</t>
  </si>
  <si>
    <t>9788072467181</t>
  </si>
  <si>
    <t>9789538400377</t>
  </si>
  <si>
    <t>9788028405045</t>
  </si>
  <si>
    <t>9788075550729</t>
  </si>
  <si>
    <t>9788055607580</t>
  </si>
  <si>
    <t>Elsyino Tajemství</t>
  </si>
  <si>
    <t>9788026708230</t>
  </si>
  <si>
    <t>9788025748213</t>
  </si>
  <si>
    <t>2</t>
  </si>
  <si>
    <t>9788072465378</t>
  </si>
  <si>
    <t>Kameník</t>
  </si>
  <si>
    <t>9788026716181</t>
  </si>
  <si>
    <t>Tajomstvo modrého kvetu</t>
  </si>
  <si>
    <t>9788055196602</t>
  </si>
  <si>
    <t>9788057500490</t>
  </si>
  <si>
    <t>Kazatel</t>
  </si>
  <si>
    <t>9788072465156</t>
  </si>
  <si>
    <t>9788082303332</t>
  </si>
  <si>
    <t>Ledová princezna</t>
  </si>
  <si>
    <t>9788072464838</t>
  </si>
  <si>
    <t>9788028406615</t>
  </si>
  <si>
    <t>9786053759584</t>
  </si>
  <si>
    <t>9788080907259</t>
  </si>
  <si>
    <t>9788056913635</t>
  </si>
  <si>
    <t>5</t>
  </si>
  <si>
    <t>9781250200808</t>
  </si>
  <si>
    <t>Přes písek</t>
  </si>
  <si>
    <t>9788024290737</t>
  </si>
  <si>
    <t>9780593723760</t>
  </si>
  <si>
    <t>9781250200785</t>
  </si>
  <si>
    <t>9781250200761</t>
  </si>
  <si>
    <t>9788081093432</t>
  </si>
  <si>
    <t>9788075887313</t>
  </si>
  <si>
    <t>9781466867505</t>
  </si>
  <si>
    <t>9788028411152</t>
  </si>
  <si>
    <t>9781250034519</t>
  </si>
  <si>
    <t>Příliš odvážné přání</t>
  </si>
  <si>
    <t>9788075885302</t>
  </si>
  <si>
    <t>9788055193533</t>
  </si>
  <si>
    <t>Přísně střežené tajemství</t>
  </si>
  <si>
    <t>9788075884459</t>
  </si>
  <si>
    <t>Vzdušný zámok, ktorý vybuchol</t>
  </si>
  <si>
    <t>9788055119519</t>
  </si>
  <si>
    <t>Posledné tajomstvo</t>
  </si>
  <si>
    <t>9788057501633</t>
  </si>
  <si>
    <t>Dědička ohně</t>
  </si>
  <si>
    <t>9788075441119</t>
  </si>
  <si>
    <t>Skandar a kostrová kliatba</t>
  </si>
  <si>
    <t>9788057502494</t>
  </si>
  <si>
    <t>Bezmocná</t>
  </si>
  <si>
    <t>9788024292526</t>
  </si>
  <si>
    <t>9788022217330</t>
  </si>
  <si>
    <t>9788088494546</t>
  </si>
  <si>
    <t>9788022024006</t>
  </si>
  <si>
    <t>Otcovy hříchy</t>
  </si>
  <si>
    <t>9788726491265</t>
  </si>
  <si>
    <t>9788081643903</t>
  </si>
  <si>
    <t>Jen čas ukáže</t>
  </si>
  <si>
    <t>9788075883391</t>
  </si>
  <si>
    <t>Skandar a skúšky chaosu</t>
  </si>
  <si>
    <t>9788055196619</t>
  </si>
  <si>
    <t>9781406396126</t>
  </si>
  <si>
    <t>Slnečná sestra</t>
  </si>
  <si>
    <t>9788022211468</t>
  </si>
  <si>
    <t>Sen o stromě</t>
  </si>
  <si>
    <t>9788027722020</t>
  </si>
  <si>
    <t>9783764504922</t>
  </si>
  <si>
    <t>Blanvalet Verlag</t>
  </si>
  <si>
    <t>Svobodnej národ</t>
  </si>
  <si>
    <t>9788071972457</t>
  </si>
  <si>
    <t>9788022214940</t>
  </si>
  <si>
    <t>9788072550555</t>
  </si>
  <si>
    <t>Zrkadlový muž</t>
  </si>
  <si>
    <t>9788055175553</t>
  </si>
  <si>
    <t>9788082530141</t>
  </si>
  <si>
    <t>9788097386207</t>
  </si>
  <si>
    <t>9788055101156</t>
  </si>
  <si>
    <t>Pátý elefant</t>
  </si>
  <si>
    <t>9788071971795</t>
  </si>
  <si>
    <t>9788075550842</t>
  </si>
  <si>
    <t>Dievča, ktoré sa hralo s ohňom</t>
  </si>
  <si>
    <t>9788055118864</t>
  </si>
  <si>
    <t>Vila v Itálii</t>
  </si>
  <si>
    <t>9788024711027</t>
  </si>
  <si>
    <t>Smrť na Capri</t>
  </si>
  <si>
    <t>9788069071360</t>
  </si>
  <si>
    <t>9788088494485</t>
  </si>
  <si>
    <t>Muži, ktorí nenávidia ženy</t>
  </si>
  <si>
    <t>9788055117638</t>
  </si>
  <si>
    <t>9788055671888</t>
  </si>
  <si>
    <t>9788055670683</t>
  </si>
  <si>
    <t>Onyxová bouře</t>
  </si>
  <si>
    <t>9788025372197</t>
  </si>
  <si>
    <t>9788055667461</t>
  </si>
  <si>
    <t>9788055666891</t>
  </si>
  <si>
    <t>Těžké melodično</t>
  </si>
  <si>
    <t>9788071971504</t>
  </si>
  <si>
    <t>1</t>
  </si>
  <si>
    <t>9788069071209</t>
  </si>
  <si>
    <t>9788055665498</t>
  </si>
  <si>
    <t>Koruna z temnoty</t>
  </si>
  <si>
    <t>9788055614007</t>
  </si>
  <si>
    <t>9788075936530</t>
  </si>
  <si>
    <t>Vodný hrob</t>
  </si>
  <si>
    <t>9788056636350</t>
  </si>
  <si>
    <t>9788055663005</t>
  </si>
  <si>
    <t>Mesačná sestra</t>
  </si>
  <si>
    <t>9788022210621</t>
  </si>
  <si>
    <t>Perlová sestra</t>
  </si>
  <si>
    <t>9788022210607</t>
  </si>
  <si>
    <t>9780385514231</t>
  </si>
  <si>
    <t>9783958902398</t>
  </si>
  <si>
    <t>Tieňová sestra</t>
  </si>
  <si>
    <t>9788022210584</t>
  </si>
  <si>
    <t>9788073702076</t>
  </si>
  <si>
    <t>Búrková sestra</t>
  </si>
  <si>
    <t>9788022210096</t>
  </si>
  <si>
    <t>Galéria mŕtvych</t>
  </si>
  <si>
    <t>9788089873708</t>
  </si>
  <si>
    <t>Sedem sestier</t>
  </si>
  <si>
    <t>9788022210072</t>
  </si>
  <si>
    <t>Murtagh</t>
  </si>
  <si>
    <t>9781774882993</t>
  </si>
  <si>
    <t>9788373374287</t>
  </si>
  <si>
    <t>Čajovna v Tokiu</t>
  </si>
  <si>
    <t>9788027112326</t>
  </si>
  <si>
    <t>Muži ve zbrani</t>
  </si>
  <si>
    <t>9788071971221</t>
  </si>
  <si>
    <t>9788055159614</t>
  </si>
  <si>
    <t>Svatba duchů</t>
  </si>
  <si>
    <t>9788027503575</t>
  </si>
  <si>
    <t>Pláž v Chorvatsku</t>
  </si>
  <si>
    <t>9788027129355</t>
  </si>
  <si>
    <t>Železný plameň</t>
  </si>
  <si>
    <t>9788055193922</t>
  </si>
  <si>
    <t>9788075935120</t>
  </si>
  <si>
    <t>9788026444244</t>
  </si>
  <si>
    <t>9788081643484</t>
  </si>
  <si>
    <t>Pomocnice</t>
  </si>
  <si>
    <t>9788024288727</t>
  </si>
  <si>
    <t>Štvrté krídlo</t>
  </si>
  <si>
    <t>9788055192239</t>
  </si>
  <si>
    <t>9788087270424</t>
  </si>
  <si>
    <t>Zbroj světla</t>
  </si>
  <si>
    <t>9788024297156</t>
  </si>
  <si>
    <t>9781903258538</t>
  </si>
  <si>
    <t>Trón zo skla</t>
  </si>
  <si>
    <t>9788055612959</t>
  </si>
  <si>
    <t>Piloti</t>
  </si>
  <si>
    <t>9788055661964</t>
  </si>
  <si>
    <t>Kadeti</t>
  </si>
  <si>
    <t>9788055656489</t>
  </si>
  <si>
    <t>9788022211536</t>
  </si>
  <si>
    <t>Červený úsvit</t>
  </si>
  <si>
    <t>9788081720536</t>
  </si>
  <si>
    <t>9788027608782</t>
  </si>
  <si>
    <t>9788055665825</t>
  </si>
  <si>
    <t>9788081643873</t>
  </si>
  <si>
    <t>9788022213349</t>
  </si>
  <si>
    <t>9788089845309</t>
  </si>
  <si>
    <t>9788072948871</t>
  </si>
  <si>
    <t>9788022211390</t>
  </si>
  <si>
    <t>9788085501933</t>
  </si>
  <si>
    <t>9788026717072</t>
  </si>
  <si>
    <t>9788074332432</t>
  </si>
  <si>
    <t>9788056621448</t>
  </si>
  <si>
    <t>9788088494065</t>
  </si>
  <si>
    <t>Černočerné srdce</t>
  </si>
  <si>
    <t>9788076625853</t>
  </si>
  <si>
    <t>9788089921461</t>
  </si>
  <si>
    <t>9788055160702</t>
  </si>
  <si>
    <t>9788055191218</t>
  </si>
  <si>
    <t>9788055160047</t>
  </si>
  <si>
    <t>9788327164001</t>
  </si>
  <si>
    <t>9780316531283</t>
  </si>
  <si>
    <t>9788089737703</t>
  </si>
  <si>
    <t>9788055179698</t>
  </si>
  <si>
    <t>9788022210294</t>
  </si>
  <si>
    <t>9788055188874</t>
  </si>
  <si>
    <t>9788055157603</t>
  </si>
  <si>
    <t>9788097292201</t>
  </si>
  <si>
    <t>9788075653048</t>
  </si>
  <si>
    <t>9780525533344</t>
  </si>
  <si>
    <t>9788056660034</t>
  </si>
  <si>
    <t>9788055656922</t>
  </si>
  <si>
    <t>9788055654935</t>
  </si>
  <si>
    <t>9788055652627</t>
  </si>
  <si>
    <t>9788022216296</t>
  </si>
  <si>
    <t>9788055648224</t>
  </si>
  <si>
    <t>9788055647623</t>
  </si>
  <si>
    <t>9788055140650</t>
  </si>
  <si>
    <t>9788055643588</t>
  </si>
  <si>
    <t>9788055640495</t>
  </si>
  <si>
    <t>9788097372712</t>
  </si>
  <si>
    <t>9788055636894</t>
  </si>
  <si>
    <t>9788055152684</t>
  </si>
  <si>
    <t>9788055635866</t>
  </si>
  <si>
    <t>9788055630939</t>
  </si>
  <si>
    <t>9788055152479</t>
  </si>
  <si>
    <t>9788055627830</t>
  </si>
  <si>
    <t>9788055130125</t>
  </si>
  <si>
    <t>9788055169408</t>
  </si>
  <si>
    <t>9788085911398</t>
  </si>
  <si>
    <t>Hvězdy nad hlavou</t>
  </si>
  <si>
    <t>9788025238844</t>
  </si>
  <si>
    <t>Kaviareň v Kodani</t>
  </si>
  <si>
    <t>9788080900946</t>
  </si>
  <si>
    <t>9788025742792</t>
  </si>
  <si>
    <t>Mág: Učedník</t>
  </si>
  <si>
    <t>9788085892123</t>
  </si>
  <si>
    <t>9788055625935</t>
  </si>
  <si>
    <t>9788055609614</t>
  </si>
  <si>
    <t>Winter</t>
  </si>
  <si>
    <t>9780312642983</t>
  </si>
  <si>
    <t>9788072529636</t>
  </si>
  <si>
    <t>9788055610641</t>
  </si>
  <si>
    <t>Hon na mrtvého</t>
  </si>
  <si>
    <t>9788075880451</t>
  </si>
  <si>
    <t>Illuminae</t>
  </si>
  <si>
    <t>9788075442239</t>
  </si>
  <si>
    <t>9788055607900</t>
  </si>
  <si>
    <t>9788055603483</t>
  </si>
  <si>
    <t>9788024296951</t>
  </si>
  <si>
    <t>9788055602363</t>
  </si>
  <si>
    <t>Oko světa</t>
  </si>
  <si>
    <t>9788073981693</t>
  </si>
  <si>
    <t>The Worlds We Make</t>
  </si>
  <si>
    <t>9780995216969</t>
  </si>
  <si>
    <t>9788080859374</t>
  </si>
  <si>
    <t>9788080858650</t>
  </si>
  <si>
    <t>9788080856700</t>
  </si>
  <si>
    <t>9788080855222</t>
  </si>
  <si>
    <t>Extinction Crisis</t>
  </si>
  <si>
    <t>9781926456294</t>
  </si>
  <si>
    <t>Babylon</t>
  </si>
  <si>
    <t>9788027518241</t>
  </si>
  <si>
    <t>Fairest</t>
  </si>
  <si>
    <t>9781250060556</t>
  </si>
  <si>
    <t>Stráže! Stráže!</t>
  </si>
  <si>
    <t>9788085609707</t>
  </si>
  <si>
    <t>Extinction Countdown</t>
  </si>
  <si>
    <t>9781926456287</t>
  </si>
  <si>
    <t>Cress</t>
  </si>
  <si>
    <t>9780312642976</t>
  </si>
  <si>
    <t>9788025732601</t>
  </si>
  <si>
    <t>Scarlet</t>
  </si>
  <si>
    <t>9780312642969</t>
  </si>
  <si>
    <t>9788055650463</t>
  </si>
  <si>
    <t>9788025723708</t>
  </si>
  <si>
    <t>Životy, Ktoré Sme Stratili</t>
  </si>
  <si>
    <t>9788025226186</t>
  </si>
  <si>
    <t>9788089873098</t>
  </si>
  <si>
    <t>9788080853556</t>
  </si>
  <si>
    <t>Tak Padne Náš Svět</t>
  </si>
  <si>
    <t>9788025221020</t>
  </si>
  <si>
    <t>9788080850494</t>
  </si>
  <si>
    <t>9788080905842</t>
  </si>
  <si>
    <t>9788075774354</t>
  </si>
  <si>
    <t>9788055649443</t>
  </si>
  <si>
    <t>9788073902612</t>
  </si>
  <si>
    <t>9788055187181</t>
  </si>
  <si>
    <t>9781781162644</t>
  </si>
  <si>
    <t>9788056634431</t>
  </si>
  <si>
    <t>Pán ohně</t>
  </si>
  <si>
    <t>9788074912351</t>
  </si>
  <si>
    <t>Panenka</t>
  </si>
  <si>
    <t>9788076250802</t>
  </si>
  <si>
    <t>9788085501872</t>
  </si>
  <si>
    <t>9788087249277</t>
  </si>
  <si>
    <t>Kosenie</t>
  </si>
  <si>
    <t>9788055661025</t>
  </si>
  <si>
    <t>Fraktální šum</t>
  </si>
  <si>
    <t>9788025365571</t>
  </si>
  <si>
    <t>Začína sa to nami</t>
  </si>
  <si>
    <t>9788055188676</t>
  </si>
  <si>
    <t>Lazarus</t>
  </si>
  <si>
    <t>9780593346099</t>
  </si>
  <si>
    <t>9788055172897</t>
  </si>
  <si>
    <t>9788022213264</t>
  </si>
  <si>
    <t>9788027103744</t>
  </si>
  <si>
    <t>Ihrisko</t>
  </si>
  <si>
    <t>9788055147680</t>
  </si>
  <si>
    <t>9788055158631</t>
  </si>
  <si>
    <t>Lovec králikov</t>
  </si>
  <si>
    <t>9788055155401</t>
  </si>
  <si>
    <t>9788056636473</t>
  </si>
  <si>
    <t>Vzpomínka na Zemi</t>
  </si>
  <si>
    <t>9788075775597</t>
  </si>
  <si>
    <t>Skandar a Prvý jazdec</t>
  </si>
  <si>
    <t>9788055189147</t>
  </si>
  <si>
    <t>Temný les</t>
  </si>
  <si>
    <t>9788075771728</t>
  </si>
  <si>
    <t>9788027603398</t>
  </si>
  <si>
    <t>Problém tří těles</t>
  </si>
  <si>
    <t>9788075770615</t>
  </si>
  <si>
    <t>9788097193010</t>
  </si>
  <si>
    <t>Písečný muž</t>
  </si>
  <si>
    <t>9788072948550</t>
  </si>
  <si>
    <t>9788082070777</t>
  </si>
  <si>
    <t>9789100124694</t>
  </si>
  <si>
    <t>9788022209991</t>
  </si>
  <si>
    <t>Hypnotizér</t>
  </si>
  <si>
    <t>9788072943999</t>
  </si>
  <si>
    <t>9788056623169</t>
  </si>
  <si>
    <t>9788075579560</t>
  </si>
  <si>
    <t>9788056615942</t>
  </si>
  <si>
    <t>9788055184210</t>
  </si>
  <si>
    <t>9788027515868</t>
  </si>
  <si>
    <t>9788081598159</t>
  </si>
  <si>
    <t>Před bouří</t>
  </si>
  <si>
    <t>9788075778468</t>
  </si>
  <si>
    <t>9788024948324</t>
  </si>
  <si>
    <t>9781770463165</t>
  </si>
  <si>
    <t>9788075579416</t>
  </si>
  <si>
    <t>Dotyky budúcnosti</t>
  </si>
  <si>
    <t>9788089718061</t>
  </si>
  <si>
    <t>Rodina z domu tieňov</t>
  </si>
  <si>
    <t>9788022214513</t>
  </si>
  <si>
    <t>9788087270516</t>
  </si>
  <si>
    <t>Bird Box</t>
  </si>
  <si>
    <t>9780062259653</t>
  </si>
  <si>
    <t>9788055190419</t>
  </si>
  <si>
    <t>9788055185118</t>
  </si>
  <si>
    <t>9788022213554</t>
  </si>
  <si>
    <t>Led pod kůží</t>
  </si>
  <si>
    <t>9788025710081</t>
  </si>
  <si>
    <t>9780593539583</t>
  </si>
  <si>
    <t>Extinction Code</t>
  </si>
  <si>
    <t>9781926456270</t>
  </si>
  <si>
    <t>Jantarové oči</t>
  </si>
  <si>
    <t>9788025708736</t>
  </si>
  <si>
    <t>Den nula</t>
  </si>
  <si>
    <t>9788027712250</t>
  </si>
  <si>
    <t>9788097258955</t>
  </si>
  <si>
    <t>9788055160276</t>
  </si>
  <si>
    <t>9788075779786</t>
  </si>
  <si>
    <t>9788055162843</t>
  </si>
  <si>
    <t>9788022211888</t>
  </si>
  <si>
    <t>Nasterea</t>
  </si>
  <si>
    <t>9788027508167</t>
  </si>
  <si>
    <t>Faja</t>
  </si>
  <si>
    <t>9788075771766</t>
  </si>
  <si>
    <t>Balada o ptácích a hadech</t>
  </si>
  <si>
    <t>9788025348147</t>
  </si>
  <si>
    <t>Naslouchač</t>
  </si>
  <si>
    <t>9788074913839</t>
  </si>
  <si>
    <t>Končí sa to nami</t>
  </si>
  <si>
    <t>9788055157856</t>
  </si>
  <si>
    <t>9788055177632</t>
  </si>
  <si>
    <t>9788081822049</t>
  </si>
  <si>
    <t>9788055186238</t>
  </si>
  <si>
    <t>9788022021630</t>
  </si>
  <si>
    <t>9788055181660</t>
  </si>
  <si>
    <t>9788082530073</t>
  </si>
  <si>
    <t>9780312321239</t>
  </si>
  <si>
    <t>9788000020495</t>
  </si>
  <si>
    <t>Dva razy mŕtvy</t>
  </si>
  <si>
    <t>9788055652108</t>
  </si>
  <si>
    <t>9788089968831</t>
  </si>
  <si>
    <t>9788082071453</t>
  </si>
  <si>
    <t>Štvrtkový klub detektívov</t>
  </si>
  <si>
    <t>9788055649450</t>
  </si>
  <si>
    <t>9788081641879</t>
  </si>
  <si>
    <t>Krvavý mesiac</t>
  </si>
  <si>
    <t>9788055186672</t>
  </si>
  <si>
    <t>9788022022552</t>
  </si>
  <si>
    <t>Kane &amp; Abel</t>
  </si>
  <si>
    <t>9780312995058</t>
  </si>
  <si>
    <t>9788027502011</t>
  </si>
  <si>
    <t>9788055627977</t>
  </si>
  <si>
    <t>9788056622322</t>
  </si>
  <si>
    <t>9788022213929</t>
  </si>
  <si>
    <t>Cinder</t>
  </si>
  <si>
    <t>9788081720574</t>
  </si>
  <si>
    <t>9788071933557</t>
  </si>
  <si>
    <t>9788022211000</t>
  </si>
  <si>
    <t>9788088287407</t>
  </si>
  <si>
    <t>Anna a francúzsky bozk</t>
  </si>
  <si>
    <t>9788055173702</t>
  </si>
  <si>
    <t>9788080859282</t>
  </si>
  <si>
    <t>9788071932611</t>
  </si>
  <si>
    <t>Skandar a zlodej jednorožcov</t>
  </si>
  <si>
    <t>9788055185217</t>
  </si>
  <si>
    <t>9788099925985</t>
  </si>
  <si>
    <t>9788089921553</t>
  </si>
  <si>
    <t>9788082033420</t>
  </si>
  <si>
    <t>9788024266657</t>
  </si>
  <si>
    <t>9781781090268</t>
  </si>
  <si>
    <t>9788087702048</t>
  </si>
  <si>
    <t>9782070374441</t>
  </si>
  <si>
    <t>9788088346036</t>
  </si>
  <si>
    <t>9788090796836</t>
  </si>
  <si>
    <t>9788055152844</t>
  </si>
  <si>
    <t>9788089876228</t>
  </si>
  <si>
    <t>9788075775603</t>
  </si>
  <si>
    <t>9788055648286</t>
  </si>
  <si>
    <t>9788022212861</t>
  </si>
  <si>
    <t>Nadácia a Impérium</t>
  </si>
  <si>
    <t>9788056617533</t>
  </si>
  <si>
    <t>9788022208666</t>
  </si>
  <si>
    <t>Nadácia</t>
  </si>
  <si>
    <t>9788056616284</t>
  </si>
  <si>
    <t>9788075550569</t>
  </si>
  <si>
    <t>9788055186061</t>
  </si>
  <si>
    <t>9788055601366</t>
  </si>
  <si>
    <t>9788089628766</t>
  </si>
  <si>
    <t>9788055614908</t>
  </si>
  <si>
    <t>9788055174907</t>
  </si>
  <si>
    <t>Poločas rozpadu</t>
  </si>
  <si>
    <t>9788075574237</t>
  </si>
  <si>
    <t>9788081640605</t>
  </si>
  <si>
    <t>9788080857868</t>
  </si>
  <si>
    <t>9780525535331</t>
  </si>
  <si>
    <t>9788056617342</t>
  </si>
  <si>
    <t>9788082071293</t>
  </si>
  <si>
    <t>9788087697689</t>
  </si>
  <si>
    <t>9788055127101</t>
  </si>
  <si>
    <t>9788055606934</t>
  </si>
  <si>
    <t>9781958134009</t>
  </si>
  <si>
    <t>9788055177410</t>
  </si>
  <si>
    <t>9788055153513</t>
  </si>
  <si>
    <t>9788075550026</t>
  </si>
  <si>
    <t>9788055175584</t>
  </si>
  <si>
    <t>9788055623771</t>
  </si>
  <si>
    <t>9788022206679</t>
  </si>
  <si>
    <t>9788055614335</t>
  </si>
  <si>
    <t>9788055608556</t>
  </si>
  <si>
    <t>Posol</t>
  </si>
  <si>
    <t>9788055645704</t>
  </si>
  <si>
    <t>9788074134500</t>
  </si>
  <si>
    <t>Nimbus</t>
  </si>
  <si>
    <t>9788076173590</t>
  </si>
  <si>
    <t>Tanečník</t>
  </si>
  <si>
    <t>9788073031039</t>
  </si>
  <si>
    <t>SPAD</t>
  </si>
  <si>
    <t>9788075570352</t>
  </si>
  <si>
    <t>Děti plástve</t>
  </si>
  <si>
    <t>9788074252013</t>
  </si>
  <si>
    <t>9788055642192</t>
  </si>
  <si>
    <t>Smrtka</t>
  </si>
  <si>
    <t>9788075497345</t>
  </si>
  <si>
    <t>9788026430315</t>
  </si>
  <si>
    <t>9788073877989</t>
  </si>
  <si>
    <t>9780440000785</t>
  </si>
  <si>
    <t>9788024933757</t>
  </si>
  <si>
    <t>9788024278995</t>
  </si>
  <si>
    <t>9788056607480</t>
  </si>
  <si>
    <t>9783764505646</t>
  </si>
  <si>
    <t>9788055160009</t>
  </si>
  <si>
    <t>9788056607589</t>
  </si>
  <si>
    <t>9788055126265</t>
  </si>
  <si>
    <t>9788022210119</t>
  </si>
  <si>
    <t>Na veky vekov</t>
  </si>
  <si>
    <t>9788022206051</t>
  </si>
  <si>
    <t>9788055164687</t>
  </si>
  <si>
    <t>9788080854409</t>
  </si>
  <si>
    <t>9788022213165</t>
  </si>
  <si>
    <t>9788055171920</t>
  </si>
  <si>
    <t>9788020439505</t>
  </si>
  <si>
    <t>9788086685793</t>
  </si>
  <si>
    <t>9788080851491</t>
  </si>
  <si>
    <t>Žiarenie</t>
  </si>
  <si>
    <t>9788055138343</t>
  </si>
  <si>
    <t>9788080852078</t>
  </si>
  <si>
    <t>9788090144002</t>
  </si>
  <si>
    <t>9788056635292</t>
  </si>
  <si>
    <t>Slepota</t>
  </si>
  <si>
    <t>9788071180791</t>
  </si>
  <si>
    <t>9780425166611</t>
  </si>
  <si>
    <t>9788055143620</t>
  </si>
  <si>
    <t>9788055652566</t>
  </si>
  <si>
    <t>9788055123066</t>
  </si>
  <si>
    <t>9788076623262</t>
  </si>
  <si>
    <t>9788071182221</t>
  </si>
  <si>
    <t>9788072039739</t>
  </si>
  <si>
    <t>9788075542656</t>
  </si>
  <si>
    <t>9788097431907</t>
  </si>
  <si>
    <t>9780385475716</t>
  </si>
  <si>
    <t>9780241341032</t>
  </si>
  <si>
    <t>Vražda na Ostrove Camino</t>
  </si>
  <si>
    <t>9788055176895</t>
  </si>
  <si>
    <t>9788025350478</t>
  </si>
  <si>
    <t>9788055177052</t>
  </si>
  <si>
    <t>9788025731567</t>
  </si>
  <si>
    <t>9783462051438</t>
  </si>
  <si>
    <t>9788073814120</t>
  </si>
  <si>
    <t>Generácia apokalypsy</t>
  </si>
  <si>
    <t>9788099944115</t>
  </si>
  <si>
    <t>9788055165219</t>
  </si>
  <si>
    <t>9788025349359</t>
  </si>
  <si>
    <t>9788055161884</t>
  </si>
  <si>
    <t>9788071452775</t>
  </si>
  <si>
    <t>9788055156859</t>
  </si>
  <si>
    <t>Rodina v podkroví</t>
  </si>
  <si>
    <t>9788022211086</t>
  </si>
  <si>
    <t>9780767908726</t>
  </si>
  <si>
    <t>9788085782172</t>
  </si>
  <si>
    <t>9780008358570</t>
  </si>
  <si>
    <t>9788074252143</t>
  </si>
  <si>
    <t>Lov</t>
  </si>
  <si>
    <t>9788056624623</t>
  </si>
  <si>
    <t>Magický Prazdroj</t>
  </si>
  <si>
    <t>9788085609677</t>
  </si>
  <si>
    <t>Noční brána</t>
  </si>
  <si>
    <t>9788027510818</t>
  </si>
  <si>
    <t>Šachové figurky</t>
  </si>
  <si>
    <t>9788074912368</t>
  </si>
  <si>
    <t>9788055146676</t>
  </si>
  <si>
    <t>Muž z ostrova Lewis</t>
  </si>
  <si>
    <t>9788072949281</t>
  </si>
  <si>
    <t>Skála</t>
  </si>
  <si>
    <t>9788072947072</t>
  </si>
  <si>
    <t>9788055127804</t>
  </si>
  <si>
    <t>9788055123967</t>
  </si>
  <si>
    <t>9788087162880</t>
  </si>
  <si>
    <t>Čaroprávnost</t>
  </si>
  <si>
    <t>9788085609547</t>
  </si>
  <si>
    <t>9788072603954</t>
  </si>
  <si>
    <t>Nezvratné alibi</t>
  </si>
  <si>
    <t>9788027503353</t>
  </si>
  <si>
    <t>9788055121314</t>
  </si>
  <si>
    <t>Zpětný ráz</t>
  </si>
  <si>
    <t>9788075776273</t>
  </si>
  <si>
    <t>Entomologův odkaz</t>
  </si>
  <si>
    <t>9788075771643</t>
  </si>
  <si>
    <t>9783864156571</t>
  </si>
  <si>
    <t>9788026435716</t>
  </si>
  <si>
    <t>Černé světlo</t>
  </si>
  <si>
    <t>9788074919848</t>
  </si>
  <si>
    <t>Kritik</t>
  </si>
  <si>
    <t>9788074914324</t>
  </si>
  <si>
    <t>Devět nocí</t>
  </si>
  <si>
    <t>9788075940247</t>
  </si>
  <si>
    <t>Devět dní</t>
  </si>
  <si>
    <t>9788073983932</t>
  </si>
  <si>
    <t>Výnimoční ľudia</t>
  </si>
  <si>
    <t>9788025904206</t>
  </si>
  <si>
    <t>9788081593963</t>
  </si>
  <si>
    <t>First Blood</t>
  </si>
  <si>
    <t>9781538701942</t>
  </si>
  <si>
    <t>Děti Duny</t>
  </si>
  <si>
    <t>9788072143887</t>
  </si>
  <si>
    <t>9788022212922</t>
  </si>
  <si>
    <t>Spasitel Duny</t>
  </si>
  <si>
    <t>9788072143443</t>
  </si>
  <si>
    <t>Duna</t>
  </si>
  <si>
    <t>9788072141838</t>
  </si>
  <si>
    <t>9788026507536</t>
  </si>
  <si>
    <t>Lehké fantastično</t>
  </si>
  <si>
    <t>9788085609295</t>
  </si>
  <si>
    <t>Barva kouzel</t>
  </si>
  <si>
    <t>9788085609288</t>
  </si>
  <si>
    <t>9788027503476</t>
  </si>
  <si>
    <t>Nůž</t>
  </si>
  <si>
    <t>9788076624085</t>
  </si>
  <si>
    <t>9788055153254</t>
  </si>
  <si>
    <t>9788056616727</t>
  </si>
  <si>
    <t>Policie</t>
  </si>
  <si>
    <t>9788074732706</t>
  </si>
  <si>
    <t>9788082530004</t>
  </si>
  <si>
    <t>Přízrak</t>
  </si>
  <si>
    <t>9788074732218</t>
  </si>
  <si>
    <t>9781594634741</t>
  </si>
  <si>
    <t>9788022212748</t>
  </si>
  <si>
    <t>9788074731402</t>
  </si>
  <si>
    <t>Dětské duše</t>
  </si>
  <si>
    <t>9788024274294</t>
  </si>
  <si>
    <t>9788055131191</t>
  </si>
  <si>
    <t>Mrtvé vzpomínky</t>
  </si>
  <si>
    <t>9788024270920</t>
  </si>
  <si>
    <t>Spasitel</t>
  </si>
  <si>
    <t>9788087497081</t>
  </si>
  <si>
    <t>Sestry</t>
  </si>
  <si>
    <t>9780385340229</t>
  </si>
  <si>
    <t>Pentagram</t>
  </si>
  <si>
    <t>9788324589944</t>
  </si>
  <si>
    <t>Osudný slib</t>
  </si>
  <si>
    <t>9788024266701</t>
  </si>
  <si>
    <t>Nemesis</t>
  </si>
  <si>
    <t>9780061655517</t>
  </si>
  <si>
    <t>Červenka</t>
  </si>
  <si>
    <t>9788076623620</t>
  </si>
  <si>
    <t>Šváby</t>
  </si>
  <si>
    <t>9788055142449</t>
  </si>
  <si>
    <t>Netopýr</t>
  </si>
  <si>
    <t>9788087497692</t>
  </si>
  <si>
    <t>9788055164922</t>
  </si>
  <si>
    <t>9788087855645</t>
  </si>
  <si>
    <t>Proč máma pije</t>
  </si>
  <si>
    <t>9788026712053</t>
  </si>
  <si>
    <t>Temná věž</t>
  </si>
  <si>
    <t>9788073062446</t>
  </si>
  <si>
    <t>9780440240792</t>
  </si>
  <si>
    <t>9788055178455</t>
  </si>
  <si>
    <t>Zpěv Susannah</t>
  </si>
  <si>
    <t>9788073063870</t>
  </si>
  <si>
    <t>9788074228254</t>
  </si>
  <si>
    <t>9788081595981</t>
  </si>
  <si>
    <t>Vlci z Cally</t>
  </si>
  <si>
    <t>9788073063863</t>
  </si>
  <si>
    <t>9788081595134</t>
  </si>
  <si>
    <t>9788055178059</t>
  </si>
  <si>
    <t>9788055175898</t>
  </si>
  <si>
    <t>Čaroděj a sklo</t>
  </si>
  <si>
    <t>9788073060169</t>
  </si>
  <si>
    <t>9788055169835</t>
  </si>
  <si>
    <t>9788099925008</t>
  </si>
  <si>
    <t>9788055147444</t>
  </si>
  <si>
    <t>QualityLand</t>
  </si>
  <si>
    <t>9783550050237</t>
  </si>
  <si>
    <t>Skryté karty</t>
  </si>
  <si>
    <t>9788076179653</t>
  </si>
  <si>
    <t>9788081115608</t>
  </si>
  <si>
    <t>Pustiny</t>
  </si>
  <si>
    <t>9788086278827</t>
  </si>
  <si>
    <t>9788075495921</t>
  </si>
  <si>
    <t>Tři vyvolení</t>
  </si>
  <si>
    <t>9788086278322</t>
  </si>
  <si>
    <t>9788055181226</t>
  </si>
  <si>
    <t>9788056623220</t>
  </si>
  <si>
    <t>9788024944470</t>
  </si>
  <si>
    <t>Piliere zeme</t>
  </si>
  <si>
    <t>9788022206020</t>
  </si>
  <si>
    <t>9788055176604</t>
  </si>
  <si>
    <t>9781465461193</t>
  </si>
  <si>
    <t>Pistolník</t>
  </si>
  <si>
    <t>9788086029924</t>
  </si>
  <si>
    <t>9788075976338</t>
  </si>
  <si>
    <t>9788055173061</t>
  </si>
  <si>
    <t>9788075056207</t>
  </si>
  <si>
    <t>9788055180830</t>
  </si>
  <si>
    <t>9788055180823</t>
  </si>
  <si>
    <t>9780143036494</t>
  </si>
  <si>
    <t>Údolí</t>
  </si>
  <si>
    <t>9788075978479</t>
  </si>
  <si>
    <t>9788075973351</t>
  </si>
  <si>
    <t>Pokrevní pouta</t>
  </si>
  <si>
    <t>9788024261256</t>
  </si>
  <si>
    <t>Poslední aristokratka</t>
  </si>
  <si>
    <t>9788072273201</t>
  </si>
  <si>
    <t>9788055175294</t>
  </si>
  <si>
    <t>9788087391068</t>
  </si>
  <si>
    <t>9788055175027</t>
  </si>
  <si>
    <t>9788055142074</t>
  </si>
  <si>
    <t>9780525421580</t>
  </si>
  <si>
    <t>9788022015240</t>
  </si>
  <si>
    <t>9788056608968</t>
  </si>
  <si>
    <t>9788089628988</t>
  </si>
  <si>
    <t>9788081115097</t>
  </si>
  <si>
    <t>9788055142869</t>
  </si>
  <si>
    <t>9788022211123</t>
  </si>
  <si>
    <t>Bez milosti</t>
  </si>
  <si>
    <t>9788055135816</t>
  </si>
  <si>
    <t>9788022211147</t>
  </si>
  <si>
    <t>9788651702986</t>
  </si>
  <si>
    <t>9788074912399</t>
  </si>
  <si>
    <t>9788075771223</t>
  </si>
  <si>
    <t>9788081592232</t>
  </si>
  <si>
    <t>9788055152677</t>
  </si>
  <si>
    <t>9788055161273</t>
  </si>
  <si>
    <t>9788027505937</t>
  </si>
  <si>
    <t>9788089452392</t>
  </si>
  <si>
    <t>9788055154534</t>
  </si>
  <si>
    <t>My proti vám</t>
  </si>
  <si>
    <t>9788075775627</t>
  </si>
  <si>
    <t>9788056613672</t>
  </si>
  <si>
    <t>Aristokratka ve varu</t>
  </si>
  <si>
    <t>9788072273386</t>
  </si>
  <si>
    <t>9788055176000</t>
  </si>
  <si>
    <t>Mŕtve duše</t>
  </si>
  <si>
    <t>9788055168883</t>
  </si>
  <si>
    <t>Mráz</t>
  </si>
  <si>
    <t>9788075050397</t>
  </si>
  <si>
    <t>Kruh</t>
  </si>
  <si>
    <t>9788075052445</t>
  </si>
  <si>
    <t>9788075053749</t>
  </si>
  <si>
    <t>Noc</t>
  </si>
  <si>
    <t>9788075059741</t>
  </si>
  <si>
    <t>9788026401599</t>
  </si>
  <si>
    <t>9781401948290</t>
  </si>
  <si>
    <t>Němý křik</t>
  </si>
  <si>
    <t>9788024253688</t>
  </si>
  <si>
    <t>9780593076446</t>
  </si>
  <si>
    <t>9788055170671</t>
  </si>
  <si>
    <t>9788089719068</t>
  </si>
  <si>
    <t>Hra na smrť</t>
  </si>
  <si>
    <t>9788055157023</t>
  </si>
  <si>
    <t>Aristokratka na koni</t>
  </si>
  <si>
    <t>9788072273843</t>
  </si>
  <si>
    <t>9788055155623</t>
  </si>
  <si>
    <t>9788075779113</t>
  </si>
  <si>
    <t>9781524763138</t>
  </si>
  <si>
    <t>9788055162881</t>
  </si>
  <si>
    <t>9788055177090</t>
  </si>
  <si>
    <t>9788055159133</t>
  </si>
  <si>
    <t>Na smrť</t>
  </si>
  <si>
    <t>9788055131702</t>
  </si>
  <si>
    <t>Smrtiaca biela</t>
  </si>
  <si>
    <t>9788056612217</t>
  </si>
  <si>
    <t>Ve službách zla</t>
  </si>
  <si>
    <t>9788025905289</t>
  </si>
  <si>
    <t>9788022022903</t>
  </si>
  <si>
    <t>Hodvábnik</t>
  </si>
  <si>
    <t>9788025903636</t>
  </si>
  <si>
    <t>9788055175812</t>
  </si>
  <si>
    <t>Volanie kukučky</t>
  </si>
  <si>
    <t>9788025902592</t>
  </si>
  <si>
    <t>Genome</t>
  </si>
  <si>
    <t>9781940026138</t>
  </si>
  <si>
    <t>9788021703568</t>
  </si>
  <si>
    <t>9788097153427</t>
  </si>
  <si>
    <t>Zelený kocúr</t>
  </si>
  <si>
    <t>9788055637303</t>
  </si>
  <si>
    <t>9788651703747</t>
  </si>
  <si>
    <t>9788074919404</t>
  </si>
  <si>
    <t>9788074770500</t>
  </si>
  <si>
    <t>Paní jezera</t>
  </si>
  <si>
    <t>9788085951196</t>
  </si>
  <si>
    <t>Sklenené telá</t>
  </si>
  <si>
    <t>9788055144450</t>
  </si>
  <si>
    <t>9788089594030</t>
  </si>
  <si>
    <t>Věž vlaštovky</t>
  </si>
  <si>
    <t>9788085951073</t>
  </si>
  <si>
    <t>9788651703761</t>
  </si>
  <si>
    <t>Křest ohněm</t>
  </si>
  <si>
    <t>9788085951110</t>
  </si>
  <si>
    <t>Pandemic</t>
  </si>
  <si>
    <t>9781940026121</t>
  </si>
  <si>
    <t>Čas opovržení</t>
  </si>
  <si>
    <t>9788085951080</t>
  </si>
  <si>
    <t>9780345487674</t>
  </si>
  <si>
    <t>Krev elfů</t>
  </si>
  <si>
    <t>9788085951059</t>
  </si>
  <si>
    <t>Atlantský svět</t>
  </si>
  <si>
    <t>9788025716526</t>
  </si>
  <si>
    <t>9788089873456</t>
  </si>
  <si>
    <t>Meč osudu</t>
  </si>
  <si>
    <t>9788085951660</t>
  </si>
  <si>
    <t>Atlantský mor</t>
  </si>
  <si>
    <t>9788025715505</t>
  </si>
  <si>
    <t>9788055152257</t>
  </si>
  <si>
    <t>Zaklínač</t>
  </si>
  <si>
    <t>9788056640074</t>
  </si>
  <si>
    <t>9781455806850</t>
  </si>
  <si>
    <t>Atlantský gen</t>
  </si>
  <si>
    <t>9788025714492</t>
  </si>
  <si>
    <t>9788651703723</t>
  </si>
  <si>
    <t>9788081111570</t>
  </si>
  <si>
    <t>9788055175225</t>
  </si>
  <si>
    <t>9788055171388</t>
  </si>
  <si>
    <t>Příběh ztracené holčičky</t>
  </si>
  <si>
    <t>9788072603763</t>
  </si>
  <si>
    <t>9788055173054</t>
  </si>
  <si>
    <t>Tí, čo odchádzajú - tí, čo zostávajú</t>
  </si>
  <si>
    <t>9788089737499</t>
  </si>
  <si>
    <t>Zmiznuté dievčatá</t>
  </si>
  <si>
    <t>9788055155074</t>
  </si>
  <si>
    <t>9788055170817</t>
  </si>
  <si>
    <t>9788055160221</t>
  </si>
  <si>
    <t>9781465479372</t>
  </si>
  <si>
    <t>9783641201074</t>
  </si>
  <si>
    <t>9783774274136</t>
  </si>
  <si>
    <t>Diabolské hry</t>
  </si>
  <si>
    <t>9788055151656</t>
  </si>
  <si>
    <t>Uvoľnení</t>
  </si>
  <si>
    <t>9788055148502</t>
  </si>
  <si>
    <t>808660649x</t>
  </si>
  <si>
    <t>9788055172101</t>
  </si>
  <si>
    <t>9788055161914</t>
  </si>
  <si>
    <t>Príbeh nového priezviska</t>
  </si>
  <si>
    <t>9788089737352</t>
  </si>
  <si>
    <t>9781524760984</t>
  </si>
  <si>
    <t>9781477872581</t>
  </si>
  <si>
    <t>9781477808702</t>
  </si>
  <si>
    <t>9781612183954</t>
  </si>
  <si>
    <t>9788024245881</t>
  </si>
  <si>
    <t>9788024257556</t>
  </si>
  <si>
    <t>9788055166445</t>
  </si>
  <si>
    <t>Geniální přítelkyně</t>
  </si>
  <si>
    <t>9788072603404</t>
  </si>
  <si>
    <t>9788055139654</t>
  </si>
  <si>
    <t>9781594746857</t>
  </si>
  <si>
    <t>9788055145273</t>
  </si>
  <si>
    <t>9781594745768</t>
  </si>
  <si>
    <t>9788055169910</t>
  </si>
  <si>
    <t>9788082010254</t>
  </si>
  <si>
    <t>9788090765207</t>
  </si>
  <si>
    <t>Čierna hra</t>
  </si>
  <si>
    <t>9788055144511</t>
  </si>
  <si>
    <t>9788089994137</t>
  </si>
  <si>
    <t>9788055140841</t>
  </si>
  <si>
    <t>9781455573653</t>
  </si>
  <si>
    <t>9788055172118</t>
  </si>
  <si>
    <t>9780008284237</t>
  </si>
  <si>
    <t>9781443455565</t>
  </si>
  <si>
    <t>9788055156453</t>
  </si>
  <si>
    <t>9788055172705</t>
  </si>
  <si>
    <t>9788089994007</t>
  </si>
  <si>
    <t>9780553448122</t>
  </si>
  <si>
    <t>The Tattooist of Auschwitz</t>
  </si>
  <si>
    <t>9780062870674</t>
  </si>
  <si>
    <t>9788055164014</t>
  </si>
  <si>
    <t>9788055157528</t>
  </si>
  <si>
    <t>9788020417473</t>
  </si>
  <si>
    <t>9788022208437</t>
  </si>
  <si>
    <t>9781782398240</t>
  </si>
  <si>
    <t>9781492654414</t>
  </si>
  <si>
    <t>9780380811960</t>
  </si>
  <si>
    <t>9781785034466</t>
  </si>
  <si>
    <t>9788055151885</t>
  </si>
  <si>
    <t>9783955204501</t>
  </si>
  <si>
    <t>9788055149172</t>
  </si>
  <si>
    <t>Harry Potter and the Cursed Child: Parts One and Two</t>
  </si>
  <si>
    <t>9780540027347</t>
  </si>
  <si>
    <t>9788055151465</t>
  </si>
  <si>
    <t>9788055149165</t>
  </si>
  <si>
    <t>9788081640872</t>
  </si>
  <si>
    <t>Ready Player One</t>
  </si>
  <si>
    <t>9780307887436</t>
  </si>
  <si>
    <t>9780374311254</t>
  </si>
  <si>
    <t>Metro 2035</t>
  </si>
  <si>
    <t>9781539930723</t>
  </si>
  <si>
    <t>9781476767321</t>
  </si>
  <si>
    <t>9788055135045</t>
  </si>
  <si>
    <t>9781443446761</t>
  </si>
  <si>
    <t>9788055153230</t>
  </si>
  <si>
    <t>9788055144429</t>
  </si>
  <si>
    <t>9780385536332</t>
  </si>
  <si>
    <t>Stalker</t>
  </si>
  <si>
    <t>9789100136741</t>
  </si>
  <si>
    <t>9781517679279</t>
  </si>
  <si>
    <t>9780385738774</t>
  </si>
  <si>
    <t>9780385738750</t>
  </si>
  <si>
    <t>I Heart Christmas</t>
  </si>
  <si>
    <t>9780007501502</t>
  </si>
  <si>
    <t>9781490904382</t>
  </si>
  <si>
    <t>9788028411954</t>
  </si>
  <si>
    <t>9788056640258</t>
  </si>
  <si>
    <t>9788096980055</t>
  </si>
  <si>
    <t>9788055611501</t>
  </si>
  <si>
    <t>9780399162435</t>
  </si>
  <si>
    <t>9781101599013</t>
  </si>
  <si>
    <t>9780399162411</t>
  </si>
  <si>
    <t>9788072436927</t>
  </si>
  <si>
    <t>9788055138404</t>
  </si>
  <si>
    <t>9781742373010</t>
  </si>
  <si>
    <t>9780099583684</t>
  </si>
  <si>
    <t>9780007557905</t>
  </si>
  <si>
    <t>9788055138022</t>
  </si>
  <si>
    <t>9781451699500</t>
  </si>
  <si>
    <t>9780007524273</t>
  </si>
  <si>
    <t>9781841153780</t>
  </si>
  <si>
    <t>9788022206914</t>
  </si>
  <si>
    <t>9780525952923</t>
  </si>
  <si>
    <t>9780525951650</t>
  </si>
  <si>
    <t>Kandidát</t>
  </si>
  <si>
    <t>9788097090609</t>
  </si>
  <si>
    <t>9780007288380</t>
  </si>
  <si>
    <t>9781937044961</t>
  </si>
  <si>
    <t>9780340954133</t>
  </si>
  <si>
    <t>9780670026517</t>
  </si>
  <si>
    <t>9788055135083</t>
  </si>
  <si>
    <t>9789100126438</t>
  </si>
  <si>
    <t>9780316228534</t>
  </si>
  <si>
    <t>9788055134284</t>
  </si>
  <si>
    <t>9788089452552</t>
  </si>
  <si>
    <t>9780345505002</t>
  </si>
  <si>
    <t>9780345504982</t>
  </si>
  <si>
    <t>9788081140266</t>
  </si>
  <si>
    <t>9780340954119</t>
  </si>
  <si>
    <t>9788089482689</t>
  </si>
  <si>
    <t>9780375507250</t>
  </si>
  <si>
    <t>9780340841129</t>
  </si>
  <si>
    <t>9780345803504</t>
  </si>
  <si>
    <t>9781612130583</t>
  </si>
  <si>
    <t>9780062071040</t>
  </si>
  <si>
    <t>Where She Went</t>
  </si>
  <si>
    <t>9780525422945</t>
  </si>
  <si>
    <t>If I Stay</t>
  </si>
  <si>
    <t>9780525421030</t>
  </si>
  <si>
    <t>9788089452460</t>
  </si>
  <si>
    <t>9780525951971</t>
  </si>
  <si>
    <t>9780718155223</t>
  </si>
  <si>
    <t>9780439023511</t>
  </si>
  <si>
    <t>9780439023498</t>
  </si>
  <si>
    <t>9788089452415</t>
  </si>
  <si>
    <t>9780007442911</t>
  </si>
  <si>
    <t>9781905654871</t>
  </si>
  <si>
    <t>9780312650247</t>
  </si>
  <si>
    <t>9788055610771</t>
  </si>
  <si>
    <t>9780525951858</t>
  </si>
  <si>
    <t>9781849162357</t>
  </si>
  <si>
    <t>9780449213940</t>
  </si>
  <si>
    <t>Inheritance</t>
  </si>
  <si>
    <t>9780375856112</t>
  </si>
  <si>
    <t>Metro 2034</t>
  </si>
  <si>
    <t>9783453533011</t>
  </si>
  <si>
    <t>9780061974557</t>
  </si>
  <si>
    <t>9781905654949</t>
  </si>
  <si>
    <t>9780718155216</t>
  </si>
  <si>
    <t>9780061969553</t>
  </si>
  <si>
    <t>9781595690609</t>
  </si>
  <si>
    <t>9780345504968</t>
  </si>
  <si>
    <t>9788055123585</t>
  </si>
  <si>
    <t>9780152023980</t>
  </si>
  <si>
    <t>9780525951254</t>
  </si>
  <si>
    <t>9788072530724</t>
  </si>
  <si>
    <t>Metro 2033</t>
  </si>
  <si>
    <t>9781481845700</t>
  </si>
  <si>
    <t>9780718155186</t>
  </si>
  <si>
    <t>9781905654581</t>
  </si>
  <si>
    <t>9780312379827</t>
  </si>
  <si>
    <t>9780312379834</t>
  </si>
  <si>
    <t>9780312360306</t>
  </si>
  <si>
    <t>9780312360283</t>
  </si>
  <si>
    <t>9780312360269</t>
  </si>
  <si>
    <t>9780803734616</t>
  </si>
  <si>
    <t>9780152063962</t>
  </si>
  <si>
    <t>9780743295352</t>
  </si>
  <si>
    <t>9780385504225</t>
  </si>
  <si>
    <t>Eldest</t>
  </si>
  <si>
    <t>9780375840401</t>
  </si>
  <si>
    <t>9781435111745</t>
  </si>
  <si>
    <t>9780316067928</t>
  </si>
  <si>
    <t>9780316160193</t>
  </si>
  <si>
    <t>9788096980062</t>
  </si>
  <si>
    <t>9788022208246</t>
  </si>
  <si>
    <t>9788089199877</t>
  </si>
  <si>
    <t>9788096980031</t>
  </si>
  <si>
    <t>9788055172644</t>
  </si>
  <si>
    <t>Brisingr</t>
  </si>
  <si>
    <t>9780375826726</t>
  </si>
  <si>
    <t>9780062315007</t>
  </si>
  <si>
    <t>9788080854522</t>
  </si>
  <si>
    <t>9788072465019</t>
  </si>
  <si>
    <t>9788055196787</t>
  </si>
  <si>
    <t>9788080853563</t>
  </si>
  <si>
    <t>9780142437209</t>
  </si>
  <si>
    <t>9788080850968</t>
  </si>
  <si>
    <t>9780743245531</t>
  </si>
  <si>
    <t>9788080850746</t>
  </si>
  <si>
    <t>9788055194721</t>
  </si>
  <si>
    <t>9780743456357</t>
  </si>
  <si>
    <t>9788071459255</t>
  </si>
  <si>
    <t>9780439686525</t>
  </si>
  <si>
    <t>9788080462338</t>
  </si>
  <si>
    <t>9788055103617</t>
  </si>
  <si>
    <t>9788055198781</t>
  </si>
  <si>
    <t>9780671027384</t>
  </si>
  <si>
    <t>9788055143156</t>
  </si>
  <si>
    <t>Inferno</t>
  </si>
  <si>
    <t>9780385537858</t>
  </si>
  <si>
    <t>9788055135274</t>
  </si>
  <si>
    <t>9788055193151</t>
  </si>
  <si>
    <t>9780385737944</t>
  </si>
  <si>
    <t>9780316075800</t>
  </si>
  <si>
    <t>9781612130293</t>
  </si>
  <si>
    <t>Eragon</t>
  </si>
  <si>
    <t>9780375826696</t>
  </si>
  <si>
    <t>9780439139595</t>
  </si>
  <si>
    <t>9780439655484</t>
  </si>
  <si>
    <t>9788055196732</t>
  </si>
  <si>
    <t>9781416524793</t>
  </si>
  <si>
    <t>9780316015844</t>
  </si>
  <si>
    <t>9780062024039</t>
  </si>
  <si>
    <t>9780439023481</t>
  </si>
  <si>
    <t>9780439554930</t>
  </si>
  <si>
    <t>Length</t>
  </si>
  <si>
    <t>Length/h</t>
  </si>
  <si>
    <t>Duration</t>
  </si>
  <si>
    <t>8:52</t>
  </si>
  <si>
    <t>25:07</t>
  </si>
  <si>
    <t>22:57</t>
  </si>
  <si>
    <t>15:54</t>
  </si>
  <si>
    <t>14:05</t>
  </si>
  <si>
    <t>13:19</t>
  </si>
  <si>
    <t>12:51</t>
  </si>
  <si>
    <t>8:19</t>
  </si>
  <si>
    <t>13:10</t>
  </si>
  <si>
    <t>15:05</t>
  </si>
  <si>
    <t>12:08</t>
  </si>
  <si>
    <t>14:19</t>
  </si>
  <si>
    <t>12:10</t>
  </si>
  <si>
    <t>11:34</t>
  </si>
  <si>
    <t>16:38</t>
  </si>
  <si>
    <t>11:58</t>
  </si>
  <si>
    <t>10:43</t>
  </si>
  <si>
    <t>12:30</t>
  </si>
  <si>
    <t>15:56</t>
  </si>
  <si>
    <t>15:40</t>
  </si>
  <si>
    <t>15:52</t>
  </si>
  <si>
    <t>14:16</t>
  </si>
  <si>
    <t>22:59</t>
  </si>
  <si>
    <t>11:19</t>
  </si>
  <si>
    <t>12:04</t>
  </si>
  <si>
    <t>8:00</t>
  </si>
  <si>
    <t>14:10</t>
  </si>
  <si>
    <t>29:45</t>
  </si>
  <si>
    <t>10:07</t>
  </si>
  <si>
    <t>20:02</t>
  </si>
  <si>
    <t>14:49</t>
  </si>
  <si>
    <t>7:21</t>
  </si>
  <si>
    <t>10:26</t>
  </si>
  <si>
    <t>11:05</t>
  </si>
  <si>
    <t>10:35</t>
  </si>
  <si>
    <t>11:46</t>
  </si>
  <si>
    <t>11:30</t>
  </si>
  <si>
    <t>10:13</t>
  </si>
  <si>
    <t>14:31</t>
  </si>
  <si>
    <t>13:58</t>
  </si>
  <si>
    <t>12:29</t>
  </si>
  <si>
    <t>10:51</t>
  </si>
  <si>
    <t>26:20</t>
  </si>
  <si>
    <t>22:47</t>
  </si>
  <si>
    <t>22:12</t>
  </si>
  <si>
    <t>21:30</t>
  </si>
  <si>
    <t>19:09</t>
  </si>
  <si>
    <t>24:38</t>
  </si>
  <si>
    <t>13:11</t>
  </si>
  <si>
    <t>10:55</t>
  </si>
  <si>
    <t>14:18</t>
  </si>
  <si>
    <t>1:21</t>
  </si>
  <si>
    <t>11:44</t>
  </si>
  <si>
    <t>24:50</t>
  </si>
  <si>
    <t>10:47</t>
  </si>
  <si>
    <t>11:04</t>
  </si>
  <si>
    <t>20:20</t>
  </si>
  <si>
    <t>24:22</t>
  </si>
  <si>
    <t>27:43</t>
  </si>
  <si>
    <t>12:27</t>
  </si>
  <si>
    <t>13:04</t>
  </si>
  <si>
    <t>9:02</t>
  </si>
  <si>
    <t>6:34</t>
  </si>
  <si>
    <t>5:58</t>
  </si>
  <si>
    <t>5:49</t>
  </si>
  <si>
    <t>46:33</t>
  </si>
  <si>
    <t>7:03</t>
  </si>
  <si>
    <t>9:43</t>
  </si>
  <si>
    <t>14:33</t>
  </si>
  <si>
    <t>9:27</t>
  </si>
  <si>
    <t>9:11</t>
  </si>
  <si>
    <t>6:55</t>
  </si>
  <si>
    <t>13:27</t>
  </si>
  <si>
    <t>13:25</t>
  </si>
  <si>
    <t>10:45</t>
  </si>
  <si>
    <t>10:03</t>
  </si>
  <si>
    <t>10:54</t>
  </si>
  <si>
    <t>11:29</t>
  </si>
  <si>
    <t>11:08</t>
  </si>
  <si>
    <t>7:44</t>
  </si>
  <si>
    <t>11:10</t>
  </si>
  <si>
    <t>10:23</t>
  </si>
  <si>
    <t>11:14</t>
  </si>
  <si>
    <t>6:28</t>
  </si>
  <si>
    <t>16:57</t>
  </si>
  <si>
    <t>10:41</t>
  </si>
  <si>
    <t>8:05</t>
  </si>
  <si>
    <t>11:42</t>
  </si>
  <si>
    <t>10:15</t>
  </si>
  <si>
    <t>10:44</t>
  </si>
  <si>
    <t>6:52</t>
  </si>
  <si>
    <t>12:35</t>
  </si>
  <si>
    <t>41:04</t>
  </si>
  <si>
    <t>11:00</t>
  </si>
  <si>
    <t>11:11</t>
  </si>
  <si>
    <t>11:28</t>
  </si>
  <si>
    <t>25:55</t>
  </si>
  <si>
    <t>13:49</t>
  </si>
  <si>
    <t>14:47</t>
  </si>
  <si>
    <t>10:46</t>
  </si>
  <si>
    <t>6:23</t>
  </si>
  <si>
    <t>13:34</t>
  </si>
  <si>
    <t>1:26</t>
  </si>
  <si>
    <t>12:48</t>
  </si>
  <si>
    <t>16:06</t>
  </si>
  <si>
    <t>11:26</t>
  </si>
  <si>
    <t>13:42</t>
  </si>
  <si>
    <t>5:14</t>
  </si>
  <si>
    <t>10:18</t>
  </si>
  <si>
    <t>19:44</t>
  </si>
  <si>
    <t>15:02</t>
  </si>
  <si>
    <t>11:56</t>
  </si>
  <si>
    <t>12:19</t>
  </si>
  <si>
    <t>20:43</t>
  </si>
  <si>
    <t>12:38</t>
  </si>
  <si>
    <t>26:32</t>
  </si>
  <si>
    <t>22:03</t>
  </si>
  <si>
    <t>14:09</t>
  </si>
  <si>
    <t>11:53</t>
  </si>
  <si>
    <t>16:30</t>
  </si>
  <si>
    <t>7:18</t>
  </si>
  <si>
    <t>8:44</t>
  </si>
  <si>
    <t>14:50</t>
  </si>
  <si>
    <t>11:55</t>
  </si>
  <si>
    <t>9:17</t>
  </si>
  <si>
    <t>3:31</t>
  </si>
  <si>
    <t>8:02</t>
  </si>
  <si>
    <t>9:54</t>
  </si>
  <si>
    <t>16:31</t>
  </si>
  <si>
    <t>12:54</t>
  </si>
  <si>
    <t>8:36</t>
  </si>
  <si>
    <t>8:15</t>
  </si>
  <si>
    <t>18:18</t>
  </si>
  <si>
    <t>11:01</t>
  </si>
  <si>
    <t>10:08</t>
  </si>
  <si>
    <t>9:09</t>
  </si>
  <si>
    <t>13:12</t>
  </si>
  <si>
    <t>11:31</t>
  </si>
  <si>
    <t>17:36</t>
  </si>
  <si>
    <t>20:41</t>
  </si>
  <si>
    <t>18:03</t>
  </si>
  <si>
    <t>8:43</t>
  </si>
  <si>
    <t>11:15</t>
  </si>
  <si>
    <t>17:29</t>
  </si>
  <si>
    <t>15:01</t>
  </si>
  <si>
    <t>8:47</t>
  </si>
  <si>
    <t>10:09</t>
  </si>
  <si>
    <t>9:10</t>
  </si>
  <si>
    <t>8:45</t>
  </si>
  <si>
    <t>12:11</t>
  </si>
  <si>
    <t>11:18</t>
  </si>
  <si>
    <t>18:27</t>
  </si>
  <si>
    <t>13:15</t>
  </si>
  <si>
    <t>9:48</t>
  </si>
  <si>
    <t>10:31</t>
  </si>
  <si>
    <t>11:32</t>
  </si>
  <si>
    <t>13:51</t>
  </si>
  <si>
    <t>8:53</t>
  </si>
  <si>
    <t>10:59</t>
  </si>
  <si>
    <t>8:57</t>
  </si>
  <si>
    <t>9:38</t>
  </si>
  <si>
    <t>12:07</t>
  </si>
  <si>
    <t>16:08</t>
  </si>
  <si>
    <t>11:17</t>
  </si>
  <si>
    <t>17:20</t>
  </si>
  <si>
    <t>14:07</t>
  </si>
  <si>
    <t>11:57</t>
  </si>
  <si>
    <t>23:10</t>
  </si>
  <si>
    <t>18:16</t>
  </si>
  <si>
    <t>10:02</t>
  </si>
  <si>
    <t>12:43</t>
  </si>
  <si>
    <t>14:36</t>
  </si>
  <si>
    <t>10:52</t>
  </si>
  <si>
    <t>13:43</t>
  </si>
  <si>
    <t>9:21</t>
  </si>
  <si>
    <t>10:06</t>
  </si>
  <si>
    <t>11:33</t>
  </si>
  <si>
    <t>18:28</t>
  </si>
  <si>
    <t>22:00</t>
  </si>
  <si>
    <t>9:19</t>
  </si>
  <si>
    <t>19:42</t>
  </si>
  <si>
    <t>19:31</t>
  </si>
  <si>
    <t>14:02</t>
  </si>
  <si>
    <t>14:45</t>
  </si>
  <si>
    <t>14:01</t>
  </si>
  <si>
    <t>17:54</t>
  </si>
  <si>
    <t>15:31</t>
  </si>
  <si>
    <t>4:56</t>
  </si>
  <si>
    <t>14:41</t>
  </si>
  <si>
    <t>10:53</t>
  </si>
  <si>
    <t>10:50</t>
  </si>
  <si>
    <t>30:07</t>
  </si>
  <si>
    <t>5:51</t>
  </si>
  <si>
    <t>27:16</t>
  </si>
  <si>
    <t>29:02</t>
  </si>
  <si>
    <t>7:29</t>
  </si>
  <si>
    <t>18:19</t>
  </si>
  <si>
    <t>16:00</t>
  </si>
  <si>
    <t>6:31</t>
  </si>
  <si>
    <t>5:31</t>
  </si>
  <si>
    <t>12:46</t>
  </si>
  <si>
    <t>2:49</t>
  </si>
  <si>
    <t>10:19</t>
  </si>
  <si>
    <t>15:10</t>
  </si>
  <si>
    <t>14:58</t>
  </si>
  <si>
    <t>3:39</t>
  </si>
  <si>
    <t>19:18</t>
  </si>
  <si>
    <t>19:03</t>
  </si>
  <si>
    <t>18:17</t>
  </si>
  <si>
    <t>15:00</t>
  </si>
  <si>
    <t>3:49</t>
  </si>
  <si>
    <t>8:30</t>
  </si>
  <si>
    <t>19:01</t>
  </si>
  <si>
    <t>32:00</t>
  </si>
  <si>
    <t>23:02</t>
  </si>
  <si>
    <t>19:12</t>
  </si>
  <si>
    <t>17:40</t>
  </si>
  <si>
    <t>21:56</t>
  </si>
  <si>
    <t>12:01</t>
  </si>
  <si>
    <t>9:20</t>
  </si>
  <si>
    <t>12:39</t>
  </si>
  <si>
    <t>21:08</t>
  </si>
  <si>
    <t>17:19</t>
  </si>
  <si>
    <t>13:09</t>
  </si>
  <si>
    <t>12:41</t>
  </si>
  <si>
    <t>11:48</t>
  </si>
  <si>
    <t>16:46</t>
  </si>
  <si>
    <t>13:16</t>
  </si>
  <si>
    <t>Genre</t>
  </si>
  <si>
    <t>FictionType</t>
  </si>
  <si>
    <t>AuthorCountry</t>
  </si>
  <si>
    <t>OriginalLanguage</t>
  </si>
  <si>
    <t>FirstPublicationYear</t>
  </si>
  <si>
    <t>AuthorGender</t>
  </si>
  <si>
    <t>Science Fiction</t>
  </si>
  <si>
    <t>Fiction</t>
  </si>
  <si>
    <t>United Kingdom</t>
  </si>
  <si>
    <t>Male</t>
  </si>
  <si>
    <t>Mystery / Crime</t>
  </si>
  <si>
    <t>Sweden</t>
  </si>
  <si>
    <t>Swedish</t>
  </si>
  <si>
    <t>Fantasy</t>
  </si>
  <si>
    <t>United States</t>
  </si>
  <si>
    <t>Children's</t>
  </si>
  <si>
    <t>Germany</t>
  </si>
  <si>
    <t>German</t>
  </si>
  <si>
    <t>Female</t>
  </si>
  <si>
    <t>Literary Fiction</t>
  </si>
  <si>
    <t>France</t>
  </si>
  <si>
    <t>French</t>
  </si>
  <si>
    <t>Thriller</t>
  </si>
  <si>
    <t>Personal Development</t>
  </si>
  <si>
    <t>Non-fiction</t>
  </si>
  <si>
    <t>Horror</t>
  </si>
  <si>
    <t>Slovakia</t>
  </si>
  <si>
    <t>Contemporary Fiction</t>
  </si>
  <si>
    <t>Biography / Memoir</t>
  </si>
  <si>
    <t>Young Adult</t>
  </si>
  <si>
    <t>Canada</t>
  </si>
  <si>
    <t>Historical Fiction</t>
  </si>
  <si>
    <t>Business / Economics</t>
  </si>
  <si>
    <t>Psychology</t>
  </si>
  <si>
    <t>Ireland</t>
  </si>
  <si>
    <t>Norway</t>
  </si>
  <si>
    <t>Norwegian</t>
  </si>
  <si>
    <t>Austria</t>
  </si>
  <si>
    <t>Mixed</t>
  </si>
  <si>
    <t>Other</t>
  </si>
  <si>
    <t>Unknown</t>
  </si>
  <si>
    <t>Czech Republic</t>
  </si>
  <si>
    <t>Romance</t>
  </si>
  <si>
    <t>Russia</t>
  </si>
  <si>
    <t>Russian</t>
  </si>
  <si>
    <t>Religion / Spirituality</t>
  </si>
  <si>
    <t>Brazil</t>
  </si>
  <si>
    <t>Israel</t>
  </si>
  <si>
    <t>Science</t>
  </si>
  <si>
    <t>Australia</t>
  </si>
  <si>
    <t>History</t>
  </si>
  <si>
    <t>Comics / Graphic Novel</t>
  </si>
  <si>
    <t>Italy</t>
  </si>
  <si>
    <t>Italian</t>
  </si>
  <si>
    <t>New Zealand</t>
  </si>
  <si>
    <t>Iceland</t>
  </si>
  <si>
    <t>Icelandic</t>
  </si>
  <si>
    <t>China</t>
  </si>
  <si>
    <t>Chinese</t>
  </si>
  <si>
    <t>Japan</t>
  </si>
  <si>
    <t>Japanese</t>
  </si>
  <si>
    <t>Politics</t>
  </si>
  <si>
    <t>Philosophy</t>
  </si>
  <si>
    <t>Colombia</t>
  </si>
  <si>
    <t>Spanish</t>
  </si>
  <si>
    <t>Essays</t>
  </si>
  <si>
    <t>Belarus</t>
  </si>
  <si>
    <t>Netherlands</t>
  </si>
  <si>
    <t>Switzerland</t>
  </si>
  <si>
    <t>Spain</t>
  </si>
  <si>
    <t>Poland</t>
  </si>
  <si>
    <t>Polish</t>
  </si>
  <si>
    <t>Portuguese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</si>
</sst>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0" fontId="0" fillId="0" borderId="0" xfId="0" applyNumberFormat="1"/>
    <xf numFmtId="46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53">
    <dxf>
      <numFmt numFmtId="0" formatCode="General"/>
    </dxf>
    <dxf>
      <numFmt numFmtId="19" formatCode="d/m/yyyy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FD46CE95-16A6-49D9-8B1A-1853D44F22B9}" autoFormatId="16" applyNumberFormats="0" applyBorderFormats="0" applyFontFormats="0" applyPatternFormats="0" applyAlignmentFormats="0" applyWidthHeightFormats="0">
  <queryTableRefresh nextId="26">
    <queryTableFields count="25">
      <queryTableField id="1" name="P.č." tableColumnId="1"/>
      <queryTableField id="2" name="Book Id" tableColumnId="2"/>
      <queryTableField id="3" name="Title" tableColumnId="3"/>
      <queryTableField id="4" name="Series" tableColumnId="4"/>
      <queryTableField id="5" name="Author" tableColumnId="5"/>
      <queryTableField id="6" name="Author l-f" tableColumnId="6"/>
      <queryTableField id="7" name="Narrator" tableColumnId="7"/>
      <queryTableField id="8" name="ISBN13" tableColumnId="8"/>
      <queryTableField id="9" name="My Rating" tableColumnId="9"/>
      <queryTableField id="10" name="Publisher" tableColumnId="10"/>
      <queryTableField id="11" name="Binding" tableColumnId="11"/>
      <queryTableField id="12" name="Number of Pages" tableColumnId="12"/>
      <queryTableField id="13" name="Length" tableColumnId="13"/>
      <queryTableField id="14" name="Length/h" tableColumnId="14"/>
      <queryTableField id="15" name="Duration" tableColumnId="15"/>
      <queryTableField id="16" name="Language" tableColumnId="16"/>
      <queryTableField id="17" name="Year Published" tableColumnId="17"/>
      <queryTableField id="18" name="FirstPublicationYear" tableColumnId="18"/>
      <queryTableField id="19" name="Date Read" tableColumnId="19"/>
      <queryTableField id="20" name="Date Added" tableColumnId="20"/>
      <queryTableField id="21" name="Genre" tableColumnId="21"/>
      <queryTableField id="22" name="FictionType" tableColumnId="22"/>
      <queryTableField id="23" name="AuthorCountry" tableColumnId="23"/>
      <queryTableField id="24" name="OriginalLanguage" tableColumnId="24"/>
      <queryTableField id="25" name="AuthorGender" tableColumnId="2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3B02D544-82D2-4BB8-A94B-96B52C88DD28}" autoFormatId="16" applyNumberFormats="0" applyBorderFormats="0" applyFontFormats="0" applyPatternFormats="0" applyAlignmentFormats="0" applyWidthHeightFormats="0">
  <queryTableRefresh nextId="11">
    <queryTableFields count="10">
      <queryTableField id="1" name="P.č." tableColumnId="1"/>
      <queryTableField id="2" name="Title" tableColumnId="2"/>
      <queryTableField id="3" name="Author" tableColumnId="3"/>
      <queryTableField id="4" name="ISBN13" tableColumnId="4"/>
      <queryTableField id="5" name="Genre" tableColumnId="5"/>
      <queryTableField id="6" name="FictionType" tableColumnId="6"/>
      <queryTableField id="7" name="AuthorCountry" tableColumnId="7"/>
      <queryTableField id="8" name="OriginalLanguage" tableColumnId="8"/>
      <queryTableField id="9" name="FirstPublicationYear" tableColumnId="9"/>
      <queryTableField id="10" name="AuthorGender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B294C7C2-F136-43A8-9D52-DCE04E106C23}" autoFormatId="16" applyNumberFormats="0" applyBorderFormats="0" applyFontFormats="0" applyPatternFormats="0" applyAlignmentFormats="0" applyWidthHeightFormats="0">
  <queryTableRefresh nextId="26">
    <queryTableFields count="21">
      <queryTableField id="1" name="P.č." tableColumnId="1"/>
      <queryTableField id="2" name="Book Id" tableColumnId="2"/>
      <queryTableField id="3" name="Title" tableColumnId="3"/>
      <queryTableField id="4" name="Series" tableColumnId="4"/>
      <queryTableField id="5" name="Author" tableColumnId="5"/>
      <queryTableField id="6" name="Author l-f" tableColumnId="6"/>
      <queryTableField id="7" name="Narrator" tableColumnId="7"/>
      <queryTableField id="8" name="ISBN13" tableColumnId="8"/>
      <queryTableField id="9" name="My Rating" tableColumnId="9"/>
      <queryTableField id="10" name="Publisher" tableColumnId="10"/>
      <queryTableField id="11" name="Binding" tableColumnId="11"/>
      <queryTableField id="12" name="Number of Pages" tableColumnId="12"/>
      <queryTableField id="20" name="Length" tableColumnId="20"/>
      <queryTableField id="21" name="Length/h" tableColumnId="21"/>
      <queryTableField id="22" name="Duration" tableColumnId="22"/>
      <queryTableField id="14" name="Language" tableColumnId="14"/>
      <queryTableField id="15" name="Year Published" tableColumnId="15"/>
      <queryTableField id="16" name="Original Publication Year" tableColumnId="16"/>
      <queryTableField id="17" name="Date Read" tableColumnId="17"/>
      <queryTableField id="18" name="Date Added" tableColumnId="18"/>
      <queryTableField id="19" name="Exclusive Shelf" tableColumnId="1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79C2629C-526E-41FB-84C8-E56B5CBEBDE4}" autoFormatId="16" applyNumberFormats="0" applyBorderFormats="0" applyFontFormats="0" applyPatternFormats="0" applyAlignmentFormats="0" applyWidthHeightFormats="0">
  <queryTableRefresh nextId="27" unboundColumnsLeft="1">
    <queryTableFields count="19">
      <queryTableField id="26" dataBound="0" tableColumnId="21"/>
      <queryTableField id="1" name="Book Id" tableColumnId="1"/>
      <queryTableField id="2" name="Title" tableColumnId="2"/>
      <queryTableField id="3" name="Series" tableColumnId="3"/>
      <queryTableField id="4" name="Author" tableColumnId="4"/>
      <queryTableField id="5" name="Author l-f" tableColumnId="5"/>
      <queryTableField id="25" dataBound="0" tableColumnId="20"/>
      <queryTableField id="14" name="ISBN13" tableColumnId="14"/>
      <queryTableField id="7" name="My Rating" tableColumnId="7"/>
      <queryTableField id="15" name="Publisher" tableColumnId="15"/>
      <queryTableField id="8" name="Binding" tableColumnId="8"/>
      <queryTableField id="9" name="Number of Pages" tableColumnId="9"/>
      <queryTableField id="23" dataBound="0" tableColumnId="18"/>
      <queryTableField id="24" dataBound="0" tableColumnId="19"/>
      <queryTableField id="16" name="Year Published" tableColumnId="16"/>
      <queryTableField id="17" name="Original Publication Year" tableColumnId="17"/>
      <queryTableField id="10" name="Date Read" tableColumnId="10"/>
      <queryTableField id="11" name="Date Added" tableColumnId="11"/>
      <queryTableField id="12" name="Exclusive Shelf" tableColumnId="12"/>
    </queryTableFields>
    <queryTableDeletedFields count="2">
      <deletedField name="ISBN"/>
      <deletedField name="Additional Author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37C12C5-C98F-4BFC-940F-555783BAE31C}" name="FaktBooks" displayName="FaktBooks" ref="A1:Y759" tableType="queryTable" totalsRowShown="0">
  <autoFilter ref="A1:Y759" xr:uid="{837C12C5-C98F-4BFC-940F-555783BAE31C}"/>
  <tableColumns count="25">
    <tableColumn id="1" xr3:uid="{D43DBD77-D5C1-4C76-87BF-183333C5CDE7}" uniqueName="1" name="P.č." queryTableFieldId="1"/>
    <tableColumn id="2" xr3:uid="{218F87CB-46E6-4CD9-83C5-6FC6E3DC51E3}" uniqueName="2" name="Book Id" queryTableFieldId="2"/>
    <tableColumn id="3" xr3:uid="{892038E8-EE1D-461E-9DC7-893F5A53928D}" uniqueName="3" name="Title" queryTableFieldId="3" dataDxfId="52"/>
    <tableColumn id="4" xr3:uid="{3DB85332-B31E-446F-AA3E-55C6F7E783A7}" uniqueName="4" name="Series" queryTableFieldId="4" dataDxfId="51"/>
    <tableColumn id="5" xr3:uid="{8BD125AD-E6F5-476B-8DB0-C06C17BB8087}" uniqueName="5" name="Author" queryTableFieldId="5" dataDxfId="50"/>
    <tableColumn id="6" xr3:uid="{FAF47084-8939-4D8F-B80C-B1686C587387}" uniqueName="6" name="Author l-f" queryTableFieldId="6" dataDxfId="49"/>
    <tableColumn id="7" xr3:uid="{AA7C3B2B-9644-4725-AC6B-8ED7F66DFE06}" uniqueName="7" name="Narrator" queryTableFieldId="7" dataDxfId="48"/>
    <tableColumn id="8" xr3:uid="{DC8A0728-E297-4FF4-919B-58A46DD88D11}" uniqueName="8" name="ISBN13" queryTableFieldId="8" dataDxfId="47"/>
    <tableColumn id="9" xr3:uid="{E3BB8E2C-E00E-4970-BB3D-23B5B669C775}" uniqueName="9" name="My Rating" queryTableFieldId="9" dataDxfId="46"/>
    <tableColumn id="10" xr3:uid="{0D91A4DF-D098-40AB-BF82-5EF60DF7EC96}" uniqueName="10" name="Publisher" queryTableFieldId="10" dataDxfId="45"/>
    <tableColumn id="11" xr3:uid="{47C9F8FB-A452-4E77-86C6-D437093EF23F}" uniqueName="11" name="Binding" queryTableFieldId="11" dataDxfId="44"/>
    <tableColumn id="12" xr3:uid="{F37B5614-EB21-4FE9-9DE9-258BDACE15FE}" uniqueName="12" name="Number of Pages" queryTableFieldId="12"/>
    <tableColumn id="13" xr3:uid="{A80EBCD7-0F3E-45A8-A94F-6FEF02893DA7}" uniqueName="13" name="Length" queryTableFieldId="13"/>
    <tableColumn id="14" xr3:uid="{BACDFC65-B983-405A-991D-3D951BAD5DCF}" uniqueName="14" name="Length/h" queryTableFieldId="14"/>
    <tableColumn id="15" xr3:uid="{53FE6B8C-A1D0-42DE-A3D1-0DA79F25E127}" uniqueName="15" name="Duration" queryTableFieldId="15"/>
    <tableColumn id="16" xr3:uid="{46748C20-5867-4E71-A347-57FB2244521F}" uniqueName="16" name="Language" queryTableFieldId="16" dataDxfId="43"/>
    <tableColumn id="17" xr3:uid="{9D24BCB7-C6AF-4F7B-873F-E6CC9823D27D}" uniqueName="17" name="Year Published" queryTableFieldId="17"/>
    <tableColumn id="18" xr3:uid="{E1D8E5FB-4C7A-43C9-8209-D79827E0DAE6}" uniqueName="18" name="FirstPublicationYear" queryTableFieldId="18"/>
    <tableColumn id="19" xr3:uid="{A2670F0F-0436-4805-B562-729D9694972D}" uniqueName="19" name="Date Read" queryTableFieldId="19" dataDxfId="42"/>
    <tableColumn id="20" xr3:uid="{FEC68FCF-0DE4-4EE8-9C21-964C542F4743}" uniqueName="20" name="Date Added" queryTableFieldId="20" dataDxfId="41"/>
    <tableColumn id="21" xr3:uid="{28477B22-06AE-48EF-B6CB-6B1EE99E2C9D}" uniqueName="21" name="Genre" queryTableFieldId="21" dataDxfId="40"/>
    <tableColumn id="22" xr3:uid="{D13AFB31-65CE-454B-9247-D8B5A248B1A1}" uniqueName="22" name="FictionType" queryTableFieldId="22" dataDxfId="39"/>
    <tableColumn id="23" xr3:uid="{D5AE3A88-8D86-4E12-B3B6-4876F6DA4A70}" uniqueName="23" name="AuthorCountry" queryTableFieldId="23" dataDxfId="38"/>
    <tableColumn id="24" xr3:uid="{9FCDC3B1-82C6-40C3-BDE6-00534E34668E}" uniqueName="24" name="OriginalLanguage" queryTableFieldId="24" dataDxfId="37"/>
    <tableColumn id="25" xr3:uid="{918F3A2A-B4E4-4D3F-A7DC-98F821C18488}" uniqueName="25" name="AuthorGender" queryTableFieldId="25" dataDxfId="3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5FCAB8A-4366-4354-8827-28D0186F30C5}" name="DimBookMetadata" displayName="DimBookMetadata" ref="A1:J759" tableType="queryTable" totalsRowShown="0">
  <autoFilter ref="A1:J759" xr:uid="{65FCAB8A-4366-4354-8827-28D0186F30C5}"/>
  <tableColumns count="10">
    <tableColumn id="1" xr3:uid="{8D38579E-BC55-4494-B55A-2C87551CC826}" uniqueName="1" name="P.č." queryTableFieldId="1"/>
    <tableColumn id="2" xr3:uid="{3C94E8F6-1368-478A-832C-375DD4D68BBB}" uniqueName="2" name="Title" queryTableFieldId="2" dataDxfId="35"/>
    <tableColumn id="3" xr3:uid="{8403DF0C-D176-4461-B3F4-147A6E2959CE}" uniqueName="3" name="Author" queryTableFieldId="3" dataDxfId="34"/>
    <tableColumn id="4" xr3:uid="{4D67F6EB-1D74-46E3-949D-23A8D1136B0E}" uniqueName="4" name="ISBN13" queryTableFieldId="4" dataDxfId="33"/>
    <tableColumn id="5" xr3:uid="{3C7FFE7A-E7B7-4523-9589-851E2EF791EB}" uniqueName="5" name="Genre" queryTableFieldId="5" dataDxfId="32"/>
    <tableColumn id="6" xr3:uid="{DB4FDF30-A162-4083-B961-E9C21BA4B2D8}" uniqueName="6" name="FictionType" queryTableFieldId="6" dataDxfId="31"/>
    <tableColumn id="7" xr3:uid="{5CB145F9-A790-4EF2-B462-CA5F6EA8980E}" uniqueName="7" name="AuthorCountry" queryTableFieldId="7" dataDxfId="30"/>
    <tableColumn id="8" xr3:uid="{5172C062-146A-42B7-88CF-068771F02323}" uniqueName="8" name="OriginalLanguage" queryTableFieldId="8" dataDxfId="29"/>
    <tableColumn id="9" xr3:uid="{A02EB2FE-1774-4993-98CD-498984879487}" uniqueName="9" name="FirstPublicationYear" queryTableFieldId="9"/>
    <tableColumn id="10" xr3:uid="{7721A2F4-03F2-497B-8B50-ABAEFD5330C4}" uniqueName="10" name="AuthorGender" queryTableFieldId="10" dataDxfId="2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BBD1E8B-33AD-4F75-955B-E1D42B370538}" name="Goodreads_genres2" displayName="Goodreads_genres2" ref="A1:D759" totalsRowShown="0">
  <autoFilter ref="A1:D759" xr:uid="{0BBD1E8B-33AD-4F75-955B-E1D42B370538}"/>
  <tableColumns count="4">
    <tableColumn id="1" xr3:uid="{5291BDC1-744B-4675-9878-4433AC5FA9F2}" name="P.č."/>
    <tableColumn id="2" xr3:uid="{5C139DD9-EB97-48E6-A6F3-0748F47D8A47}" name="Title" dataDxfId="27"/>
    <tableColumn id="3" xr3:uid="{0CEDBEA4-B2CA-4822-A1DE-2869621DDBE2}" name="Author" dataDxfId="26"/>
    <tableColumn id="4" xr3:uid="{9E26E817-9091-49E2-ACF8-617C6E078557}" name="ISBN13" dataDxfId="2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1CFCC0-EC60-41F9-9B22-91BD35DD0485}" name="Goodreads_analysis" displayName="Goodreads_analysis" ref="A1:U759" tableType="queryTable" totalsRowShown="0" headerRowDxfId="24">
  <autoFilter ref="A1:U759" xr:uid="{EF1CFCC0-EC60-41F9-9B22-91BD35DD0485}"/>
  <tableColumns count="21">
    <tableColumn id="1" xr3:uid="{184B0491-DC54-4BBA-914D-3370B53E6C49}" uniqueName="1" name="P.č." queryTableFieldId="1"/>
    <tableColumn id="2" xr3:uid="{6306C302-2DB4-4B27-9B28-71735B9DDDE6}" uniqueName="2" name="Book Id" queryTableFieldId="2"/>
    <tableColumn id="3" xr3:uid="{9CA981FE-46CF-4227-B16F-F066162E231D}" uniqueName="3" name="Title" queryTableFieldId="3" dataDxfId="23"/>
    <tableColumn id="4" xr3:uid="{8F6A5D1C-EE6D-412E-9AD9-1EF1C6BA06F3}" uniqueName="4" name="Series" queryTableFieldId="4" dataDxfId="22"/>
    <tableColumn id="5" xr3:uid="{7CADF61E-E8E1-44BB-BBAC-F2DD4DC48B17}" uniqueName="5" name="Author" queryTableFieldId="5" dataDxfId="21"/>
    <tableColumn id="6" xr3:uid="{5DB84826-576E-4CA5-A0C8-24D30F0A48E6}" uniqueName="6" name="Author l-f" queryTableFieldId="6" dataDxfId="20"/>
    <tableColumn id="7" xr3:uid="{42083F96-431F-400B-89F5-098A683A3B63}" uniqueName="7" name="Narrator" queryTableFieldId="7" dataDxfId="19"/>
    <tableColumn id="8" xr3:uid="{9B4DFF22-1422-4A1C-A836-F765DBDDD251}" uniqueName="8" name="ISBN13" queryTableFieldId="8" dataDxfId="18"/>
    <tableColumn id="9" xr3:uid="{D025DB08-D8AB-4BE4-AF59-236D066D5347}" uniqueName="9" name="My Rating" queryTableFieldId="9" dataDxfId="17"/>
    <tableColumn id="10" xr3:uid="{FB1B6C9A-0CE4-4516-A6B0-D34F97E285A9}" uniqueName="10" name="Publisher" queryTableFieldId="10" dataDxfId="16"/>
    <tableColumn id="11" xr3:uid="{BF29F79C-F21F-4E02-9D4A-A3DF10437051}" uniqueName="11" name="Binding" queryTableFieldId="11" dataDxfId="15"/>
    <tableColumn id="12" xr3:uid="{57F74DCF-085E-42BC-BF09-DCA6785C8A10}" uniqueName="12" name="Number of Pages" queryTableFieldId="12"/>
    <tableColumn id="20" xr3:uid="{840BC602-F7B3-4B14-993B-7CCD7142F508}" uniqueName="20" name="Length" queryTableFieldId="20"/>
    <tableColumn id="21" xr3:uid="{4DFAEA9A-A8E7-4A4C-BB10-CF173747F4A8}" uniqueName="21" name="Length/h" queryTableFieldId="21"/>
    <tableColumn id="22" xr3:uid="{D93F82B2-73D3-4E7B-85B3-3D1C5179FA4B}" uniqueName="22" name="Duration" queryTableFieldId="22"/>
    <tableColumn id="14" xr3:uid="{E2162CB1-81EF-4570-9705-DC092C628526}" uniqueName="14" name="Language" queryTableFieldId="14" dataDxfId="14"/>
    <tableColumn id="15" xr3:uid="{A6700C15-50AE-4E46-B138-6FAAF25CF9FB}" uniqueName="15" name="Year Published" queryTableFieldId="15"/>
    <tableColumn id="16" xr3:uid="{B60B16F7-D1C4-4950-8204-139D413D960E}" uniqueName="16" name="Original Publication Year" queryTableFieldId="16"/>
    <tableColumn id="17" xr3:uid="{87323ED7-199F-4E08-BF7E-ABFC0EF1929E}" uniqueName="17" name="Date Read" queryTableFieldId="17" dataDxfId="13"/>
    <tableColumn id="18" xr3:uid="{115A64A9-2C14-4934-A283-894AA5F16293}" uniqueName="18" name="Date Added" queryTableFieldId="18" dataDxfId="12"/>
    <tableColumn id="19" xr3:uid="{10E3A25D-24BB-4579-9A75-53CEACA43139}" uniqueName="19" name="Exclusive Shelf" queryTableFieldId="19" dataDxfId="1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53C595-5997-4DE0-BDB0-BAFB7287CDC1}" name="goodreads_library_export_7_6_2026" displayName="goodreads_library_export_7_6_2026" ref="A1:S759" tableType="queryTable" totalsRowShown="0">
  <autoFilter ref="A1:S759" xr:uid="{A353C595-5997-4DE0-BDB0-BAFB7287CDC1}"/>
  <tableColumns count="19">
    <tableColumn id="21" xr3:uid="{B62AC8D0-A7E1-440D-9496-80409E9FD36C}" uniqueName="21" name="P.č." queryTableFieldId="26"/>
    <tableColumn id="1" xr3:uid="{8A89A71C-3CBD-4A2D-A84F-F5DB4ADAE1B8}" uniqueName="1" name="Book Id" queryTableFieldId="1"/>
    <tableColumn id="2" xr3:uid="{E65D04BB-63F5-44D0-A39C-C8A3FE3B0704}" uniqueName="2" name="Title" queryTableFieldId="2" dataDxfId="10"/>
    <tableColumn id="3" xr3:uid="{E38283A9-D948-4DDE-846E-91C1BEAFC0C4}" uniqueName="3" name="Series" queryTableFieldId="3" dataDxfId="9"/>
    <tableColumn id="4" xr3:uid="{48DC25A5-9AB7-4CC6-8498-1F5FB3E78EA2}" uniqueName="4" name="Author" queryTableFieldId="4" dataDxfId="8"/>
    <tableColumn id="5" xr3:uid="{EF0B7931-A029-43B5-B8BA-3B104E2266CF}" uniqueName="5" name="Author l-f" queryTableFieldId="5" dataDxfId="7"/>
    <tableColumn id="20" xr3:uid="{6060C3CD-3126-4E7E-BDD1-CFF73180983E}" uniqueName="20" name="Narrator" queryTableFieldId="25" dataDxfId="6"/>
    <tableColumn id="14" xr3:uid="{77AB753C-513E-4062-A7F3-2D9FE58B3C47}" uniqueName="14" name="ISBN13" queryTableFieldId="14" dataDxfId="5"/>
    <tableColumn id="7" xr3:uid="{8D1D2D9A-B57E-43E3-BE74-CBABC4277940}" uniqueName="7" name="My Rating" queryTableFieldId="7"/>
    <tableColumn id="15" xr3:uid="{EA8A8413-3ACA-4F37-839F-9FDAF6F57912}" uniqueName="15" name="Publisher" queryTableFieldId="15" dataDxfId="4"/>
    <tableColumn id="8" xr3:uid="{A94BFE85-9EF6-4EDC-B8D5-BAC62E143B38}" uniqueName="8" name="Binding" queryTableFieldId="8" dataDxfId="3"/>
    <tableColumn id="9" xr3:uid="{A2DA6757-C9F7-4B92-9561-B85BC45A2E1F}" uniqueName="9" name="Number of Pages" queryTableFieldId="9"/>
    <tableColumn id="18" xr3:uid="{5F18F5A0-A55B-4FE3-B70B-47F1BFD6DCE7}" uniqueName="18" name="Lenght/h" queryTableFieldId="23"/>
    <tableColumn id="19" xr3:uid="{DFB5D1DC-2409-4564-B12E-161F28A01F21}" uniqueName="19" name="Language" queryTableFieldId="24"/>
    <tableColumn id="16" xr3:uid="{78A50A0E-D092-4AE3-925D-4AAC7C9DDEB7}" uniqueName="16" name="Year Published" queryTableFieldId="16"/>
    <tableColumn id="17" xr3:uid="{CD2D99CD-D974-48AE-8185-EFBD60CCD872}" uniqueName="17" name="Original Publication Year" queryTableFieldId="17"/>
    <tableColumn id="10" xr3:uid="{87F9A309-6B22-4D5C-90F0-96D9C4FDAF07}" uniqueName="10" name="Date Read" queryTableFieldId="10" dataDxfId="2"/>
    <tableColumn id="11" xr3:uid="{FC963AA9-18FD-4A37-9DA6-CCDE9D432B6C}" uniqueName="11" name="Date Added" queryTableFieldId="11" dataDxfId="1"/>
    <tableColumn id="12" xr3:uid="{8EF5CC19-35AB-4514-8C6A-A298FCDF38F2}" uniqueName="12" name="Exclusive Shelf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E0AA8-E407-42B8-8029-191B72172ADC}">
  <dimension ref="A1:Y759"/>
  <sheetViews>
    <sheetView tabSelected="1" topLeftCell="H1" workbookViewId="0">
      <selection activeCell="T763" sqref="T763"/>
    </sheetView>
  </sheetViews>
  <sheetFormatPr defaultRowHeight="15" x14ac:dyDescent="0.25"/>
  <cols>
    <col min="1" max="1" width="6.5703125" bestFit="1" customWidth="1"/>
    <col min="2" max="2" width="10" bestFit="1" customWidth="1"/>
    <col min="3" max="3" width="81.140625" bestFit="1" customWidth="1"/>
    <col min="4" max="4" width="65" bestFit="1" customWidth="1"/>
    <col min="5" max="5" width="35.28515625" bestFit="1" customWidth="1"/>
    <col min="6" max="6" width="35.85546875" bestFit="1" customWidth="1"/>
    <col min="7" max="7" width="40.5703125" bestFit="1" customWidth="1"/>
    <col min="8" max="8" width="14.140625" bestFit="1" customWidth="1"/>
    <col min="9" max="9" width="12" bestFit="1" customWidth="1"/>
    <col min="10" max="10" width="36.140625" bestFit="1" customWidth="1"/>
    <col min="11" max="11" width="10.5703125" bestFit="1" customWidth="1"/>
    <col min="12" max="12" width="18.7109375" bestFit="1" customWidth="1"/>
    <col min="13" max="14" width="12" bestFit="1" customWidth="1"/>
    <col min="15" max="15" width="11.140625" bestFit="1" customWidth="1"/>
    <col min="16" max="16" width="11.7109375" bestFit="1" customWidth="1"/>
    <col min="17" max="17" width="16.85546875" bestFit="1" customWidth="1"/>
    <col min="18" max="18" width="21.7109375" bestFit="1" customWidth="1"/>
    <col min="19" max="19" width="12.5703125" bestFit="1" customWidth="1"/>
    <col min="20" max="20" width="13.7109375" bestFit="1" customWidth="1"/>
    <col min="21" max="21" width="22" bestFit="1" customWidth="1"/>
    <col min="22" max="22" width="13.7109375" bestFit="1" customWidth="1"/>
    <col min="23" max="23" width="16.7109375" bestFit="1" customWidth="1"/>
    <col min="24" max="24" width="18.85546875" bestFit="1" customWidth="1"/>
    <col min="25" max="25" width="16.140625" bestFit="1" customWidth="1"/>
  </cols>
  <sheetData>
    <row r="1" spans="1:25" x14ac:dyDescent="0.25">
      <c r="A1" t="s">
        <v>2503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2489</v>
      </c>
      <c r="H1" t="s">
        <v>1662</v>
      </c>
      <c r="I1" t="s">
        <v>5</v>
      </c>
      <c r="J1" t="s">
        <v>1663</v>
      </c>
      <c r="K1" t="s">
        <v>6</v>
      </c>
      <c r="L1" t="s">
        <v>7</v>
      </c>
      <c r="M1" t="s">
        <v>3876</v>
      </c>
      <c r="N1" t="s">
        <v>3877</v>
      </c>
      <c r="O1" t="s">
        <v>3878</v>
      </c>
      <c r="P1" t="s">
        <v>2485</v>
      </c>
      <c r="Q1" t="s">
        <v>1664</v>
      </c>
      <c r="R1" t="s">
        <v>4111</v>
      </c>
      <c r="S1" t="s">
        <v>8</v>
      </c>
      <c r="T1" t="s">
        <v>9</v>
      </c>
      <c r="U1" t="s">
        <v>4107</v>
      </c>
      <c r="V1" t="s">
        <v>4108</v>
      </c>
      <c r="W1" t="s">
        <v>4109</v>
      </c>
      <c r="X1" t="s">
        <v>4110</v>
      </c>
      <c r="Y1" t="s">
        <v>4112</v>
      </c>
    </row>
    <row r="2" spans="1:25" x14ac:dyDescent="0.25">
      <c r="A2">
        <v>1</v>
      </c>
      <c r="B2">
        <v>62967276</v>
      </c>
      <c r="C2" t="s">
        <v>2888</v>
      </c>
      <c r="D2" t="s">
        <v>12</v>
      </c>
      <c r="E2" t="s">
        <v>13</v>
      </c>
      <c r="F2" t="s">
        <v>14</v>
      </c>
      <c r="G2" t="s">
        <v>2490</v>
      </c>
      <c r="H2" t="s">
        <v>2889</v>
      </c>
      <c r="I2" t="s">
        <v>2890</v>
      </c>
      <c r="J2" t="s">
        <v>2487</v>
      </c>
      <c r="K2" t="s">
        <v>112</v>
      </c>
      <c r="L2">
        <v>232</v>
      </c>
      <c r="M2">
        <v>0.36944444444444446</v>
      </c>
      <c r="N2">
        <v>8.8666666666666671</v>
      </c>
      <c r="O2" t="s">
        <v>3879</v>
      </c>
      <c r="P2" t="s">
        <v>2486</v>
      </c>
      <c r="Q2">
        <v>2022</v>
      </c>
      <c r="R2">
        <v>1973</v>
      </c>
      <c r="S2" s="1">
        <v>46174</v>
      </c>
      <c r="T2" s="1">
        <v>46170</v>
      </c>
      <c r="U2" t="s">
        <v>4113</v>
      </c>
      <c r="V2" t="s">
        <v>4114</v>
      </c>
      <c r="W2" t="s">
        <v>4115</v>
      </c>
      <c r="X2" t="s">
        <v>2603</v>
      </c>
      <c r="Y2" t="s">
        <v>4116</v>
      </c>
    </row>
    <row r="3" spans="1:25" x14ac:dyDescent="0.25">
      <c r="A3">
        <v>2</v>
      </c>
      <c r="B3">
        <v>35906980</v>
      </c>
      <c r="C3" t="s">
        <v>2891</v>
      </c>
      <c r="D3" t="s">
        <v>22</v>
      </c>
      <c r="E3" t="s">
        <v>23</v>
      </c>
      <c r="F3" t="s">
        <v>24</v>
      </c>
      <c r="H3" t="s">
        <v>2892</v>
      </c>
      <c r="I3" t="s">
        <v>2890</v>
      </c>
      <c r="J3" t="s">
        <v>1668</v>
      </c>
      <c r="K3" t="s">
        <v>2488</v>
      </c>
      <c r="L3">
        <v>352</v>
      </c>
      <c r="P3" t="s">
        <v>2494</v>
      </c>
      <c r="Q3">
        <v>2017</v>
      </c>
      <c r="R3">
        <v>2017</v>
      </c>
      <c r="S3" s="1">
        <v>46170</v>
      </c>
      <c r="T3" s="1">
        <v>46154</v>
      </c>
      <c r="U3" t="s">
        <v>4117</v>
      </c>
      <c r="V3" t="s">
        <v>4114</v>
      </c>
      <c r="W3" t="s">
        <v>4118</v>
      </c>
      <c r="X3" t="s">
        <v>4119</v>
      </c>
      <c r="Y3" t="s">
        <v>4116</v>
      </c>
    </row>
    <row r="4" spans="1:25" x14ac:dyDescent="0.25">
      <c r="A4">
        <v>3</v>
      </c>
      <c r="B4">
        <v>13380705</v>
      </c>
      <c r="C4" t="s">
        <v>2893</v>
      </c>
      <c r="D4" t="s">
        <v>26</v>
      </c>
      <c r="E4" t="s">
        <v>27</v>
      </c>
      <c r="F4" t="s">
        <v>28</v>
      </c>
      <c r="G4" t="s">
        <v>2491</v>
      </c>
      <c r="H4" t="s">
        <v>2894</v>
      </c>
      <c r="I4" t="s">
        <v>2890</v>
      </c>
      <c r="J4" t="s">
        <v>2492</v>
      </c>
      <c r="K4" t="s">
        <v>112</v>
      </c>
      <c r="L4">
        <v>592</v>
      </c>
      <c r="M4">
        <v>1.0465277777777777</v>
      </c>
      <c r="N4">
        <v>25.116666666666667</v>
      </c>
      <c r="O4" t="s">
        <v>3880</v>
      </c>
      <c r="P4" t="s">
        <v>2486</v>
      </c>
      <c r="Q4">
        <v>2025</v>
      </c>
      <c r="R4">
        <v>2006</v>
      </c>
      <c r="S4" s="1">
        <v>46157</v>
      </c>
      <c r="T4" s="1">
        <v>46153</v>
      </c>
      <c r="U4" t="s">
        <v>4120</v>
      </c>
      <c r="V4" t="s">
        <v>4114</v>
      </c>
      <c r="W4" t="s">
        <v>4121</v>
      </c>
      <c r="X4" t="s">
        <v>2603</v>
      </c>
      <c r="Y4" t="s">
        <v>4116</v>
      </c>
    </row>
    <row r="5" spans="1:25" x14ac:dyDescent="0.25">
      <c r="A5">
        <v>4</v>
      </c>
      <c r="B5">
        <v>53207116</v>
      </c>
      <c r="C5" t="s">
        <v>2497</v>
      </c>
      <c r="D5" t="s">
        <v>2493</v>
      </c>
      <c r="E5" t="s">
        <v>30</v>
      </c>
      <c r="F5" t="s">
        <v>31</v>
      </c>
      <c r="H5" t="s">
        <v>2895</v>
      </c>
      <c r="I5" t="s">
        <v>2890</v>
      </c>
      <c r="J5" t="s">
        <v>1680</v>
      </c>
      <c r="K5" t="s">
        <v>2488</v>
      </c>
      <c r="L5">
        <v>224</v>
      </c>
      <c r="P5" t="s">
        <v>2494</v>
      </c>
      <c r="Q5">
        <v>2025</v>
      </c>
      <c r="R5">
        <v>2020</v>
      </c>
      <c r="S5" s="1">
        <v>46153</v>
      </c>
      <c r="T5" s="1">
        <v>46127</v>
      </c>
      <c r="U5" t="s">
        <v>4122</v>
      </c>
      <c r="V5" t="s">
        <v>4114</v>
      </c>
      <c r="W5" t="s">
        <v>4123</v>
      </c>
      <c r="X5" t="s">
        <v>4124</v>
      </c>
      <c r="Y5" t="s">
        <v>4125</v>
      </c>
    </row>
    <row r="6" spans="1:25" x14ac:dyDescent="0.25">
      <c r="A6">
        <v>5</v>
      </c>
      <c r="B6">
        <v>49949489</v>
      </c>
      <c r="C6" t="s">
        <v>32</v>
      </c>
      <c r="D6" t="s">
        <v>2495</v>
      </c>
      <c r="E6" t="s">
        <v>23</v>
      </c>
      <c r="F6" t="s">
        <v>24</v>
      </c>
      <c r="H6" t="s">
        <v>2896</v>
      </c>
      <c r="I6" t="s">
        <v>2890</v>
      </c>
      <c r="J6" t="s">
        <v>1673</v>
      </c>
      <c r="K6" t="s">
        <v>2488</v>
      </c>
      <c r="L6">
        <v>320</v>
      </c>
      <c r="P6" t="s">
        <v>2494</v>
      </c>
      <c r="Q6">
        <v>2019</v>
      </c>
      <c r="R6">
        <v>2019</v>
      </c>
      <c r="S6" s="1">
        <v>46153</v>
      </c>
      <c r="T6" s="1">
        <v>46138</v>
      </c>
      <c r="U6" t="s">
        <v>4117</v>
      </c>
      <c r="V6" t="s">
        <v>4114</v>
      </c>
      <c r="W6" t="s">
        <v>4118</v>
      </c>
      <c r="X6" t="s">
        <v>4119</v>
      </c>
      <c r="Y6" t="s">
        <v>4116</v>
      </c>
    </row>
    <row r="7" spans="1:25" x14ac:dyDescent="0.25">
      <c r="A7">
        <v>6</v>
      </c>
      <c r="B7">
        <v>39807315</v>
      </c>
      <c r="C7" t="s">
        <v>2897</v>
      </c>
      <c r="D7" t="s">
        <v>34</v>
      </c>
      <c r="E7" t="s">
        <v>35</v>
      </c>
      <c r="F7" t="s">
        <v>36</v>
      </c>
      <c r="G7" t="s">
        <v>2496</v>
      </c>
      <c r="H7" t="s">
        <v>2898</v>
      </c>
      <c r="I7" t="s">
        <v>2890</v>
      </c>
      <c r="J7" t="s">
        <v>1714</v>
      </c>
      <c r="K7" t="s">
        <v>112</v>
      </c>
      <c r="L7">
        <v>652</v>
      </c>
      <c r="M7">
        <v>0.95625000000000004</v>
      </c>
      <c r="N7">
        <v>22.950000000000003</v>
      </c>
      <c r="O7" t="s">
        <v>3881</v>
      </c>
      <c r="P7" t="s">
        <v>2486</v>
      </c>
      <c r="Q7">
        <v>2025</v>
      </c>
      <c r="R7">
        <v>2017</v>
      </c>
      <c r="S7" s="1">
        <v>46148</v>
      </c>
      <c r="T7" s="1">
        <v>46138</v>
      </c>
      <c r="U7" t="s">
        <v>4117</v>
      </c>
      <c r="V7" t="s">
        <v>4114</v>
      </c>
      <c r="W7" t="s">
        <v>4118</v>
      </c>
      <c r="X7" t="s">
        <v>4119</v>
      </c>
      <c r="Y7" t="s">
        <v>4125</v>
      </c>
    </row>
    <row r="8" spans="1:25" x14ac:dyDescent="0.25">
      <c r="A8">
        <v>7</v>
      </c>
      <c r="B8">
        <v>25832630</v>
      </c>
      <c r="C8" t="s">
        <v>2899</v>
      </c>
      <c r="D8" t="s">
        <v>38</v>
      </c>
      <c r="E8" t="s">
        <v>23</v>
      </c>
      <c r="F8" t="s">
        <v>24</v>
      </c>
      <c r="H8" t="s">
        <v>2900</v>
      </c>
      <c r="I8" t="s">
        <v>2901</v>
      </c>
      <c r="J8" t="s">
        <v>1668</v>
      </c>
      <c r="K8" t="s">
        <v>2488</v>
      </c>
      <c r="L8">
        <v>432</v>
      </c>
      <c r="P8" t="s">
        <v>2494</v>
      </c>
      <c r="Q8">
        <v>2015</v>
      </c>
      <c r="R8">
        <v>2015</v>
      </c>
      <c r="S8" s="1">
        <v>46138</v>
      </c>
      <c r="T8" s="1">
        <v>46127</v>
      </c>
      <c r="U8" t="s">
        <v>4117</v>
      </c>
      <c r="V8" t="s">
        <v>4114</v>
      </c>
      <c r="W8" t="s">
        <v>4118</v>
      </c>
      <c r="X8" t="s">
        <v>4119</v>
      </c>
      <c r="Y8" t="s">
        <v>4116</v>
      </c>
    </row>
    <row r="9" spans="1:25" x14ac:dyDescent="0.25">
      <c r="A9">
        <v>8</v>
      </c>
      <c r="B9">
        <v>25754537</v>
      </c>
      <c r="C9" t="s">
        <v>2902</v>
      </c>
      <c r="D9" t="s">
        <v>41</v>
      </c>
      <c r="E9" t="s">
        <v>35</v>
      </c>
      <c r="F9" t="s">
        <v>36</v>
      </c>
      <c r="G9" t="s">
        <v>2496</v>
      </c>
      <c r="H9" t="s">
        <v>2903</v>
      </c>
      <c r="I9" t="s">
        <v>2890</v>
      </c>
      <c r="J9" t="s">
        <v>1714</v>
      </c>
      <c r="K9" t="s">
        <v>112</v>
      </c>
      <c r="L9">
        <v>362</v>
      </c>
      <c r="M9">
        <v>0.66249999999999998</v>
      </c>
      <c r="N9">
        <v>15.899999999999999</v>
      </c>
      <c r="O9" t="s">
        <v>3882</v>
      </c>
      <c r="P9" t="s">
        <v>2486</v>
      </c>
      <c r="Q9">
        <v>2023</v>
      </c>
      <c r="R9">
        <v>2014</v>
      </c>
      <c r="S9" s="1">
        <v>46133</v>
      </c>
      <c r="T9" s="1">
        <v>46133</v>
      </c>
      <c r="U9" t="s">
        <v>4117</v>
      </c>
      <c r="V9" t="s">
        <v>4114</v>
      </c>
      <c r="W9" t="s">
        <v>4118</v>
      </c>
      <c r="X9" t="s">
        <v>4119</v>
      </c>
      <c r="Y9" t="s">
        <v>4125</v>
      </c>
    </row>
    <row r="10" spans="1:25" x14ac:dyDescent="0.25">
      <c r="A10">
        <v>9</v>
      </c>
      <c r="B10">
        <v>22455349</v>
      </c>
      <c r="C10" t="s">
        <v>2904</v>
      </c>
      <c r="D10" t="s">
        <v>43</v>
      </c>
      <c r="E10" t="s">
        <v>35</v>
      </c>
      <c r="F10" t="s">
        <v>36</v>
      </c>
      <c r="G10" t="s">
        <v>2496</v>
      </c>
      <c r="H10" t="s">
        <v>2905</v>
      </c>
      <c r="I10" t="s">
        <v>2890</v>
      </c>
      <c r="J10" t="s">
        <v>1714</v>
      </c>
      <c r="K10" t="s">
        <v>112</v>
      </c>
      <c r="L10">
        <v>416</v>
      </c>
      <c r="M10">
        <v>0.58680555555555558</v>
      </c>
      <c r="N10">
        <v>14.083333333333334</v>
      </c>
      <c r="O10" t="s">
        <v>3883</v>
      </c>
      <c r="P10" t="s">
        <v>2486</v>
      </c>
      <c r="Q10">
        <v>2023</v>
      </c>
      <c r="R10">
        <v>2011</v>
      </c>
      <c r="S10" s="1">
        <v>46127</v>
      </c>
      <c r="T10" s="1">
        <v>46124</v>
      </c>
      <c r="U10" t="s">
        <v>4117</v>
      </c>
      <c r="V10" t="s">
        <v>4114</v>
      </c>
      <c r="W10" t="s">
        <v>4118</v>
      </c>
      <c r="X10" t="s">
        <v>4119</v>
      </c>
      <c r="Y10" t="s">
        <v>4125</v>
      </c>
    </row>
    <row r="11" spans="1:25" x14ac:dyDescent="0.25">
      <c r="A11">
        <v>10</v>
      </c>
      <c r="B11">
        <v>230443664</v>
      </c>
      <c r="C11" t="s">
        <v>2906</v>
      </c>
      <c r="D11" t="s">
        <v>45</v>
      </c>
      <c r="E11" t="s">
        <v>30</v>
      </c>
      <c r="F11" t="s">
        <v>31</v>
      </c>
      <c r="H11" t="s">
        <v>2907</v>
      </c>
      <c r="I11" t="s">
        <v>2901</v>
      </c>
      <c r="J11" t="s">
        <v>1680</v>
      </c>
      <c r="K11" t="s">
        <v>2488</v>
      </c>
      <c r="L11">
        <v>224</v>
      </c>
      <c r="P11" t="s">
        <v>2494</v>
      </c>
      <c r="Q11">
        <v>2025</v>
      </c>
      <c r="R11">
        <v>2025</v>
      </c>
      <c r="S11" s="1">
        <v>46126</v>
      </c>
      <c r="T11" s="1">
        <v>46117</v>
      </c>
      <c r="U11" t="s">
        <v>4122</v>
      </c>
      <c r="V11" t="s">
        <v>4114</v>
      </c>
      <c r="W11" t="s">
        <v>4123</v>
      </c>
      <c r="X11" t="s">
        <v>4124</v>
      </c>
      <c r="Y11" t="s">
        <v>4125</v>
      </c>
    </row>
    <row r="12" spans="1:25" x14ac:dyDescent="0.25">
      <c r="A12">
        <v>11</v>
      </c>
      <c r="B12">
        <v>17989753</v>
      </c>
      <c r="C12" t="s">
        <v>2908</v>
      </c>
      <c r="D12" t="s">
        <v>47</v>
      </c>
      <c r="E12" t="s">
        <v>35</v>
      </c>
      <c r="F12" t="s">
        <v>36</v>
      </c>
      <c r="G12" t="s">
        <v>2496</v>
      </c>
      <c r="H12" t="s">
        <v>2909</v>
      </c>
      <c r="I12" t="s">
        <v>2890</v>
      </c>
      <c r="J12" t="s">
        <v>1714</v>
      </c>
      <c r="K12" t="s">
        <v>112</v>
      </c>
      <c r="L12">
        <v>392</v>
      </c>
      <c r="M12">
        <v>0.55486111111111114</v>
      </c>
      <c r="N12">
        <v>13.316666666666666</v>
      </c>
      <c r="O12" t="s">
        <v>3884</v>
      </c>
      <c r="P12" t="s">
        <v>2486</v>
      </c>
      <c r="Q12">
        <v>2023</v>
      </c>
      <c r="R12">
        <v>2009</v>
      </c>
      <c r="S12" s="1">
        <v>46123</v>
      </c>
      <c r="T12" s="1">
        <v>46120</v>
      </c>
      <c r="U12" t="s">
        <v>4117</v>
      </c>
      <c r="V12" t="s">
        <v>4114</v>
      </c>
      <c r="W12" t="s">
        <v>4118</v>
      </c>
      <c r="X12" t="s">
        <v>4119</v>
      </c>
      <c r="Y12" t="s">
        <v>4125</v>
      </c>
    </row>
    <row r="13" spans="1:25" x14ac:dyDescent="0.25">
      <c r="A13">
        <v>12</v>
      </c>
      <c r="B13">
        <v>242570969</v>
      </c>
      <c r="C13" t="s">
        <v>48</v>
      </c>
      <c r="D13" t="s">
        <v>17</v>
      </c>
      <c r="E13" t="s">
        <v>49</v>
      </c>
      <c r="F13" t="s">
        <v>50</v>
      </c>
      <c r="H13" t="s">
        <v>2910</v>
      </c>
      <c r="I13" t="s">
        <v>2890</v>
      </c>
      <c r="J13" t="s">
        <v>1683</v>
      </c>
      <c r="K13" t="s">
        <v>2488</v>
      </c>
      <c r="L13">
        <v>443</v>
      </c>
      <c r="P13" t="s">
        <v>2494</v>
      </c>
      <c r="Q13">
        <v>2025</v>
      </c>
      <c r="R13">
        <v>2024</v>
      </c>
      <c r="S13" s="1">
        <v>46120</v>
      </c>
      <c r="T13" s="1">
        <v>46114</v>
      </c>
      <c r="U13" t="s">
        <v>4126</v>
      </c>
      <c r="V13" t="s">
        <v>4114</v>
      </c>
      <c r="W13" t="s">
        <v>4127</v>
      </c>
      <c r="X13" t="s">
        <v>4128</v>
      </c>
      <c r="Y13" t="s">
        <v>4116</v>
      </c>
    </row>
    <row r="14" spans="1:25" x14ac:dyDescent="0.25">
      <c r="A14">
        <v>13</v>
      </c>
      <c r="B14">
        <v>247500252</v>
      </c>
      <c r="C14" t="s">
        <v>51</v>
      </c>
      <c r="D14" t="s">
        <v>17</v>
      </c>
      <c r="E14" t="s">
        <v>52</v>
      </c>
      <c r="F14" t="s">
        <v>53</v>
      </c>
      <c r="G14" t="s">
        <v>2498</v>
      </c>
      <c r="H14" t="s">
        <v>2911</v>
      </c>
      <c r="I14" t="s">
        <v>2890</v>
      </c>
      <c r="J14" t="s">
        <v>2499</v>
      </c>
      <c r="K14" t="s">
        <v>112</v>
      </c>
      <c r="L14">
        <v>384</v>
      </c>
      <c r="M14">
        <v>0.53541666666666665</v>
      </c>
      <c r="N14">
        <v>12.85</v>
      </c>
      <c r="O14" t="s">
        <v>3885</v>
      </c>
      <c r="P14" t="s">
        <v>2486</v>
      </c>
      <c r="Q14">
        <v>2026</v>
      </c>
      <c r="R14">
        <v>2024</v>
      </c>
      <c r="S14" s="1">
        <v>46116</v>
      </c>
      <c r="T14" s="1">
        <v>46115</v>
      </c>
      <c r="U14" t="s">
        <v>4129</v>
      </c>
      <c r="V14" t="s">
        <v>4114</v>
      </c>
      <c r="W14" t="s">
        <v>4121</v>
      </c>
      <c r="X14" t="s">
        <v>2603</v>
      </c>
      <c r="Y14" t="s">
        <v>4125</v>
      </c>
    </row>
    <row r="15" spans="1:25" x14ac:dyDescent="0.25">
      <c r="A15">
        <v>14</v>
      </c>
      <c r="B15">
        <v>54222410</v>
      </c>
      <c r="C15" t="s">
        <v>54</v>
      </c>
      <c r="D15" t="s">
        <v>17</v>
      </c>
      <c r="E15" t="s">
        <v>55</v>
      </c>
      <c r="F15" t="s">
        <v>56</v>
      </c>
      <c r="G15" t="s">
        <v>2500</v>
      </c>
      <c r="H15" t="s">
        <v>2912</v>
      </c>
      <c r="I15" t="s">
        <v>2890</v>
      </c>
      <c r="J15" t="s">
        <v>1687</v>
      </c>
      <c r="K15" t="s">
        <v>112</v>
      </c>
      <c r="L15">
        <v>367</v>
      </c>
      <c r="M15">
        <v>0.34652777777777777</v>
      </c>
      <c r="N15">
        <v>8.3166666666666664</v>
      </c>
      <c r="O15" t="s">
        <v>3886</v>
      </c>
      <c r="P15" t="s">
        <v>2486</v>
      </c>
      <c r="Q15">
        <v>2020</v>
      </c>
      <c r="R15">
        <v>2014</v>
      </c>
      <c r="S15" s="1">
        <v>46115</v>
      </c>
      <c r="T15" s="1">
        <v>46114</v>
      </c>
      <c r="U15" t="s">
        <v>4130</v>
      </c>
      <c r="V15" t="s">
        <v>4131</v>
      </c>
      <c r="W15" t="s">
        <v>4121</v>
      </c>
      <c r="X15" t="s">
        <v>2603</v>
      </c>
      <c r="Y15" t="s">
        <v>4116</v>
      </c>
    </row>
    <row r="16" spans="1:25" x14ac:dyDescent="0.25">
      <c r="A16">
        <v>15</v>
      </c>
      <c r="B16">
        <v>22838047</v>
      </c>
      <c r="C16" t="s">
        <v>58</v>
      </c>
      <c r="D16" t="s">
        <v>2501</v>
      </c>
      <c r="E16" t="s">
        <v>35</v>
      </c>
      <c r="F16" t="s">
        <v>36</v>
      </c>
      <c r="G16" t="s">
        <v>2496</v>
      </c>
      <c r="H16" t="s">
        <v>2913</v>
      </c>
      <c r="I16" t="s">
        <v>2890</v>
      </c>
      <c r="J16" t="s">
        <v>1714</v>
      </c>
      <c r="K16" t="s">
        <v>112</v>
      </c>
      <c r="L16">
        <v>358</v>
      </c>
      <c r="M16">
        <v>0.54861111111111116</v>
      </c>
      <c r="N16">
        <v>13.166666666666668</v>
      </c>
      <c r="O16" t="s">
        <v>3887</v>
      </c>
      <c r="P16" t="s">
        <v>2486</v>
      </c>
      <c r="Q16">
        <v>2023</v>
      </c>
      <c r="R16">
        <v>2008</v>
      </c>
      <c r="S16" s="1">
        <v>46112</v>
      </c>
      <c r="T16" s="1">
        <v>46111</v>
      </c>
      <c r="U16" t="s">
        <v>4117</v>
      </c>
      <c r="V16" t="s">
        <v>4114</v>
      </c>
      <c r="W16" t="s">
        <v>4118</v>
      </c>
      <c r="X16" t="s">
        <v>4119</v>
      </c>
      <c r="Y16" t="s">
        <v>4125</v>
      </c>
    </row>
    <row r="17" spans="1:25" x14ac:dyDescent="0.25">
      <c r="A17">
        <v>16</v>
      </c>
      <c r="B17">
        <v>25638219</v>
      </c>
      <c r="C17" t="s">
        <v>2914</v>
      </c>
      <c r="D17" t="s">
        <v>60</v>
      </c>
      <c r="E17" t="s">
        <v>35</v>
      </c>
      <c r="F17" t="s">
        <v>36</v>
      </c>
      <c r="G17" t="s">
        <v>2496</v>
      </c>
      <c r="H17" t="s">
        <v>2915</v>
      </c>
      <c r="I17" t="s">
        <v>2890</v>
      </c>
      <c r="J17" t="s">
        <v>1714</v>
      </c>
      <c r="K17" t="s">
        <v>112</v>
      </c>
      <c r="L17">
        <v>430</v>
      </c>
      <c r="M17">
        <v>0.62847222222222221</v>
      </c>
      <c r="N17">
        <v>15.083333333333332</v>
      </c>
      <c r="O17" t="s">
        <v>3888</v>
      </c>
      <c r="P17" t="s">
        <v>2486</v>
      </c>
      <c r="Q17">
        <v>2022</v>
      </c>
      <c r="R17">
        <v>2007</v>
      </c>
      <c r="S17" s="1">
        <v>46109</v>
      </c>
      <c r="T17" s="1">
        <v>46108</v>
      </c>
      <c r="U17" t="s">
        <v>4117</v>
      </c>
      <c r="V17" t="s">
        <v>4114</v>
      </c>
      <c r="W17" t="s">
        <v>4118</v>
      </c>
      <c r="X17" t="s">
        <v>4119</v>
      </c>
      <c r="Y17" t="s">
        <v>4125</v>
      </c>
    </row>
    <row r="18" spans="1:25" x14ac:dyDescent="0.25">
      <c r="A18">
        <v>17</v>
      </c>
      <c r="B18">
        <v>240935187</v>
      </c>
      <c r="C18" t="s">
        <v>61</v>
      </c>
      <c r="D18" t="s">
        <v>17</v>
      </c>
      <c r="E18" t="s">
        <v>62</v>
      </c>
      <c r="F18" t="s">
        <v>63</v>
      </c>
      <c r="H18" t="s">
        <v>2916</v>
      </c>
      <c r="I18" t="s">
        <v>2917</v>
      </c>
      <c r="J18" t="s">
        <v>1668</v>
      </c>
      <c r="K18" t="s">
        <v>2488</v>
      </c>
      <c r="L18">
        <v>240</v>
      </c>
      <c r="P18" t="s">
        <v>2494</v>
      </c>
      <c r="Q18">
        <v>2025</v>
      </c>
      <c r="R18">
        <v>2025</v>
      </c>
      <c r="S18" s="1">
        <v>46108</v>
      </c>
      <c r="T18" s="1">
        <v>46105</v>
      </c>
      <c r="U18" t="s">
        <v>4132</v>
      </c>
      <c r="V18" t="s">
        <v>4114</v>
      </c>
      <c r="W18" t="s">
        <v>4133</v>
      </c>
      <c r="X18" t="s">
        <v>2494</v>
      </c>
      <c r="Y18" t="s">
        <v>4116</v>
      </c>
    </row>
    <row r="19" spans="1:25" x14ac:dyDescent="0.25">
      <c r="A19">
        <v>18</v>
      </c>
      <c r="B19">
        <v>23724303</v>
      </c>
      <c r="C19" t="s">
        <v>64</v>
      </c>
      <c r="D19" t="s">
        <v>2502</v>
      </c>
      <c r="E19" t="s">
        <v>35</v>
      </c>
      <c r="F19" t="s">
        <v>36</v>
      </c>
      <c r="G19" t="s">
        <v>2496</v>
      </c>
      <c r="H19" t="s">
        <v>2918</v>
      </c>
      <c r="I19" t="s">
        <v>2890</v>
      </c>
      <c r="J19" t="s">
        <v>1714</v>
      </c>
      <c r="K19" t="s">
        <v>112</v>
      </c>
      <c r="L19">
        <v>349</v>
      </c>
      <c r="M19">
        <v>0.50555555555555554</v>
      </c>
      <c r="N19">
        <v>12.133333333333333</v>
      </c>
      <c r="O19" t="s">
        <v>3889</v>
      </c>
      <c r="P19" t="s">
        <v>2486</v>
      </c>
      <c r="Q19">
        <v>2022</v>
      </c>
      <c r="R19">
        <v>2006</v>
      </c>
      <c r="S19" s="1">
        <v>46107</v>
      </c>
      <c r="T19" s="1">
        <v>46107</v>
      </c>
      <c r="U19" t="s">
        <v>4117</v>
      </c>
      <c r="V19" t="s">
        <v>4114</v>
      </c>
      <c r="W19" t="s">
        <v>4118</v>
      </c>
      <c r="X19" t="s">
        <v>4119</v>
      </c>
      <c r="Y19" t="s">
        <v>4125</v>
      </c>
    </row>
    <row r="20" spans="1:25" x14ac:dyDescent="0.25">
      <c r="A20">
        <v>19</v>
      </c>
      <c r="B20">
        <v>10451655</v>
      </c>
      <c r="C20" t="s">
        <v>2919</v>
      </c>
      <c r="D20" t="s">
        <v>66</v>
      </c>
      <c r="E20" t="s">
        <v>35</v>
      </c>
      <c r="F20" t="s">
        <v>36</v>
      </c>
      <c r="G20" t="s">
        <v>2496</v>
      </c>
      <c r="H20" t="s">
        <v>2920</v>
      </c>
      <c r="I20" t="s">
        <v>2890</v>
      </c>
      <c r="J20" t="s">
        <v>1714</v>
      </c>
      <c r="K20" t="s">
        <v>112</v>
      </c>
      <c r="L20">
        <v>416</v>
      </c>
      <c r="M20">
        <v>0.59652777777777777</v>
      </c>
      <c r="N20">
        <v>14.316666666666666</v>
      </c>
      <c r="O20" t="s">
        <v>3890</v>
      </c>
      <c r="P20" t="s">
        <v>2486</v>
      </c>
      <c r="Q20">
        <v>2022</v>
      </c>
      <c r="R20">
        <v>2005</v>
      </c>
      <c r="S20" s="1">
        <v>46105</v>
      </c>
      <c r="T20" s="1">
        <v>46104</v>
      </c>
      <c r="U20" t="s">
        <v>4117</v>
      </c>
      <c r="V20" t="s">
        <v>4114</v>
      </c>
      <c r="W20" t="s">
        <v>4118</v>
      </c>
      <c r="X20" t="s">
        <v>4119</v>
      </c>
      <c r="Y20" t="s">
        <v>4125</v>
      </c>
    </row>
    <row r="21" spans="1:25" x14ac:dyDescent="0.25">
      <c r="A21">
        <v>20</v>
      </c>
      <c r="B21">
        <v>220821554</v>
      </c>
      <c r="C21" t="s">
        <v>2921</v>
      </c>
      <c r="D21" t="s">
        <v>68</v>
      </c>
      <c r="E21" t="s">
        <v>30</v>
      </c>
      <c r="F21" t="s">
        <v>31</v>
      </c>
      <c r="H21" t="s">
        <v>2922</v>
      </c>
      <c r="I21" t="s">
        <v>2890</v>
      </c>
      <c r="J21" t="s">
        <v>1680</v>
      </c>
      <c r="K21" t="s">
        <v>2488</v>
      </c>
      <c r="L21">
        <v>200</v>
      </c>
      <c r="P21" t="s">
        <v>2494</v>
      </c>
      <c r="Q21">
        <v>2024</v>
      </c>
      <c r="R21">
        <v>2019</v>
      </c>
      <c r="S21" s="1">
        <v>46105</v>
      </c>
      <c r="T21" s="1">
        <v>46080</v>
      </c>
      <c r="U21" t="s">
        <v>4122</v>
      </c>
      <c r="V21" t="s">
        <v>4114</v>
      </c>
      <c r="W21" t="s">
        <v>4123</v>
      </c>
      <c r="X21" t="s">
        <v>4124</v>
      </c>
      <c r="Y21" t="s">
        <v>4125</v>
      </c>
    </row>
    <row r="22" spans="1:25" x14ac:dyDescent="0.25">
      <c r="A22">
        <v>21</v>
      </c>
      <c r="B22">
        <v>236902029</v>
      </c>
      <c r="C22" t="s">
        <v>69</v>
      </c>
      <c r="D22" t="s">
        <v>17</v>
      </c>
      <c r="E22" t="s">
        <v>70</v>
      </c>
      <c r="F22" t="s">
        <v>71</v>
      </c>
      <c r="H22" t="s">
        <v>2923</v>
      </c>
      <c r="I22" t="s">
        <v>2890</v>
      </c>
      <c r="J22" t="s">
        <v>1668</v>
      </c>
      <c r="K22" t="s">
        <v>2488</v>
      </c>
      <c r="L22">
        <v>352</v>
      </c>
      <c r="P22" t="s">
        <v>2494</v>
      </c>
      <c r="Q22">
        <v>2025</v>
      </c>
      <c r="R22">
        <v>2024</v>
      </c>
      <c r="S22" s="1">
        <v>46104</v>
      </c>
      <c r="T22" s="1">
        <v>46099</v>
      </c>
      <c r="U22" t="s">
        <v>4134</v>
      </c>
      <c r="V22" t="s">
        <v>4114</v>
      </c>
      <c r="W22" t="s">
        <v>4118</v>
      </c>
      <c r="X22" t="s">
        <v>4119</v>
      </c>
      <c r="Y22" t="s">
        <v>4116</v>
      </c>
    </row>
    <row r="23" spans="1:25" x14ac:dyDescent="0.25">
      <c r="A23">
        <v>22</v>
      </c>
      <c r="B23">
        <v>10451733</v>
      </c>
      <c r="C23" t="s">
        <v>2924</v>
      </c>
      <c r="D23" t="s">
        <v>73</v>
      </c>
      <c r="E23" t="s">
        <v>35</v>
      </c>
      <c r="F23" t="s">
        <v>36</v>
      </c>
      <c r="G23" t="s">
        <v>2496</v>
      </c>
      <c r="H23" t="s">
        <v>2925</v>
      </c>
      <c r="I23" t="s">
        <v>2890</v>
      </c>
      <c r="J23" t="s">
        <v>1714</v>
      </c>
      <c r="K23" t="s">
        <v>112</v>
      </c>
      <c r="L23">
        <v>368</v>
      </c>
      <c r="M23">
        <v>0.50694444444444442</v>
      </c>
      <c r="N23">
        <v>12.166666666666666</v>
      </c>
      <c r="O23" t="s">
        <v>3891</v>
      </c>
      <c r="P23" t="s">
        <v>2486</v>
      </c>
      <c r="Q23">
        <v>2022</v>
      </c>
      <c r="R23">
        <v>2004</v>
      </c>
      <c r="S23" s="1">
        <v>46102</v>
      </c>
      <c r="T23" s="1">
        <v>46100</v>
      </c>
      <c r="U23" t="s">
        <v>4117</v>
      </c>
      <c r="V23" t="s">
        <v>4114</v>
      </c>
      <c r="W23" t="s">
        <v>4118</v>
      </c>
      <c r="X23" t="s">
        <v>4119</v>
      </c>
      <c r="Y23" t="s">
        <v>4125</v>
      </c>
    </row>
    <row r="24" spans="1:25" x14ac:dyDescent="0.25">
      <c r="A24">
        <v>23</v>
      </c>
      <c r="B24">
        <v>232171468</v>
      </c>
      <c r="C24" t="s">
        <v>74</v>
      </c>
      <c r="D24" t="s">
        <v>17</v>
      </c>
      <c r="E24" t="s">
        <v>75</v>
      </c>
      <c r="F24" t="s">
        <v>76</v>
      </c>
      <c r="H24" t="s">
        <v>2926</v>
      </c>
      <c r="I24" t="s">
        <v>2901</v>
      </c>
      <c r="J24" t="s">
        <v>1697</v>
      </c>
      <c r="K24" t="s">
        <v>2488</v>
      </c>
      <c r="L24">
        <v>408</v>
      </c>
      <c r="P24" t="s">
        <v>2494</v>
      </c>
      <c r="Q24">
        <v>2025</v>
      </c>
      <c r="R24">
        <v>2024</v>
      </c>
      <c r="S24" s="1">
        <v>46100</v>
      </c>
      <c r="T24" s="1">
        <v>46029</v>
      </c>
      <c r="U24" t="s">
        <v>4135</v>
      </c>
      <c r="V24" t="s">
        <v>4131</v>
      </c>
      <c r="W24" t="s">
        <v>4121</v>
      </c>
      <c r="X24" t="s">
        <v>2603</v>
      </c>
      <c r="Y24" t="s">
        <v>4125</v>
      </c>
    </row>
    <row r="25" spans="1:25" x14ac:dyDescent="0.25">
      <c r="A25">
        <v>24</v>
      </c>
      <c r="B25">
        <v>10451760</v>
      </c>
      <c r="C25" t="s">
        <v>2927</v>
      </c>
      <c r="D25" t="s">
        <v>78</v>
      </c>
      <c r="E25" t="s">
        <v>35</v>
      </c>
      <c r="F25" t="s">
        <v>36</v>
      </c>
      <c r="G25" t="s">
        <v>2496</v>
      </c>
      <c r="H25" t="s">
        <v>2928</v>
      </c>
      <c r="I25" t="s">
        <v>2890</v>
      </c>
      <c r="J25" t="s">
        <v>1714</v>
      </c>
      <c r="K25" t="s">
        <v>112</v>
      </c>
      <c r="L25">
        <v>320</v>
      </c>
      <c r="M25">
        <v>0.48194444444444445</v>
      </c>
      <c r="N25">
        <v>11.566666666666666</v>
      </c>
      <c r="O25" t="s">
        <v>3892</v>
      </c>
      <c r="P25" t="s">
        <v>2486</v>
      </c>
      <c r="Q25">
        <v>2022</v>
      </c>
      <c r="R25">
        <v>2003</v>
      </c>
      <c r="S25" s="1">
        <v>46095</v>
      </c>
      <c r="T25" s="1">
        <v>46087</v>
      </c>
      <c r="U25" t="s">
        <v>4117</v>
      </c>
      <c r="V25" t="s">
        <v>4114</v>
      </c>
      <c r="W25" t="s">
        <v>4118</v>
      </c>
      <c r="X25" t="s">
        <v>4119</v>
      </c>
      <c r="Y25" t="s">
        <v>4125</v>
      </c>
    </row>
    <row r="26" spans="1:25" x14ac:dyDescent="0.25">
      <c r="A26">
        <v>25</v>
      </c>
      <c r="B26">
        <v>232554957</v>
      </c>
      <c r="C26" t="s">
        <v>2504</v>
      </c>
      <c r="D26" t="s">
        <v>79</v>
      </c>
      <c r="E26" t="s">
        <v>80</v>
      </c>
      <c r="F26" t="s">
        <v>81</v>
      </c>
      <c r="H26" t="s">
        <v>2929</v>
      </c>
      <c r="I26" t="s">
        <v>2890</v>
      </c>
      <c r="J26" t="s">
        <v>1700</v>
      </c>
      <c r="K26" t="s">
        <v>2488</v>
      </c>
      <c r="L26">
        <v>360</v>
      </c>
      <c r="P26" t="s">
        <v>2494</v>
      </c>
      <c r="Q26">
        <v>2025</v>
      </c>
      <c r="R26">
        <v>2024</v>
      </c>
      <c r="S26" s="1">
        <v>46089</v>
      </c>
      <c r="T26" s="1">
        <v>46079</v>
      </c>
      <c r="U26" t="s">
        <v>4136</v>
      </c>
      <c r="V26" t="s">
        <v>4114</v>
      </c>
      <c r="W26" t="s">
        <v>4137</v>
      </c>
      <c r="X26" t="s">
        <v>2603</v>
      </c>
      <c r="Y26" t="s">
        <v>4125</v>
      </c>
    </row>
    <row r="27" spans="1:25" x14ac:dyDescent="0.25">
      <c r="A27">
        <v>26</v>
      </c>
      <c r="B27">
        <v>52732123</v>
      </c>
      <c r="C27" t="s">
        <v>2505</v>
      </c>
      <c r="D27" t="s">
        <v>17</v>
      </c>
      <c r="E27" t="s">
        <v>82</v>
      </c>
      <c r="F27" t="s">
        <v>83</v>
      </c>
      <c r="G27" t="s">
        <v>2506</v>
      </c>
      <c r="H27" t="s">
        <v>2930</v>
      </c>
      <c r="I27" t="s">
        <v>2890</v>
      </c>
      <c r="J27" t="s">
        <v>2492</v>
      </c>
      <c r="K27" t="s">
        <v>112</v>
      </c>
      <c r="L27">
        <v>404</v>
      </c>
      <c r="M27">
        <v>0.69305555555555554</v>
      </c>
      <c r="N27">
        <v>16.633333333333333</v>
      </c>
      <c r="O27" t="s">
        <v>3893</v>
      </c>
      <c r="P27" t="s">
        <v>2486</v>
      </c>
      <c r="Q27">
        <v>2019</v>
      </c>
      <c r="R27">
        <v>2018</v>
      </c>
      <c r="S27" s="1">
        <v>46087</v>
      </c>
      <c r="T27" s="1">
        <v>46047</v>
      </c>
      <c r="U27" t="s">
        <v>4138</v>
      </c>
      <c r="V27" t="s">
        <v>4114</v>
      </c>
      <c r="W27" t="s">
        <v>4121</v>
      </c>
      <c r="X27" t="s">
        <v>2603</v>
      </c>
      <c r="Y27" t="s">
        <v>4125</v>
      </c>
    </row>
    <row r="28" spans="1:25" x14ac:dyDescent="0.25">
      <c r="A28">
        <v>27</v>
      </c>
      <c r="B28">
        <v>43890480</v>
      </c>
      <c r="C28" t="s">
        <v>2507</v>
      </c>
      <c r="D28" t="s">
        <v>17</v>
      </c>
      <c r="E28" t="s">
        <v>84</v>
      </c>
      <c r="F28" t="s">
        <v>85</v>
      </c>
      <c r="H28" t="s">
        <v>2931</v>
      </c>
      <c r="I28" t="s">
        <v>2901</v>
      </c>
      <c r="J28" t="s">
        <v>2508</v>
      </c>
      <c r="K28" t="s">
        <v>2488</v>
      </c>
      <c r="L28">
        <v>124</v>
      </c>
      <c r="P28" t="s">
        <v>2494</v>
      </c>
      <c r="Q28">
        <v>2024</v>
      </c>
      <c r="R28">
        <v>2011</v>
      </c>
      <c r="S28" s="1">
        <v>46078</v>
      </c>
      <c r="T28" s="1">
        <v>46068</v>
      </c>
      <c r="U28" t="s">
        <v>4122</v>
      </c>
      <c r="V28" t="s">
        <v>4114</v>
      </c>
      <c r="W28" t="s">
        <v>4115</v>
      </c>
      <c r="X28" t="s">
        <v>2603</v>
      </c>
      <c r="Y28" t="s">
        <v>4125</v>
      </c>
    </row>
    <row r="29" spans="1:25" x14ac:dyDescent="0.25">
      <c r="A29">
        <v>28</v>
      </c>
      <c r="B29">
        <v>244657672</v>
      </c>
      <c r="C29" t="s">
        <v>86</v>
      </c>
      <c r="D29" t="s">
        <v>17</v>
      </c>
      <c r="E29" t="s">
        <v>87</v>
      </c>
      <c r="F29" t="s">
        <v>88</v>
      </c>
      <c r="H29" t="s">
        <v>2932</v>
      </c>
      <c r="I29" t="s">
        <v>2933</v>
      </c>
      <c r="J29" t="s">
        <v>1703</v>
      </c>
      <c r="K29" t="s">
        <v>2488</v>
      </c>
      <c r="L29">
        <v>384</v>
      </c>
      <c r="P29" t="s">
        <v>2494</v>
      </c>
      <c r="Q29">
        <v>2025</v>
      </c>
      <c r="R29">
        <v>2025</v>
      </c>
      <c r="S29" s="1">
        <v>46077</v>
      </c>
      <c r="T29" s="1">
        <v>46071</v>
      </c>
      <c r="U29" t="s">
        <v>4134</v>
      </c>
      <c r="V29" t="s">
        <v>4114</v>
      </c>
      <c r="W29" t="s">
        <v>4133</v>
      </c>
      <c r="X29" t="s">
        <v>2494</v>
      </c>
      <c r="Y29" t="s">
        <v>4116</v>
      </c>
    </row>
    <row r="30" spans="1:25" x14ac:dyDescent="0.25">
      <c r="A30">
        <v>29</v>
      </c>
      <c r="B30">
        <v>54589749</v>
      </c>
      <c r="C30" t="s">
        <v>2509</v>
      </c>
      <c r="D30" t="s">
        <v>89</v>
      </c>
      <c r="E30" t="s">
        <v>90</v>
      </c>
      <c r="F30" t="s">
        <v>91</v>
      </c>
      <c r="G30" t="s">
        <v>2510</v>
      </c>
      <c r="H30" t="s">
        <v>2934</v>
      </c>
      <c r="I30" t="s">
        <v>2890</v>
      </c>
      <c r="J30" t="s">
        <v>1714</v>
      </c>
      <c r="K30" t="s">
        <v>112</v>
      </c>
      <c r="L30">
        <v>342</v>
      </c>
      <c r="M30">
        <v>0.49861111111111112</v>
      </c>
      <c r="N30">
        <v>11.966666666666667</v>
      </c>
      <c r="O30" t="s">
        <v>3894</v>
      </c>
      <c r="P30" t="s">
        <v>2486</v>
      </c>
      <c r="Q30">
        <v>2023</v>
      </c>
      <c r="R30">
        <v>2021</v>
      </c>
      <c r="S30" s="1">
        <v>46076</v>
      </c>
      <c r="T30" s="1">
        <v>46067</v>
      </c>
      <c r="U30" t="s">
        <v>4129</v>
      </c>
      <c r="V30" t="s">
        <v>4114</v>
      </c>
      <c r="W30" t="s">
        <v>4115</v>
      </c>
      <c r="X30" t="s">
        <v>2603</v>
      </c>
      <c r="Y30" t="s">
        <v>4116</v>
      </c>
    </row>
    <row r="31" spans="1:25" x14ac:dyDescent="0.25">
      <c r="A31">
        <v>30</v>
      </c>
      <c r="B31">
        <v>200705151</v>
      </c>
      <c r="C31" t="s">
        <v>2935</v>
      </c>
      <c r="D31" t="s">
        <v>93</v>
      </c>
      <c r="E31" t="s">
        <v>94</v>
      </c>
      <c r="F31" t="s">
        <v>95</v>
      </c>
      <c r="H31" t="s">
        <v>2936</v>
      </c>
      <c r="I31" t="s">
        <v>2917</v>
      </c>
      <c r="J31" t="s">
        <v>2511</v>
      </c>
      <c r="K31" t="s">
        <v>57</v>
      </c>
      <c r="L31">
        <v>344</v>
      </c>
      <c r="P31" t="s">
        <v>2486</v>
      </c>
      <c r="Q31">
        <v>2025</v>
      </c>
      <c r="R31">
        <v>2022</v>
      </c>
      <c r="S31" s="1">
        <v>46070</v>
      </c>
      <c r="T31" s="1">
        <v>46042</v>
      </c>
      <c r="U31" t="s">
        <v>4113</v>
      </c>
      <c r="V31" t="s">
        <v>4114</v>
      </c>
      <c r="W31" t="s">
        <v>4121</v>
      </c>
      <c r="X31" t="s">
        <v>2603</v>
      </c>
      <c r="Y31" t="s">
        <v>4116</v>
      </c>
    </row>
    <row r="32" spans="1:25" x14ac:dyDescent="0.25">
      <c r="A32">
        <v>31</v>
      </c>
      <c r="B32">
        <v>195430687</v>
      </c>
      <c r="C32" t="s">
        <v>96</v>
      </c>
      <c r="D32" t="s">
        <v>17</v>
      </c>
      <c r="E32" t="s">
        <v>97</v>
      </c>
      <c r="F32" t="s">
        <v>98</v>
      </c>
      <c r="H32" t="s">
        <v>2937</v>
      </c>
      <c r="I32" t="s">
        <v>2890</v>
      </c>
      <c r="J32" t="s">
        <v>2097</v>
      </c>
      <c r="K32" t="s">
        <v>2488</v>
      </c>
      <c r="L32">
        <v>352</v>
      </c>
      <c r="P32" t="s">
        <v>2494</v>
      </c>
      <c r="Q32">
        <v>2025</v>
      </c>
      <c r="R32">
        <v>2024</v>
      </c>
      <c r="S32" s="1">
        <v>46068</v>
      </c>
      <c r="T32" s="1">
        <v>46065</v>
      </c>
      <c r="U32" t="s">
        <v>4126</v>
      </c>
      <c r="V32" t="s">
        <v>4114</v>
      </c>
      <c r="W32" t="s">
        <v>4115</v>
      </c>
      <c r="X32" t="s">
        <v>2603</v>
      </c>
      <c r="Y32" t="s">
        <v>4125</v>
      </c>
    </row>
    <row r="33" spans="1:25" x14ac:dyDescent="0.25">
      <c r="A33">
        <v>32</v>
      </c>
      <c r="B33">
        <v>49127523</v>
      </c>
      <c r="C33" t="s">
        <v>2512</v>
      </c>
      <c r="D33" t="s">
        <v>99</v>
      </c>
      <c r="E33" t="s">
        <v>90</v>
      </c>
      <c r="F33" t="s">
        <v>91</v>
      </c>
      <c r="G33" t="s">
        <v>2510</v>
      </c>
      <c r="H33" t="s">
        <v>2938</v>
      </c>
      <c r="I33" t="s">
        <v>2890</v>
      </c>
      <c r="J33" t="s">
        <v>1714</v>
      </c>
      <c r="K33" t="s">
        <v>112</v>
      </c>
      <c r="L33">
        <v>295</v>
      </c>
      <c r="M33">
        <v>0.4465277777777778</v>
      </c>
      <c r="N33">
        <v>10.716666666666667</v>
      </c>
      <c r="O33" t="s">
        <v>3895</v>
      </c>
      <c r="P33" t="s">
        <v>2486</v>
      </c>
      <c r="Q33">
        <v>2022</v>
      </c>
      <c r="R33">
        <v>2020</v>
      </c>
      <c r="S33" s="1">
        <v>46067</v>
      </c>
      <c r="T33" s="1">
        <v>46060</v>
      </c>
      <c r="U33" t="s">
        <v>4129</v>
      </c>
      <c r="V33" t="s">
        <v>4114</v>
      </c>
      <c r="W33" t="s">
        <v>4115</v>
      </c>
      <c r="X33" t="s">
        <v>2603</v>
      </c>
      <c r="Y33" t="s">
        <v>4116</v>
      </c>
    </row>
    <row r="34" spans="1:25" x14ac:dyDescent="0.25">
      <c r="A34">
        <v>33</v>
      </c>
      <c r="B34">
        <v>43263542</v>
      </c>
      <c r="C34" t="s">
        <v>2513</v>
      </c>
      <c r="D34" t="s">
        <v>100</v>
      </c>
      <c r="E34" t="s">
        <v>90</v>
      </c>
      <c r="F34" t="s">
        <v>91</v>
      </c>
      <c r="G34" t="s">
        <v>2510</v>
      </c>
      <c r="H34" t="s">
        <v>2939</v>
      </c>
      <c r="I34" t="s">
        <v>2890</v>
      </c>
      <c r="J34" t="s">
        <v>1714</v>
      </c>
      <c r="K34" t="s">
        <v>112</v>
      </c>
      <c r="L34">
        <v>320</v>
      </c>
      <c r="M34">
        <v>0.52083333333333337</v>
      </c>
      <c r="N34">
        <v>12.5</v>
      </c>
      <c r="O34" t="s">
        <v>3896</v>
      </c>
      <c r="P34" t="s">
        <v>2486</v>
      </c>
      <c r="Q34">
        <v>2022</v>
      </c>
      <c r="R34">
        <v>2019</v>
      </c>
      <c r="S34" s="1">
        <v>46060</v>
      </c>
      <c r="T34" s="1">
        <v>46057</v>
      </c>
      <c r="U34" t="s">
        <v>4129</v>
      </c>
      <c r="V34" t="s">
        <v>4114</v>
      </c>
      <c r="W34" t="s">
        <v>4115</v>
      </c>
      <c r="X34" t="s">
        <v>2603</v>
      </c>
      <c r="Y34" t="s">
        <v>4116</v>
      </c>
    </row>
    <row r="35" spans="1:25" x14ac:dyDescent="0.25">
      <c r="A35">
        <v>34</v>
      </c>
      <c r="B35">
        <v>60542255</v>
      </c>
      <c r="C35" t="s">
        <v>101</v>
      </c>
      <c r="D35" t="s">
        <v>17</v>
      </c>
      <c r="E35" t="s">
        <v>102</v>
      </c>
      <c r="F35" t="s">
        <v>103</v>
      </c>
      <c r="H35" t="s">
        <v>2940</v>
      </c>
      <c r="I35" t="s">
        <v>2890</v>
      </c>
      <c r="J35" t="s">
        <v>1710</v>
      </c>
      <c r="K35" t="s">
        <v>2488</v>
      </c>
      <c r="L35">
        <v>248</v>
      </c>
      <c r="P35" t="s">
        <v>2494</v>
      </c>
      <c r="Q35">
        <v>2018</v>
      </c>
      <c r="R35">
        <v>2012</v>
      </c>
      <c r="S35" s="1">
        <v>46059</v>
      </c>
      <c r="T35" s="1">
        <v>46057</v>
      </c>
      <c r="U35" t="s">
        <v>4139</v>
      </c>
      <c r="V35" t="s">
        <v>4131</v>
      </c>
      <c r="W35" t="s">
        <v>4121</v>
      </c>
      <c r="X35" t="s">
        <v>2603</v>
      </c>
      <c r="Y35" t="s">
        <v>4116</v>
      </c>
    </row>
    <row r="36" spans="1:25" x14ac:dyDescent="0.25">
      <c r="A36">
        <v>35</v>
      </c>
      <c r="B36">
        <v>29241855</v>
      </c>
      <c r="C36" t="s">
        <v>2514</v>
      </c>
      <c r="D36" t="s">
        <v>104</v>
      </c>
      <c r="E36" t="s">
        <v>90</v>
      </c>
      <c r="F36" t="s">
        <v>91</v>
      </c>
      <c r="G36" t="s">
        <v>2515</v>
      </c>
      <c r="H36" t="s">
        <v>2941</v>
      </c>
      <c r="I36" t="s">
        <v>2890</v>
      </c>
      <c r="J36" t="s">
        <v>1714</v>
      </c>
      <c r="K36" t="s">
        <v>112</v>
      </c>
      <c r="L36">
        <v>416</v>
      </c>
      <c r="M36">
        <v>0.66388888888888886</v>
      </c>
      <c r="N36">
        <v>15.933333333333334</v>
      </c>
      <c r="O36" t="s">
        <v>3897</v>
      </c>
      <c r="P36" t="s">
        <v>2486</v>
      </c>
      <c r="Q36">
        <v>2022</v>
      </c>
      <c r="R36">
        <v>2016</v>
      </c>
      <c r="S36" s="1">
        <v>46056</v>
      </c>
      <c r="T36" s="1">
        <v>46054</v>
      </c>
      <c r="U36" t="s">
        <v>4129</v>
      </c>
      <c r="V36" t="s">
        <v>4114</v>
      </c>
      <c r="W36" t="s">
        <v>4115</v>
      </c>
      <c r="X36" t="s">
        <v>2603</v>
      </c>
      <c r="Y36" t="s">
        <v>4116</v>
      </c>
    </row>
    <row r="37" spans="1:25" x14ac:dyDescent="0.25">
      <c r="A37">
        <v>36</v>
      </c>
      <c r="B37">
        <v>25671861</v>
      </c>
      <c r="C37" t="s">
        <v>2516</v>
      </c>
      <c r="D37" t="s">
        <v>105</v>
      </c>
      <c r="E37" t="s">
        <v>90</v>
      </c>
      <c r="F37" t="s">
        <v>91</v>
      </c>
      <c r="G37" t="s">
        <v>2515</v>
      </c>
      <c r="H37" t="s">
        <v>2942</v>
      </c>
      <c r="I37" t="s">
        <v>2890</v>
      </c>
      <c r="J37" t="s">
        <v>1714</v>
      </c>
      <c r="K37" t="s">
        <v>112</v>
      </c>
      <c r="L37">
        <v>404</v>
      </c>
      <c r="M37">
        <v>0.65277777777777779</v>
      </c>
      <c r="N37">
        <v>15.666666666666668</v>
      </c>
      <c r="O37" t="s">
        <v>3898</v>
      </c>
      <c r="P37" t="s">
        <v>2486</v>
      </c>
      <c r="Q37">
        <v>2022</v>
      </c>
      <c r="R37">
        <v>2016</v>
      </c>
      <c r="S37" s="1">
        <v>46049</v>
      </c>
      <c r="T37" s="1">
        <v>46039</v>
      </c>
      <c r="U37" t="s">
        <v>4129</v>
      </c>
      <c r="V37" t="s">
        <v>4114</v>
      </c>
      <c r="W37" t="s">
        <v>4115</v>
      </c>
      <c r="X37" t="s">
        <v>2603</v>
      </c>
      <c r="Y37" t="s">
        <v>4116</v>
      </c>
    </row>
    <row r="38" spans="1:25" x14ac:dyDescent="0.25">
      <c r="A38">
        <v>37</v>
      </c>
      <c r="B38">
        <v>55262523</v>
      </c>
      <c r="C38" t="s">
        <v>108</v>
      </c>
      <c r="D38" t="s">
        <v>17</v>
      </c>
      <c r="E38" t="s">
        <v>94</v>
      </c>
      <c r="F38" t="s">
        <v>95</v>
      </c>
      <c r="H38" t="s">
        <v>2943</v>
      </c>
      <c r="I38" t="s">
        <v>2890</v>
      </c>
      <c r="J38" t="s">
        <v>2511</v>
      </c>
      <c r="K38" t="s">
        <v>57</v>
      </c>
      <c r="L38">
        <v>296</v>
      </c>
      <c r="P38" t="s">
        <v>2486</v>
      </c>
      <c r="Q38">
        <v>2025</v>
      </c>
      <c r="R38">
        <v>2014</v>
      </c>
      <c r="S38" s="1">
        <v>46039</v>
      </c>
      <c r="T38" s="1">
        <v>46032</v>
      </c>
      <c r="U38" t="s">
        <v>4113</v>
      </c>
      <c r="V38" t="s">
        <v>4114</v>
      </c>
      <c r="W38" t="s">
        <v>4121</v>
      </c>
      <c r="X38" t="s">
        <v>2603</v>
      </c>
      <c r="Y38" t="s">
        <v>4116</v>
      </c>
    </row>
    <row r="39" spans="1:25" x14ac:dyDescent="0.25">
      <c r="A39">
        <v>38</v>
      </c>
      <c r="B39">
        <v>21853645</v>
      </c>
      <c r="C39" t="s">
        <v>2517</v>
      </c>
      <c r="D39" t="s">
        <v>109</v>
      </c>
      <c r="E39" t="s">
        <v>90</v>
      </c>
      <c r="F39" t="s">
        <v>91</v>
      </c>
      <c r="G39" t="s">
        <v>2515</v>
      </c>
      <c r="H39" t="s">
        <v>2944</v>
      </c>
      <c r="I39" t="s">
        <v>2901</v>
      </c>
      <c r="J39" t="s">
        <v>1714</v>
      </c>
      <c r="K39" t="s">
        <v>112</v>
      </c>
      <c r="L39">
        <v>400</v>
      </c>
      <c r="M39">
        <v>0.66111111111111109</v>
      </c>
      <c r="N39">
        <v>15.866666666666667</v>
      </c>
      <c r="O39" t="s">
        <v>3899</v>
      </c>
      <c r="P39" t="s">
        <v>2486</v>
      </c>
      <c r="Q39">
        <v>2022</v>
      </c>
      <c r="R39">
        <v>2015</v>
      </c>
      <c r="S39" s="1">
        <v>46039</v>
      </c>
      <c r="T39" s="1">
        <v>46037</v>
      </c>
      <c r="U39" t="s">
        <v>4129</v>
      </c>
      <c r="V39" t="s">
        <v>4114</v>
      </c>
      <c r="W39" t="s">
        <v>4115</v>
      </c>
      <c r="X39" t="s">
        <v>2603</v>
      </c>
      <c r="Y39" t="s">
        <v>4116</v>
      </c>
    </row>
    <row r="40" spans="1:25" x14ac:dyDescent="0.25">
      <c r="A40">
        <v>39</v>
      </c>
      <c r="B40">
        <v>60483417</v>
      </c>
      <c r="C40" t="s">
        <v>2945</v>
      </c>
      <c r="D40" t="s">
        <v>111</v>
      </c>
      <c r="E40" t="s">
        <v>90</v>
      </c>
      <c r="F40" t="s">
        <v>91</v>
      </c>
      <c r="G40" t="s">
        <v>2515</v>
      </c>
      <c r="H40" t="s">
        <v>2946</v>
      </c>
      <c r="I40" t="s">
        <v>2890</v>
      </c>
      <c r="J40" t="s">
        <v>1714</v>
      </c>
      <c r="K40" t="s">
        <v>112</v>
      </c>
      <c r="L40">
        <v>456</v>
      </c>
      <c r="P40" t="s">
        <v>2486</v>
      </c>
      <c r="Q40">
        <v>2022</v>
      </c>
      <c r="R40">
        <v>2014</v>
      </c>
      <c r="S40" s="1">
        <v>46037</v>
      </c>
      <c r="T40" s="1">
        <v>46033</v>
      </c>
      <c r="U40" t="s">
        <v>4129</v>
      </c>
      <c r="V40" t="s">
        <v>4114</v>
      </c>
      <c r="W40" t="s">
        <v>4115</v>
      </c>
      <c r="X40" t="s">
        <v>2603</v>
      </c>
      <c r="Y40" t="s">
        <v>4116</v>
      </c>
    </row>
    <row r="41" spans="1:25" x14ac:dyDescent="0.25">
      <c r="A41">
        <v>40</v>
      </c>
      <c r="B41">
        <v>235303092</v>
      </c>
      <c r="C41" t="s">
        <v>113</v>
      </c>
      <c r="D41" t="s">
        <v>17</v>
      </c>
      <c r="E41" t="s">
        <v>114</v>
      </c>
      <c r="F41" t="s">
        <v>115</v>
      </c>
      <c r="H41" t="s">
        <v>2947</v>
      </c>
      <c r="I41" t="s">
        <v>2901</v>
      </c>
      <c r="J41" t="s">
        <v>1680</v>
      </c>
      <c r="K41" t="s">
        <v>2488</v>
      </c>
      <c r="L41">
        <v>168</v>
      </c>
      <c r="P41" t="s">
        <v>2494</v>
      </c>
      <c r="Q41">
        <v>2025</v>
      </c>
      <c r="R41">
        <v>2025</v>
      </c>
      <c r="S41" s="1">
        <v>46033</v>
      </c>
      <c r="T41" s="1">
        <v>46031</v>
      </c>
      <c r="U41" t="s">
        <v>4122</v>
      </c>
      <c r="V41" t="s">
        <v>4114</v>
      </c>
      <c r="W41" t="s">
        <v>4133</v>
      </c>
      <c r="X41" t="s">
        <v>2494</v>
      </c>
      <c r="Y41" t="s">
        <v>4116</v>
      </c>
    </row>
    <row r="42" spans="1:25" x14ac:dyDescent="0.25">
      <c r="A42">
        <v>41</v>
      </c>
      <c r="B42">
        <v>60474202</v>
      </c>
      <c r="C42" t="s">
        <v>2948</v>
      </c>
      <c r="D42" t="s">
        <v>117</v>
      </c>
      <c r="E42" t="s">
        <v>90</v>
      </c>
      <c r="F42" t="s">
        <v>91</v>
      </c>
      <c r="G42" t="s">
        <v>2515</v>
      </c>
      <c r="H42" t="s">
        <v>2949</v>
      </c>
      <c r="I42" t="s">
        <v>2890</v>
      </c>
      <c r="J42" t="s">
        <v>1714</v>
      </c>
      <c r="K42" t="s">
        <v>112</v>
      </c>
      <c r="L42">
        <v>448</v>
      </c>
      <c r="M42">
        <v>0.59444444444444444</v>
      </c>
      <c r="N42">
        <v>14.266666666666666</v>
      </c>
      <c r="O42" t="s">
        <v>3900</v>
      </c>
      <c r="P42" t="s">
        <v>2486</v>
      </c>
      <c r="Q42">
        <v>2022</v>
      </c>
      <c r="R42">
        <v>2013</v>
      </c>
      <c r="S42" s="1">
        <v>46033</v>
      </c>
      <c r="T42" s="1">
        <v>46030</v>
      </c>
      <c r="U42" t="s">
        <v>4129</v>
      </c>
      <c r="V42" t="s">
        <v>4114</v>
      </c>
      <c r="W42" t="s">
        <v>4115</v>
      </c>
      <c r="X42" t="s">
        <v>2603</v>
      </c>
      <c r="Y42" t="s">
        <v>4116</v>
      </c>
    </row>
    <row r="43" spans="1:25" x14ac:dyDescent="0.25">
      <c r="A43">
        <v>42</v>
      </c>
      <c r="B43">
        <v>11371813</v>
      </c>
      <c r="C43" t="s">
        <v>2950</v>
      </c>
      <c r="D43" t="s">
        <v>119</v>
      </c>
      <c r="E43" t="s">
        <v>39</v>
      </c>
      <c r="F43" t="s">
        <v>120</v>
      </c>
      <c r="H43" t="s">
        <v>2951</v>
      </c>
      <c r="I43" t="s">
        <v>2901</v>
      </c>
      <c r="J43" t="s">
        <v>1668</v>
      </c>
      <c r="K43" t="s">
        <v>2488</v>
      </c>
      <c r="L43">
        <v>511</v>
      </c>
      <c r="P43" t="s">
        <v>2494</v>
      </c>
      <c r="Q43">
        <v>2009</v>
      </c>
      <c r="R43">
        <v>2007</v>
      </c>
      <c r="S43" s="1">
        <v>46031</v>
      </c>
      <c r="T43" s="1">
        <v>46008</v>
      </c>
      <c r="U43" t="s">
        <v>4117</v>
      </c>
      <c r="V43" t="s">
        <v>4114</v>
      </c>
      <c r="W43" t="s">
        <v>4118</v>
      </c>
      <c r="X43" t="s">
        <v>4119</v>
      </c>
      <c r="Y43" t="s">
        <v>4116</v>
      </c>
    </row>
    <row r="44" spans="1:25" x14ac:dyDescent="0.25">
      <c r="A44">
        <v>43</v>
      </c>
      <c r="B44">
        <v>241307971</v>
      </c>
      <c r="C44" t="s">
        <v>2952</v>
      </c>
      <c r="D44" t="s">
        <v>124</v>
      </c>
      <c r="E44" t="s">
        <v>125</v>
      </c>
      <c r="F44" t="s">
        <v>126</v>
      </c>
      <c r="G44" t="s">
        <v>2518</v>
      </c>
      <c r="H44" t="s">
        <v>2953</v>
      </c>
      <c r="I44" t="s">
        <v>2890</v>
      </c>
      <c r="J44" t="s">
        <v>2519</v>
      </c>
      <c r="K44" t="s">
        <v>112</v>
      </c>
      <c r="L44">
        <v>736</v>
      </c>
      <c r="M44">
        <v>0.95763888888888893</v>
      </c>
      <c r="N44">
        <v>22.983333333333334</v>
      </c>
      <c r="O44" t="s">
        <v>3901</v>
      </c>
      <c r="P44" t="s">
        <v>2494</v>
      </c>
      <c r="Q44">
        <v>2025</v>
      </c>
      <c r="R44">
        <v>2025</v>
      </c>
      <c r="S44" s="1">
        <v>46029</v>
      </c>
      <c r="T44" s="1">
        <v>46022</v>
      </c>
      <c r="U44" t="s">
        <v>4129</v>
      </c>
      <c r="V44" t="s">
        <v>4114</v>
      </c>
      <c r="W44" t="s">
        <v>4121</v>
      </c>
      <c r="X44" t="s">
        <v>2603</v>
      </c>
      <c r="Y44" t="s">
        <v>4116</v>
      </c>
    </row>
    <row r="45" spans="1:25" x14ac:dyDescent="0.25">
      <c r="A45">
        <v>44</v>
      </c>
      <c r="B45">
        <v>29338611</v>
      </c>
      <c r="C45" t="s">
        <v>2954</v>
      </c>
      <c r="D45" t="s">
        <v>130</v>
      </c>
      <c r="E45" t="s">
        <v>127</v>
      </c>
      <c r="F45" t="s">
        <v>128</v>
      </c>
      <c r="H45" t="s">
        <v>2955</v>
      </c>
      <c r="I45" t="s">
        <v>2917</v>
      </c>
      <c r="J45" t="s">
        <v>1719</v>
      </c>
      <c r="K45" t="s">
        <v>57</v>
      </c>
      <c r="L45">
        <v>536</v>
      </c>
      <c r="P45" t="s">
        <v>2486</v>
      </c>
      <c r="Q45">
        <v>2016</v>
      </c>
      <c r="R45">
        <v>2014</v>
      </c>
      <c r="S45" s="1">
        <v>46024</v>
      </c>
      <c r="T45" s="1">
        <v>45898</v>
      </c>
      <c r="U45" t="s">
        <v>4120</v>
      </c>
      <c r="V45" t="s">
        <v>4114</v>
      </c>
      <c r="W45" t="s">
        <v>4121</v>
      </c>
      <c r="X45" t="s">
        <v>2603</v>
      </c>
      <c r="Y45" t="s">
        <v>4125</v>
      </c>
    </row>
    <row r="46" spans="1:25" x14ac:dyDescent="0.25">
      <c r="A46">
        <v>45</v>
      </c>
      <c r="B46">
        <v>243102569</v>
      </c>
      <c r="C46" t="s">
        <v>2956</v>
      </c>
      <c r="D46" t="s">
        <v>132</v>
      </c>
      <c r="E46" t="s">
        <v>133</v>
      </c>
      <c r="F46" t="s">
        <v>134</v>
      </c>
      <c r="H46" t="s">
        <v>2957</v>
      </c>
      <c r="I46" t="s">
        <v>2901</v>
      </c>
      <c r="J46" t="s">
        <v>1668</v>
      </c>
      <c r="K46" t="s">
        <v>2488</v>
      </c>
      <c r="L46">
        <v>440</v>
      </c>
      <c r="P46" t="s">
        <v>2494</v>
      </c>
      <c r="Q46">
        <v>2025</v>
      </c>
      <c r="R46">
        <v>2024</v>
      </c>
      <c r="S46" s="1">
        <v>46024</v>
      </c>
      <c r="T46" s="1">
        <v>46021</v>
      </c>
      <c r="U46" t="s">
        <v>4120</v>
      </c>
      <c r="V46" t="s">
        <v>4114</v>
      </c>
      <c r="W46" t="s">
        <v>4115</v>
      </c>
      <c r="X46" t="s">
        <v>2603</v>
      </c>
      <c r="Y46" t="s">
        <v>4125</v>
      </c>
    </row>
    <row r="47" spans="1:25" x14ac:dyDescent="0.25">
      <c r="A47">
        <v>46</v>
      </c>
      <c r="B47">
        <v>218427979</v>
      </c>
      <c r="C47" t="s">
        <v>2958</v>
      </c>
      <c r="D47" t="s">
        <v>136</v>
      </c>
      <c r="E47" t="s">
        <v>80</v>
      </c>
      <c r="F47" t="s">
        <v>81</v>
      </c>
      <c r="H47" t="s">
        <v>2959</v>
      </c>
      <c r="I47" t="s">
        <v>2890</v>
      </c>
      <c r="J47" t="s">
        <v>1700</v>
      </c>
      <c r="K47" t="s">
        <v>2488</v>
      </c>
      <c r="L47">
        <v>528</v>
      </c>
      <c r="P47" t="s">
        <v>2494</v>
      </c>
      <c r="Q47">
        <v>2024</v>
      </c>
      <c r="R47">
        <v>2023</v>
      </c>
      <c r="S47" s="1">
        <v>45995</v>
      </c>
      <c r="T47" s="1">
        <v>45976</v>
      </c>
      <c r="U47" t="s">
        <v>4136</v>
      </c>
      <c r="V47" t="s">
        <v>4114</v>
      </c>
      <c r="W47" t="s">
        <v>4137</v>
      </c>
      <c r="X47" t="s">
        <v>2603</v>
      </c>
      <c r="Y47" t="s">
        <v>4125</v>
      </c>
    </row>
    <row r="48" spans="1:25" x14ac:dyDescent="0.25">
      <c r="A48">
        <v>47</v>
      </c>
      <c r="B48">
        <v>241234546</v>
      </c>
      <c r="C48" t="s">
        <v>137</v>
      </c>
      <c r="D48" t="s">
        <v>17</v>
      </c>
      <c r="E48" t="s">
        <v>138</v>
      </c>
      <c r="F48" t="s">
        <v>139</v>
      </c>
      <c r="H48" t="s">
        <v>2960</v>
      </c>
      <c r="I48" t="s">
        <v>2933</v>
      </c>
      <c r="J48" t="s">
        <v>1723</v>
      </c>
      <c r="K48" t="s">
        <v>2488</v>
      </c>
      <c r="L48">
        <v>240</v>
      </c>
      <c r="P48" t="s">
        <v>2494</v>
      </c>
      <c r="Q48">
        <v>2025</v>
      </c>
      <c r="R48">
        <v>2025</v>
      </c>
      <c r="S48" s="1">
        <v>45985</v>
      </c>
      <c r="T48" s="1">
        <v>45963</v>
      </c>
      <c r="U48" t="s">
        <v>4130</v>
      </c>
      <c r="V48" t="s">
        <v>4131</v>
      </c>
      <c r="W48" t="s">
        <v>4133</v>
      </c>
      <c r="X48" t="s">
        <v>2494</v>
      </c>
      <c r="Y48" t="s">
        <v>4116</v>
      </c>
    </row>
    <row r="49" spans="1:25" x14ac:dyDescent="0.25">
      <c r="A49">
        <v>48</v>
      </c>
      <c r="B49">
        <v>231389589</v>
      </c>
      <c r="C49" t="s">
        <v>140</v>
      </c>
      <c r="D49" t="s">
        <v>17</v>
      </c>
      <c r="E49" t="s">
        <v>141</v>
      </c>
      <c r="F49" t="s">
        <v>142</v>
      </c>
      <c r="G49" t="s">
        <v>2520</v>
      </c>
      <c r="H49" t="s">
        <v>2961</v>
      </c>
      <c r="I49" t="s">
        <v>2890</v>
      </c>
      <c r="J49" t="s">
        <v>1725</v>
      </c>
      <c r="K49" t="s">
        <v>112</v>
      </c>
      <c r="M49">
        <v>0.47152777777777777</v>
      </c>
      <c r="N49">
        <v>11.316666666666666</v>
      </c>
      <c r="O49" t="s">
        <v>3902</v>
      </c>
      <c r="P49" t="s">
        <v>2486</v>
      </c>
      <c r="Q49">
        <v>2025</v>
      </c>
      <c r="R49">
        <v>2024</v>
      </c>
      <c r="S49" s="1">
        <v>45981</v>
      </c>
      <c r="T49" s="1">
        <v>45898</v>
      </c>
      <c r="U49" t="s">
        <v>4140</v>
      </c>
      <c r="V49" t="s">
        <v>4131</v>
      </c>
      <c r="W49" t="s">
        <v>4121</v>
      </c>
      <c r="X49" t="s">
        <v>2603</v>
      </c>
      <c r="Y49" t="s">
        <v>4116</v>
      </c>
    </row>
    <row r="50" spans="1:25" x14ac:dyDescent="0.25">
      <c r="A50">
        <v>49</v>
      </c>
      <c r="B50">
        <v>61749891</v>
      </c>
      <c r="C50" t="s">
        <v>143</v>
      </c>
      <c r="D50" t="s">
        <v>17</v>
      </c>
      <c r="E50" t="s">
        <v>144</v>
      </c>
      <c r="F50" t="s">
        <v>145</v>
      </c>
      <c r="H50" t="s">
        <v>2962</v>
      </c>
      <c r="I50" t="s">
        <v>2890</v>
      </c>
      <c r="J50" t="s">
        <v>1727</v>
      </c>
      <c r="K50" t="s">
        <v>2488</v>
      </c>
      <c r="L50">
        <v>328</v>
      </c>
      <c r="P50" t="s">
        <v>2494</v>
      </c>
      <c r="Q50">
        <v>2022</v>
      </c>
      <c r="R50">
        <v>2021</v>
      </c>
      <c r="S50" s="1">
        <v>45980</v>
      </c>
      <c r="T50" s="1">
        <v>45975</v>
      </c>
      <c r="U50" t="s">
        <v>4129</v>
      </c>
      <c r="V50" t="s">
        <v>4114</v>
      </c>
      <c r="W50" t="s">
        <v>4115</v>
      </c>
      <c r="X50" t="s">
        <v>2603</v>
      </c>
      <c r="Y50" t="s">
        <v>4125</v>
      </c>
    </row>
    <row r="51" spans="1:25" x14ac:dyDescent="0.25">
      <c r="A51">
        <v>50</v>
      </c>
      <c r="B51">
        <v>60429887</v>
      </c>
      <c r="C51" t="s">
        <v>2963</v>
      </c>
      <c r="D51" t="s">
        <v>147</v>
      </c>
      <c r="E51" t="s">
        <v>90</v>
      </c>
      <c r="F51" t="s">
        <v>91</v>
      </c>
      <c r="G51" t="s">
        <v>2515</v>
      </c>
      <c r="H51" t="s">
        <v>2964</v>
      </c>
      <c r="I51" t="s">
        <v>2890</v>
      </c>
      <c r="J51" t="s">
        <v>1714</v>
      </c>
      <c r="K51" t="s">
        <v>112</v>
      </c>
      <c r="M51">
        <v>0.50277777777777777</v>
      </c>
      <c r="N51">
        <v>12.066666666666666</v>
      </c>
      <c r="O51" t="s">
        <v>3903</v>
      </c>
      <c r="P51" t="s">
        <v>2486</v>
      </c>
      <c r="Q51">
        <v>2021</v>
      </c>
      <c r="R51">
        <v>2012</v>
      </c>
      <c r="S51" s="1">
        <v>45976</v>
      </c>
      <c r="T51" s="1">
        <v>45974</v>
      </c>
      <c r="U51" t="s">
        <v>4129</v>
      </c>
      <c r="V51" t="s">
        <v>4114</v>
      </c>
      <c r="W51" t="s">
        <v>4115</v>
      </c>
      <c r="X51" t="s">
        <v>2603</v>
      </c>
      <c r="Y51" t="s">
        <v>4116</v>
      </c>
    </row>
    <row r="52" spans="1:25" x14ac:dyDescent="0.25">
      <c r="A52">
        <v>51</v>
      </c>
      <c r="B52">
        <v>222977739</v>
      </c>
      <c r="C52" t="s">
        <v>148</v>
      </c>
      <c r="D52" t="s">
        <v>17</v>
      </c>
      <c r="E52" t="s">
        <v>149</v>
      </c>
      <c r="F52" t="s">
        <v>150</v>
      </c>
      <c r="G52" t="s">
        <v>2521</v>
      </c>
      <c r="H52" t="s">
        <v>2965</v>
      </c>
      <c r="I52" t="s">
        <v>2890</v>
      </c>
      <c r="J52" t="s">
        <v>2499</v>
      </c>
      <c r="K52" t="s">
        <v>112</v>
      </c>
      <c r="L52">
        <v>288</v>
      </c>
      <c r="M52">
        <v>0.33333333333333331</v>
      </c>
      <c r="N52">
        <v>8</v>
      </c>
      <c r="O52" t="s">
        <v>3904</v>
      </c>
      <c r="P52" t="s">
        <v>2486</v>
      </c>
      <c r="Q52">
        <v>2024</v>
      </c>
      <c r="R52">
        <v>2021</v>
      </c>
      <c r="S52" s="1">
        <v>45975</v>
      </c>
      <c r="T52" s="1">
        <v>45963</v>
      </c>
      <c r="U52" t="s">
        <v>4129</v>
      </c>
      <c r="V52" t="s">
        <v>4114</v>
      </c>
      <c r="W52" t="s">
        <v>4121</v>
      </c>
      <c r="X52" t="s">
        <v>2603</v>
      </c>
      <c r="Y52" t="s">
        <v>4125</v>
      </c>
    </row>
    <row r="53" spans="1:25" x14ac:dyDescent="0.25">
      <c r="A53">
        <v>52</v>
      </c>
      <c r="B53">
        <v>60407216</v>
      </c>
      <c r="C53" t="s">
        <v>2966</v>
      </c>
      <c r="D53" t="s">
        <v>152</v>
      </c>
      <c r="E53" t="s">
        <v>90</v>
      </c>
      <c r="F53" t="s">
        <v>91</v>
      </c>
      <c r="G53" t="s">
        <v>2515</v>
      </c>
      <c r="H53" t="s">
        <v>2967</v>
      </c>
      <c r="I53" t="s">
        <v>2901</v>
      </c>
      <c r="J53" t="s">
        <v>1714</v>
      </c>
      <c r="K53" t="s">
        <v>112</v>
      </c>
      <c r="M53">
        <v>0.59027777777777779</v>
      </c>
      <c r="N53">
        <v>14.166666666666668</v>
      </c>
      <c r="O53" t="s">
        <v>3905</v>
      </c>
      <c r="P53" t="s">
        <v>2486</v>
      </c>
      <c r="Q53">
        <v>2022</v>
      </c>
      <c r="R53">
        <v>2011</v>
      </c>
      <c r="S53" s="1">
        <v>45974</v>
      </c>
      <c r="T53" s="1">
        <v>45963</v>
      </c>
      <c r="U53" t="s">
        <v>4129</v>
      </c>
      <c r="V53" t="s">
        <v>4114</v>
      </c>
      <c r="W53" t="s">
        <v>4115</v>
      </c>
      <c r="X53" t="s">
        <v>2603</v>
      </c>
      <c r="Y53" t="s">
        <v>4116</v>
      </c>
    </row>
    <row r="54" spans="1:25" x14ac:dyDescent="0.25">
      <c r="A54">
        <v>53</v>
      </c>
      <c r="B54">
        <v>220697455</v>
      </c>
      <c r="C54" t="s">
        <v>2968</v>
      </c>
      <c r="D54" t="s">
        <v>154</v>
      </c>
      <c r="E54" t="s">
        <v>133</v>
      </c>
      <c r="F54" t="s">
        <v>134</v>
      </c>
      <c r="H54" t="s">
        <v>2969</v>
      </c>
      <c r="I54" t="s">
        <v>2901</v>
      </c>
      <c r="J54" t="s">
        <v>1668</v>
      </c>
      <c r="K54" t="s">
        <v>2488</v>
      </c>
      <c r="L54">
        <v>432</v>
      </c>
      <c r="P54" t="s">
        <v>2494</v>
      </c>
      <c r="Q54">
        <v>2024</v>
      </c>
      <c r="R54">
        <v>2024</v>
      </c>
      <c r="S54" s="1">
        <v>45973</v>
      </c>
      <c r="T54" s="1">
        <v>45947</v>
      </c>
      <c r="U54" t="s">
        <v>4120</v>
      </c>
      <c r="V54" t="s">
        <v>4114</v>
      </c>
      <c r="W54" t="s">
        <v>4115</v>
      </c>
      <c r="X54" t="s">
        <v>2603</v>
      </c>
      <c r="Y54" t="s">
        <v>4125</v>
      </c>
    </row>
    <row r="55" spans="1:25" x14ac:dyDescent="0.25">
      <c r="A55">
        <v>54</v>
      </c>
      <c r="B55">
        <v>55598555</v>
      </c>
      <c r="C55" t="s">
        <v>2522</v>
      </c>
      <c r="D55" t="s">
        <v>2523</v>
      </c>
      <c r="E55" t="s">
        <v>157</v>
      </c>
      <c r="F55" t="s">
        <v>158</v>
      </c>
      <c r="H55" t="s">
        <v>2970</v>
      </c>
      <c r="I55" t="s">
        <v>2901</v>
      </c>
      <c r="J55" t="s">
        <v>1982</v>
      </c>
      <c r="K55" t="s">
        <v>2488</v>
      </c>
      <c r="L55">
        <v>192</v>
      </c>
      <c r="P55" t="s">
        <v>2494</v>
      </c>
      <c r="Q55">
        <v>2025</v>
      </c>
      <c r="R55">
        <v>2021</v>
      </c>
      <c r="S55" s="1">
        <v>45965</v>
      </c>
      <c r="T55" s="1">
        <v>45944</v>
      </c>
      <c r="U55" t="s">
        <v>4122</v>
      </c>
      <c r="V55" t="s">
        <v>4114</v>
      </c>
      <c r="W55" t="s">
        <v>4115</v>
      </c>
      <c r="X55" t="s">
        <v>2603</v>
      </c>
      <c r="Y55" t="s">
        <v>4125</v>
      </c>
    </row>
    <row r="56" spans="1:25" x14ac:dyDescent="0.25">
      <c r="A56">
        <v>55</v>
      </c>
      <c r="B56">
        <v>56053728</v>
      </c>
      <c r="C56" t="s">
        <v>2971</v>
      </c>
      <c r="D56" t="s">
        <v>162</v>
      </c>
      <c r="E56" t="s">
        <v>163</v>
      </c>
      <c r="F56" t="s">
        <v>164</v>
      </c>
      <c r="G56" t="s">
        <v>2524</v>
      </c>
      <c r="H56" t="s">
        <v>2972</v>
      </c>
      <c r="I56" t="s">
        <v>2901</v>
      </c>
      <c r="J56" t="s">
        <v>2525</v>
      </c>
      <c r="K56" t="s">
        <v>112</v>
      </c>
      <c r="L56">
        <v>644</v>
      </c>
      <c r="M56">
        <v>1.2395833333333333</v>
      </c>
      <c r="N56">
        <v>29.75</v>
      </c>
      <c r="O56" t="s">
        <v>3906</v>
      </c>
      <c r="P56" t="s">
        <v>2494</v>
      </c>
      <c r="Q56">
        <v>2025</v>
      </c>
      <c r="R56">
        <v>2019</v>
      </c>
      <c r="S56" s="1">
        <v>45962</v>
      </c>
      <c r="T56" s="1">
        <v>45949</v>
      </c>
      <c r="U56" t="s">
        <v>4138</v>
      </c>
      <c r="V56" t="s">
        <v>4114</v>
      </c>
      <c r="W56" t="s">
        <v>4141</v>
      </c>
      <c r="X56" t="s">
        <v>2603</v>
      </c>
      <c r="Y56" t="s">
        <v>4125</v>
      </c>
    </row>
    <row r="57" spans="1:25" x14ac:dyDescent="0.25">
      <c r="A57">
        <v>56</v>
      </c>
      <c r="B57">
        <v>211221794</v>
      </c>
      <c r="C57" t="s">
        <v>2973</v>
      </c>
      <c r="D57" t="s">
        <v>166</v>
      </c>
      <c r="E57" t="s">
        <v>167</v>
      </c>
      <c r="F57" t="s">
        <v>168</v>
      </c>
      <c r="H57" t="s">
        <v>2974</v>
      </c>
      <c r="I57" t="s">
        <v>2890</v>
      </c>
      <c r="J57" t="s">
        <v>1735</v>
      </c>
      <c r="K57" t="s">
        <v>57</v>
      </c>
      <c r="L57">
        <v>440</v>
      </c>
      <c r="P57" t="s">
        <v>2486</v>
      </c>
      <c r="Q57">
        <v>2024</v>
      </c>
      <c r="R57">
        <v>2022</v>
      </c>
      <c r="S57" s="1">
        <v>45962</v>
      </c>
      <c r="T57" s="1">
        <v>45949</v>
      </c>
      <c r="U57" t="s">
        <v>4126</v>
      </c>
      <c r="V57" t="s">
        <v>4114</v>
      </c>
      <c r="W57" t="s">
        <v>4142</v>
      </c>
      <c r="X57" t="s">
        <v>4143</v>
      </c>
      <c r="Y57" t="s">
        <v>4125</v>
      </c>
    </row>
    <row r="58" spans="1:25" x14ac:dyDescent="0.25">
      <c r="A58">
        <v>57</v>
      </c>
      <c r="B58">
        <v>20871473</v>
      </c>
      <c r="C58" t="s">
        <v>169</v>
      </c>
      <c r="D58" t="s">
        <v>17</v>
      </c>
      <c r="E58" t="s">
        <v>170</v>
      </c>
      <c r="F58" t="s">
        <v>171</v>
      </c>
      <c r="H58" t="s">
        <v>2975</v>
      </c>
      <c r="I58" t="s">
        <v>2890</v>
      </c>
      <c r="J58" t="s">
        <v>2976</v>
      </c>
      <c r="K58" t="s">
        <v>57</v>
      </c>
      <c r="L58">
        <v>480</v>
      </c>
      <c r="P58" t="s">
        <v>2486</v>
      </c>
      <c r="Q58">
        <v>2014</v>
      </c>
      <c r="R58">
        <v>2014</v>
      </c>
      <c r="S58" s="1">
        <v>45946</v>
      </c>
      <c r="T58" s="1">
        <v>45928</v>
      </c>
      <c r="U58" t="s">
        <v>4129</v>
      </c>
      <c r="V58" t="s">
        <v>4114</v>
      </c>
      <c r="W58" t="s">
        <v>4144</v>
      </c>
      <c r="X58" t="s">
        <v>4124</v>
      </c>
      <c r="Y58" t="s">
        <v>4116</v>
      </c>
    </row>
    <row r="59" spans="1:25" x14ac:dyDescent="0.25">
      <c r="A59">
        <v>58</v>
      </c>
      <c r="B59">
        <v>7726923</v>
      </c>
      <c r="C59" t="s">
        <v>2977</v>
      </c>
      <c r="D59" t="s">
        <v>173</v>
      </c>
      <c r="E59" t="s">
        <v>174</v>
      </c>
      <c r="F59" t="s">
        <v>175</v>
      </c>
      <c r="G59" t="s">
        <v>2526</v>
      </c>
      <c r="H59" t="s">
        <v>2978</v>
      </c>
      <c r="I59" t="s">
        <v>2890</v>
      </c>
      <c r="J59" t="s">
        <v>2492</v>
      </c>
      <c r="K59" t="s">
        <v>112</v>
      </c>
      <c r="L59">
        <v>318</v>
      </c>
      <c r="M59">
        <v>0.42152777777777778</v>
      </c>
      <c r="N59">
        <v>10.116666666666667</v>
      </c>
      <c r="O59" t="s">
        <v>3907</v>
      </c>
      <c r="P59" t="s">
        <v>2486</v>
      </c>
      <c r="Q59">
        <v>2007</v>
      </c>
      <c r="R59">
        <v>2003</v>
      </c>
      <c r="S59" s="1">
        <v>45937</v>
      </c>
      <c r="T59" s="1">
        <v>45933</v>
      </c>
      <c r="U59" t="s">
        <v>4120</v>
      </c>
      <c r="V59" t="s">
        <v>4114</v>
      </c>
      <c r="W59" t="s">
        <v>4115</v>
      </c>
      <c r="X59" t="s">
        <v>2603</v>
      </c>
      <c r="Y59" t="s">
        <v>4116</v>
      </c>
    </row>
    <row r="60" spans="1:25" x14ac:dyDescent="0.25">
      <c r="A60">
        <v>59</v>
      </c>
      <c r="B60">
        <v>217252251</v>
      </c>
      <c r="C60" t="s">
        <v>176</v>
      </c>
      <c r="D60" t="s">
        <v>17</v>
      </c>
      <c r="E60" t="s">
        <v>177</v>
      </c>
      <c r="F60" t="s">
        <v>178</v>
      </c>
      <c r="H60" t="s">
        <v>2979</v>
      </c>
      <c r="I60" t="s">
        <v>2901</v>
      </c>
      <c r="J60" t="s">
        <v>1723</v>
      </c>
      <c r="K60" t="s">
        <v>2488</v>
      </c>
      <c r="L60">
        <v>416</v>
      </c>
      <c r="P60" t="s">
        <v>2494</v>
      </c>
      <c r="Q60">
        <v>2024</v>
      </c>
      <c r="R60">
        <v>1996</v>
      </c>
      <c r="S60" s="1">
        <v>45935</v>
      </c>
      <c r="T60" s="1">
        <v>45933</v>
      </c>
      <c r="U60" t="s">
        <v>4138</v>
      </c>
      <c r="V60" t="s">
        <v>4114</v>
      </c>
      <c r="W60" t="s">
        <v>4141</v>
      </c>
      <c r="X60" t="s">
        <v>2603</v>
      </c>
      <c r="Y60" t="s">
        <v>4125</v>
      </c>
    </row>
    <row r="61" spans="1:25" x14ac:dyDescent="0.25">
      <c r="A61">
        <v>60</v>
      </c>
      <c r="B61">
        <v>18393638</v>
      </c>
      <c r="C61" t="s">
        <v>179</v>
      </c>
      <c r="D61" t="s">
        <v>17</v>
      </c>
      <c r="E61" t="s">
        <v>180</v>
      </c>
      <c r="F61" t="s">
        <v>181</v>
      </c>
      <c r="H61" t="s">
        <v>2980</v>
      </c>
      <c r="I61" t="s">
        <v>2890</v>
      </c>
      <c r="J61" t="s">
        <v>1741</v>
      </c>
      <c r="K61" t="s">
        <v>57</v>
      </c>
      <c r="L61">
        <v>272</v>
      </c>
      <c r="P61" t="s">
        <v>2486</v>
      </c>
      <c r="Q61">
        <v>2002</v>
      </c>
      <c r="R61">
        <v>1992</v>
      </c>
      <c r="S61" s="1">
        <v>45972</v>
      </c>
      <c r="T61" s="1">
        <v>45933</v>
      </c>
      <c r="U61" t="s">
        <v>4140</v>
      </c>
      <c r="V61" t="s">
        <v>4131</v>
      </c>
      <c r="W61" t="s">
        <v>4121</v>
      </c>
      <c r="X61" t="s">
        <v>2603</v>
      </c>
      <c r="Y61" t="s">
        <v>4116</v>
      </c>
    </row>
    <row r="62" spans="1:25" x14ac:dyDescent="0.25">
      <c r="A62">
        <v>61</v>
      </c>
      <c r="B62">
        <v>55099203</v>
      </c>
      <c r="C62" t="s">
        <v>2981</v>
      </c>
      <c r="D62" t="s">
        <v>183</v>
      </c>
      <c r="E62" t="s">
        <v>184</v>
      </c>
      <c r="F62" t="s">
        <v>185</v>
      </c>
      <c r="G62" t="s">
        <v>2527</v>
      </c>
      <c r="H62" t="s">
        <v>2982</v>
      </c>
      <c r="I62" t="s">
        <v>2901</v>
      </c>
      <c r="J62" t="s">
        <v>2492</v>
      </c>
      <c r="K62" t="s">
        <v>112</v>
      </c>
      <c r="L62">
        <v>464</v>
      </c>
      <c r="M62">
        <v>0.83472222222222225</v>
      </c>
      <c r="N62">
        <v>20.033333333333335</v>
      </c>
      <c r="O62" t="s">
        <v>3908</v>
      </c>
      <c r="P62" t="s">
        <v>2486</v>
      </c>
      <c r="Q62">
        <v>2020</v>
      </c>
      <c r="R62">
        <v>2020</v>
      </c>
      <c r="S62" s="1">
        <v>45916</v>
      </c>
      <c r="T62" s="1">
        <v>45911</v>
      </c>
      <c r="U62" t="s">
        <v>4117</v>
      </c>
      <c r="V62" t="s">
        <v>4114</v>
      </c>
      <c r="W62" t="s">
        <v>4118</v>
      </c>
      <c r="X62" t="s">
        <v>4119</v>
      </c>
      <c r="Y62" t="s">
        <v>4145</v>
      </c>
    </row>
    <row r="63" spans="1:25" x14ac:dyDescent="0.25">
      <c r="A63">
        <v>62</v>
      </c>
      <c r="B63">
        <v>222715653</v>
      </c>
      <c r="C63" t="s">
        <v>186</v>
      </c>
      <c r="D63" t="s">
        <v>17</v>
      </c>
      <c r="E63" t="s">
        <v>20</v>
      </c>
      <c r="F63" t="s">
        <v>187</v>
      </c>
      <c r="H63" t="s">
        <v>2983</v>
      </c>
      <c r="I63" t="s">
        <v>2901</v>
      </c>
      <c r="J63" t="s">
        <v>1744</v>
      </c>
      <c r="K63" t="s">
        <v>2488</v>
      </c>
      <c r="L63">
        <v>180</v>
      </c>
      <c r="P63" t="s">
        <v>2494</v>
      </c>
      <c r="Q63">
        <v>2024</v>
      </c>
      <c r="R63">
        <v>2024</v>
      </c>
      <c r="S63" s="1">
        <v>45913</v>
      </c>
      <c r="T63" s="1">
        <v>45694</v>
      </c>
      <c r="U63" t="s">
        <v>4140</v>
      </c>
      <c r="V63" t="s">
        <v>4131</v>
      </c>
      <c r="W63" t="s">
        <v>4133</v>
      </c>
      <c r="X63" t="s">
        <v>2494</v>
      </c>
      <c r="Y63" t="s">
        <v>4125</v>
      </c>
    </row>
    <row r="64" spans="1:25" x14ac:dyDescent="0.25">
      <c r="A64">
        <v>63</v>
      </c>
      <c r="B64">
        <v>58726113</v>
      </c>
      <c r="C64" t="s">
        <v>188</v>
      </c>
      <c r="D64" t="s">
        <v>17</v>
      </c>
      <c r="E64" t="s">
        <v>159</v>
      </c>
      <c r="F64" t="s">
        <v>160</v>
      </c>
      <c r="H64" t="s">
        <v>2984</v>
      </c>
      <c r="I64" t="s">
        <v>2901</v>
      </c>
      <c r="J64" t="s">
        <v>1746</v>
      </c>
      <c r="K64" t="s">
        <v>2488</v>
      </c>
      <c r="L64">
        <v>224</v>
      </c>
      <c r="P64" t="s">
        <v>2494</v>
      </c>
      <c r="Q64">
        <v>2021</v>
      </c>
      <c r="R64">
        <v>2021</v>
      </c>
      <c r="S64" s="1">
        <v>45907</v>
      </c>
      <c r="T64" s="1">
        <v>45903</v>
      </c>
      <c r="U64" t="s">
        <v>4146</v>
      </c>
      <c r="V64" t="s">
        <v>4114</v>
      </c>
      <c r="W64" t="s">
        <v>4133</v>
      </c>
      <c r="X64" t="s">
        <v>2494</v>
      </c>
      <c r="Y64" t="s">
        <v>4147</v>
      </c>
    </row>
    <row r="65" spans="1:25" x14ac:dyDescent="0.25">
      <c r="A65">
        <v>64</v>
      </c>
      <c r="B65">
        <v>18165624</v>
      </c>
      <c r="C65" t="s">
        <v>189</v>
      </c>
      <c r="D65" t="s">
        <v>17</v>
      </c>
      <c r="E65" t="s">
        <v>190</v>
      </c>
      <c r="F65" t="s">
        <v>191</v>
      </c>
      <c r="H65" t="s">
        <v>2985</v>
      </c>
      <c r="I65" t="s">
        <v>2890</v>
      </c>
      <c r="J65" t="s">
        <v>1748</v>
      </c>
      <c r="K65" t="s">
        <v>2488</v>
      </c>
      <c r="L65">
        <v>223</v>
      </c>
      <c r="P65" t="s">
        <v>2494</v>
      </c>
      <c r="Q65">
        <v>1992</v>
      </c>
      <c r="R65">
        <v>1992</v>
      </c>
      <c r="S65" s="1">
        <v>45906</v>
      </c>
      <c r="T65" s="1">
        <v>45898</v>
      </c>
      <c r="U65" t="s">
        <v>4117</v>
      </c>
      <c r="V65" t="s">
        <v>4114</v>
      </c>
      <c r="W65" t="s">
        <v>4121</v>
      </c>
      <c r="X65" t="s">
        <v>2603</v>
      </c>
      <c r="Y65" t="s">
        <v>4125</v>
      </c>
    </row>
    <row r="66" spans="1:25" x14ac:dyDescent="0.25">
      <c r="A66">
        <v>65</v>
      </c>
      <c r="B66">
        <v>6112238</v>
      </c>
      <c r="C66" t="s">
        <v>2986</v>
      </c>
      <c r="D66" t="s">
        <v>193</v>
      </c>
      <c r="E66" t="s">
        <v>174</v>
      </c>
      <c r="F66" t="s">
        <v>175</v>
      </c>
      <c r="G66" t="s">
        <v>2528</v>
      </c>
      <c r="H66" t="s">
        <v>2987</v>
      </c>
      <c r="I66" t="s">
        <v>2917</v>
      </c>
      <c r="J66" t="s">
        <v>2492</v>
      </c>
      <c r="K66" t="s">
        <v>112</v>
      </c>
      <c r="L66">
        <v>489</v>
      </c>
      <c r="M66">
        <v>0.61736111111111114</v>
      </c>
      <c r="N66">
        <v>14.816666666666666</v>
      </c>
      <c r="O66" t="s">
        <v>3909</v>
      </c>
      <c r="P66" t="s">
        <v>2486</v>
      </c>
      <c r="Q66">
        <v>2024</v>
      </c>
      <c r="R66">
        <v>1999</v>
      </c>
      <c r="S66" s="1">
        <v>45906</v>
      </c>
      <c r="T66" s="1">
        <v>45898</v>
      </c>
      <c r="U66" t="s">
        <v>4120</v>
      </c>
      <c r="V66" t="s">
        <v>4114</v>
      </c>
      <c r="W66" t="s">
        <v>4115</v>
      </c>
      <c r="X66" t="s">
        <v>2603</v>
      </c>
      <c r="Y66" t="s">
        <v>4116</v>
      </c>
    </row>
    <row r="67" spans="1:25" x14ac:dyDescent="0.25">
      <c r="A67">
        <v>66</v>
      </c>
      <c r="B67">
        <v>52294875</v>
      </c>
      <c r="C67" t="s">
        <v>194</v>
      </c>
      <c r="D67" t="s">
        <v>17</v>
      </c>
      <c r="E67" t="s">
        <v>195</v>
      </c>
      <c r="F67" t="s">
        <v>196</v>
      </c>
      <c r="G67" t="s">
        <v>195</v>
      </c>
      <c r="H67" t="s">
        <v>2988</v>
      </c>
      <c r="I67" t="s">
        <v>2890</v>
      </c>
      <c r="J67" t="s">
        <v>1687</v>
      </c>
      <c r="K67" t="s">
        <v>112</v>
      </c>
      <c r="L67">
        <v>328</v>
      </c>
      <c r="M67">
        <v>0.30625000000000002</v>
      </c>
      <c r="N67">
        <v>7.3500000000000005</v>
      </c>
      <c r="O67" t="s">
        <v>3910</v>
      </c>
      <c r="P67" t="s">
        <v>2486</v>
      </c>
      <c r="Q67">
        <v>2019</v>
      </c>
      <c r="R67">
        <v>2019</v>
      </c>
      <c r="S67" s="1">
        <v>45890</v>
      </c>
      <c r="T67" s="1">
        <v>45888</v>
      </c>
      <c r="U67" t="s">
        <v>4130</v>
      </c>
      <c r="V67" t="s">
        <v>4131</v>
      </c>
      <c r="W67" t="s">
        <v>4148</v>
      </c>
      <c r="X67" t="s">
        <v>2486</v>
      </c>
      <c r="Y67" t="s">
        <v>4125</v>
      </c>
    </row>
    <row r="68" spans="1:25" x14ac:dyDescent="0.25">
      <c r="A68">
        <v>67</v>
      </c>
      <c r="B68">
        <v>11371788</v>
      </c>
      <c r="C68" t="s">
        <v>2989</v>
      </c>
      <c r="D68" t="s">
        <v>200</v>
      </c>
      <c r="E68" t="s">
        <v>39</v>
      </c>
      <c r="F68" t="s">
        <v>120</v>
      </c>
      <c r="H68" t="s">
        <v>2990</v>
      </c>
      <c r="I68" t="s">
        <v>2890</v>
      </c>
      <c r="J68" t="s">
        <v>1668</v>
      </c>
      <c r="K68" t="s">
        <v>2488</v>
      </c>
      <c r="L68">
        <v>472</v>
      </c>
      <c r="P68" t="s">
        <v>2494</v>
      </c>
      <c r="Q68">
        <v>2009</v>
      </c>
      <c r="R68">
        <v>2006</v>
      </c>
      <c r="S68" s="1">
        <v>45885</v>
      </c>
      <c r="T68" s="1">
        <v>45873</v>
      </c>
      <c r="U68" t="s">
        <v>4117</v>
      </c>
      <c r="V68" t="s">
        <v>4114</v>
      </c>
      <c r="W68" t="s">
        <v>4118</v>
      </c>
      <c r="X68" t="s">
        <v>4119</v>
      </c>
      <c r="Y68" t="s">
        <v>4116</v>
      </c>
    </row>
    <row r="69" spans="1:25" x14ac:dyDescent="0.25">
      <c r="A69">
        <v>68</v>
      </c>
      <c r="B69">
        <v>208955216</v>
      </c>
      <c r="C69" t="s">
        <v>2991</v>
      </c>
      <c r="D69" t="s">
        <v>202</v>
      </c>
      <c r="E69" t="s">
        <v>203</v>
      </c>
      <c r="F69" t="s">
        <v>204</v>
      </c>
      <c r="G69" t="s">
        <v>2529</v>
      </c>
      <c r="H69" t="s">
        <v>2992</v>
      </c>
      <c r="I69" t="s">
        <v>2890</v>
      </c>
      <c r="J69" t="s">
        <v>1753</v>
      </c>
      <c r="K69" t="s">
        <v>112</v>
      </c>
      <c r="L69">
        <v>336</v>
      </c>
      <c r="M69">
        <v>0.43472222222222223</v>
      </c>
      <c r="N69">
        <v>10.433333333333334</v>
      </c>
      <c r="O69" t="s">
        <v>3911</v>
      </c>
      <c r="P69" t="s">
        <v>2486</v>
      </c>
      <c r="Q69">
        <v>2024</v>
      </c>
      <c r="R69">
        <v>2024</v>
      </c>
      <c r="S69" s="1">
        <v>45883</v>
      </c>
      <c r="T69" s="1">
        <v>45883</v>
      </c>
      <c r="U69" t="s">
        <v>4149</v>
      </c>
      <c r="V69" t="s">
        <v>4114</v>
      </c>
      <c r="W69" t="s">
        <v>4115</v>
      </c>
      <c r="X69" t="s">
        <v>2603</v>
      </c>
      <c r="Y69" t="s">
        <v>4125</v>
      </c>
    </row>
    <row r="70" spans="1:25" x14ac:dyDescent="0.25">
      <c r="A70">
        <v>69</v>
      </c>
      <c r="B70">
        <v>232434909</v>
      </c>
      <c r="C70" t="s">
        <v>2993</v>
      </c>
      <c r="D70" t="s">
        <v>206</v>
      </c>
      <c r="E70" t="s">
        <v>207</v>
      </c>
      <c r="F70" t="s">
        <v>208</v>
      </c>
      <c r="H70" t="s">
        <v>2994</v>
      </c>
      <c r="I70" t="s">
        <v>2901</v>
      </c>
      <c r="J70" t="s">
        <v>1755</v>
      </c>
      <c r="K70" t="s">
        <v>2488</v>
      </c>
      <c r="L70">
        <v>408</v>
      </c>
      <c r="P70" t="s">
        <v>2494</v>
      </c>
      <c r="Q70">
        <v>2025</v>
      </c>
      <c r="R70">
        <v>2024</v>
      </c>
      <c r="S70" s="1">
        <v>45881</v>
      </c>
      <c r="T70" s="1">
        <v>45858</v>
      </c>
      <c r="U70" t="s">
        <v>4117</v>
      </c>
      <c r="V70" t="s">
        <v>4114</v>
      </c>
      <c r="W70" t="s">
        <v>4118</v>
      </c>
      <c r="X70" t="s">
        <v>4119</v>
      </c>
      <c r="Y70" t="s">
        <v>4116</v>
      </c>
    </row>
    <row r="71" spans="1:25" x14ac:dyDescent="0.25">
      <c r="A71">
        <v>70</v>
      </c>
      <c r="B71">
        <v>237619820</v>
      </c>
      <c r="C71" t="s">
        <v>209</v>
      </c>
      <c r="D71" t="s">
        <v>17</v>
      </c>
      <c r="E71" t="s">
        <v>210</v>
      </c>
      <c r="F71" t="s">
        <v>211</v>
      </c>
      <c r="G71" t="s">
        <v>2530</v>
      </c>
      <c r="H71" t="s">
        <v>2995</v>
      </c>
      <c r="I71" t="s">
        <v>2917</v>
      </c>
      <c r="J71" t="s">
        <v>1725</v>
      </c>
      <c r="K71" t="s">
        <v>112</v>
      </c>
      <c r="L71">
        <v>320</v>
      </c>
      <c r="M71">
        <v>0.46180555555555558</v>
      </c>
      <c r="N71">
        <v>11.083333333333334</v>
      </c>
      <c r="O71" t="s">
        <v>3912</v>
      </c>
      <c r="P71" t="s">
        <v>2486</v>
      </c>
      <c r="Q71">
        <v>2025</v>
      </c>
      <c r="R71">
        <v>2024</v>
      </c>
      <c r="S71" s="1">
        <v>45877</v>
      </c>
      <c r="T71" s="1">
        <v>45875</v>
      </c>
      <c r="U71" t="s">
        <v>4140</v>
      </c>
      <c r="V71" t="s">
        <v>4131</v>
      </c>
      <c r="W71" t="s">
        <v>4121</v>
      </c>
      <c r="X71" t="s">
        <v>2603</v>
      </c>
      <c r="Y71" t="s">
        <v>4125</v>
      </c>
    </row>
    <row r="72" spans="1:25" x14ac:dyDescent="0.25">
      <c r="A72">
        <v>71</v>
      </c>
      <c r="B72">
        <v>11371765</v>
      </c>
      <c r="C72" t="s">
        <v>2996</v>
      </c>
      <c r="D72" t="s">
        <v>213</v>
      </c>
      <c r="E72" t="s">
        <v>39</v>
      </c>
      <c r="F72" t="s">
        <v>120</v>
      </c>
      <c r="H72" t="s">
        <v>2997</v>
      </c>
      <c r="I72" t="s">
        <v>2933</v>
      </c>
      <c r="J72" t="s">
        <v>1668</v>
      </c>
      <c r="K72" t="s">
        <v>2488</v>
      </c>
      <c r="L72">
        <v>424</v>
      </c>
      <c r="P72" t="s">
        <v>2494</v>
      </c>
      <c r="Q72">
        <v>2008</v>
      </c>
      <c r="R72">
        <v>2005</v>
      </c>
      <c r="S72" s="1">
        <v>45872</v>
      </c>
      <c r="T72" s="1">
        <v>45866</v>
      </c>
      <c r="U72" t="s">
        <v>4117</v>
      </c>
      <c r="V72" t="s">
        <v>4114</v>
      </c>
      <c r="W72" t="s">
        <v>4118</v>
      </c>
      <c r="X72" t="s">
        <v>4119</v>
      </c>
      <c r="Y72" t="s">
        <v>4116</v>
      </c>
    </row>
    <row r="73" spans="1:25" x14ac:dyDescent="0.25">
      <c r="A73">
        <v>72</v>
      </c>
      <c r="B73">
        <v>236032828</v>
      </c>
      <c r="C73" t="s">
        <v>214</v>
      </c>
      <c r="D73" t="s">
        <v>2533</v>
      </c>
      <c r="E73" t="s">
        <v>215</v>
      </c>
      <c r="F73" t="s">
        <v>216</v>
      </c>
      <c r="G73" t="s">
        <v>2531</v>
      </c>
      <c r="H73" t="s">
        <v>2998</v>
      </c>
      <c r="I73" t="s">
        <v>2890</v>
      </c>
      <c r="J73" t="s">
        <v>2532</v>
      </c>
      <c r="K73" t="s">
        <v>112</v>
      </c>
      <c r="L73">
        <v>296</v>
      </c>
      <c r="M73">
        <v>0.44097222222222221</v>
      </c>
      <c r="N73">
        <v>10.583333333333332</v>
      </c>
      <c r="O73" t="s">
        <v>3913</v>
      </c>
      <c r="P73" t="s">
        <v>2494</v>
      </c>
      <c r="Q73">
        <v>2025</v>
      </c>
      <c r="R73">
        <v>2025</v>
      </c>
      <c r="S73" s="1">
        <v>45872</v>
      </c>
      <c r="T73" s="1">
        <v>45868</v>
      </c>
      <c r="U73" t="s">
        <v>4117</v>
      </c>
      <c r="V73" t="s">
        <v>4114</v>
      </c>
      <c r="W73" t="s">
        <v>4133</v>
      </c>
      <c r="X73" t="s">
        <v>2494</v>
      </c>
      <c r="Y73" t="s">
        <v>4116</v>
      </c>
    </row>
    <row r="74" spans="1:25" x14ac:dyDescent="0.25">
      <c r="A74">
        <v>73</v>
      </c>
      <c r="B74">
        <v>221238183</v>
      </c>
      <c r="C74" t="s">
        <v>217</v>
      </c>
      <c r="D74" t="s">
        <v>2534</v>
      </c>
      <c r="E74" t="s">
        <v>215</v>
      </c>
      <c r="F74" t="s">
        <v>216</v>
      </c>
      <c r="G74" t="s">
        <v>2531</v>
      </c>
      <c r="H74" t="s">
        <v>2999</v>
      </c>
      <c r="I74" t="s">
        <v>2901</v>
      </c>
      <c r="J74" t="s">
        <v>2532</v>
      </c>
      <c r="K74" t="s">
        <v>112</v>
      </c>
      <c r="L74">
        <v>304</v>
      </c>
      <c r="M74">
        <v>0.49027777777777776</v>
      </c>
      <c r="N74">
        <v>11.766666666666666</v>
      </c>
      <c r="O74" t="s">
        <v>3914</v>
      </c>
      <c r="P74" t="s">
        <v>2494</v>
      </c>
      <c r="Q74">
        <v>2024</v>
      </c>
      <c r="R74">
        <v>2024</v>
      </c>
      <c r="S74" s="1">
        <v>45868</v>
      </c>
      <c r="T74" s="1">
        <v>45866</v>
      </c>
      <c r="U74" t="s">
        <v>4117</v>
      </c>
      <c r="V74" t="s">
        <v>4114</v>
      </c>
      <c r="W74" t="s">
        <v>4133</v>
      </c>
      <c r="X74" t="s">
        <v>2494</v>
      </c>
      <c r="Y74" t="s">
        <v>4116</v>
      </c>
    </row>
    <row r="75" spans="1:25" x14ac:dyDescent="0.25">
      <c r="A75">
        <v>74</v>
      </c>
      <c r="B75">
        <v>229109083</v>
      </c>
      <c r="C75" t="s">
        <v>3000</v>
      </c>
      <c r="D75" t="s">
        <v>219</v>
      </c>
      <c r="E75" t="s">
        <v>220</v>
      </c>
      <c r="F75" t="s">
        <v>221</v>
      </c>
      <c r="H75" t="s">
        <v>3001</v>
      </c>
      <c r="I75" t="s">
        <v>2890</v>
      </c>
      <c r="J75" t="s">
        <v>1762</v>
      </c>
      <c r="K75" t="s">
        <v>57</v>
      </c>
      <c r="L75">
        <v>632</v>
      </c>
      <c r="P75" t="s">
        <v>2486</v>
      </c>
      <c r="Q75">
        <v>2025</v>
      </c>
      <c r="R75">
        <v>2025</v>
      </c>
      <c r="S75" s="1">
        <v>45865</v>
      </c>
      <c r="T75" s="1">
        <v>45836</v>
      </c>
      <c r="U75" t="s">
        <v>4149</v>
      </c>
      <c r="V75" t="s">
        <v>4114</v>
      </c>
      <c r="W75" t="s">
        <v>4121</v>
      </c>
      <c r="X75" t="s">
        <v>2603</v>
      </c>
      <c r="Y75" t="s">
        <v>4125</v>
      </c>
    </row>
    <row r="76" spans="1:25" x14ac:dyDescent="0.25">
      <c r="A76">
        <v>75</v>
      </c>
      <c r="B76">
        <v>214417127</v>
      </c>
      <c r="C76" t="s">
        <v>222</v>
      </c>
      <c r="D76" t="s">
        <v>2535</v>
      </c>
      <c r="E76" t="s">
        <v>215</v>
      </c>
      <c r="F76" t="s">
        <v>216</v>
      </c>
      <c r="G76" t="s">
        <v>2531</v>
      </c>
      <c r="H76" t="s">
        <v>3002</v>
      </c>
      <c r="I76" t="s">
        <v>2890</v>
      </c>
      <c r="J76" t="s">
        <v>2532</v>
      </c>
      <c r="K76" t="s">
        <v>112</v>
      </c>
      <c r="L76">
        <v>304</v>
      </c>
      <c r="M76">
        <v>0.47916666666666669</v>
      </c>
      <c r="N76">
        <v>11.5</v>
      </c>
      <c r="O76" t="s">
        <v>3915</v>
      </c>
      <c r="P76" t="s">
        <v>2494</v>
      </c>
      <c r="Q76">
        <v>2024</v>
      </c>
      <c r="R76">
        <v>2024</v>
      </c>
      <c r="S76" s="1">
        <v>45864</v>
      </c>
      <c r="T76" s="1">
        <v>45864</v>
      </c>
      <c r="U76" t="s">
        <v>4117</v>
      </c>
      <c r="V76" t="s">
        <v>4114</v>
      </c>
      <c r="W76" t="s">
        <v>4133</v>
      </c>
      <c r="X76" t="s">
        <v>2494</v>
      </c>
      <c r="Y76" t="s">
        <v>4116</v>
      </c>
    </row>
    <row r="77" spans="1:25" x14ac:dyDescent="0.25">
      <c r="A77">
        <v>76</v>
      </c>
      <c r="B77">
        <v>221941436</v>
      </c>
      <c r="C77" t="s">
        <v>223</v>
      </c>
      <c r="D77" t="s">
        <v>17</v>
      </c>
      <c r="E77" t="s">
        <v>224</v>
      </c>
      <c r="F77" t="s">
        <v>225</v>
      </c>
      <c r="G77" t="s">
        <v>2536</v>
      </c>
      <c r="H77" t="s">
        <v>3003</v>
      </c>
      <c r="I77" t="s">
        <v>2890</v>
      </c>
      <c r="J77" t="s">
        <v>2532</v>
      </c>
      <c r="K77" t="s">
        <v>112</v>
      </c>
      <c r="L77">
        <v>327</v>
      </c>
      <c r="M77">
        <v>0.42569444444444443</v>
      </c>
      <c r="N77">
        <v>10.216666666666667</v>
      </c>
      <c r="O77" t="s">
        <v>3916</v>
      </c>
      <c r="P77" t="s">
        <v>2494</v>
      </c>
      <c r="Q77">
        <v>2024</v>
      </c>
      <c r="R77">
        <v>2024</v>
      </c>
      <c r="S77" s="1">
        <v>45862</v>
      </c>
      <c r="T77" s="1">
        <v>45858</v>
      </c>
      <c r="U77" t="s">
        <v>4129</v>
      </c>
      <c r="V77" t="s">
        <v>4114</v>
      </c>
      <c r="W77" t="s">
        <v>4115</v>
      </c>
      <c r="X77" t="s">
        <v>2603</v>
      </c>
      <c r="Y77" t="s">
        <v>4125</v>
      </c>
    </row>
    <row r="78" spans="1:25" x14ac:dyDescent="0.25">
      <c r="A78">
        <v>77</v>
      </c>
      <c r="B78">
        <v>6838685</v>
      </c>
      <c r="C78" t="s">
        <v>3004</v>
      </c>
      <c r="D78" t="s">
        <v>227</v>
      </c>
      <c r="E78" t="s">
        <v>174</v>
      </c>
      <c r="F78" t="s">
        <v>175</v>
      </c>
      <c r="G78" t="s">
        <v>2537</v>
      </c>
      <c r="H78" t="s">
        <v>3005</v>
      </c>
      <c r="I78" t="s">
        <v>3006</v>
      </c>
      <c r="J78" t="s">
        <v>2492</v>
      </c>
      <c r="K78" t="s">
        <v>112</v>
      </c>
      <c r="L78">
        <v>448</v>
      </c>
      <c r="M78">
        <v>0.60486111111111107</v>
      </c>
      <c r="N78">
        <v>14.516666666666666</v>
      </c>
      <c r="O78" t="s">
        <v>3917</v>
      </c>
      <c r="P78" t="s">
        <v>2486</v>
      </c>
      <c r="Q78">
        <v>2023</v>
      </c>
      <c r="R78">
        <v>1994</v>
      </c>
      <c r="S78" s="1">
        <v>45862</v>
      </c>
      <c r="T78" s="1">
        <v>45860</v>
      </c>
      <c r="U78" t="s">
        <v>4120</v>
      </c>
      <c r="V78" t="s">
        <v>4114</v>
      </c>
      <c r="W78" t="s">
        <v>4115</v>
      </c>
      <c r="X78" t="s">
        <v>2603</v>
      </c>
      <c r="Y78" t="s">
        <v>4116</v>
      </c>
    </row>
    <row r="79" spans="1:25" x14ac:dyDescent="0.25">
      <c r="A79">
        <v>78</v>
      </c>
      <c r="B79">
        <v>223375389</v>
      </c>
      <c r="C79" t="s">
        <v>230</v>
      </c>
      <c r="D79" t="s">
        <v>17</v>
      </c>
      <c r="E79" t="s">
        <v>231</v>
      </c>
      <c r="F79" t="s">
        <v>232</v>
      </c>
      <c r="G79" t="s">
        <v>2538</v>
      </c>
      <c r="H79" t="s">
        <v>3007</v>
      </c>
      <c r="I79" t="s">
        <v>2901</v>
      </c>
      <c r="J79" t="s">
        <v>2539</v>
      </c>
      <c r="K79" t="s">
        <v>112</v>
      </c>
      <c r="L79">
        <v>400</v>
      </c>
      <c r="M79">
        <v>0.58194444444444449</v>
      </c>
      <c r="N79">
        <v>13.966666666666669</v>
      </c>
      <c r="O79" t="s">
        <v>3918</v>
      </c>
      <c r="P79" t="s">
        <v>2494</v>
      </c>
      <c r="Q79">
        <v>2025</v>
      </c>
      <c r="R79">
        <v>2023</v>
      </c>
      <c r="S79" s="1">
        <v>45856</v>
      </c>
      <c r="T79" s="1">
        <v>45853</v>
      </c>
      <c r="U79" t="s">
        <v>4129</v>
      </c>
      <c r="V79" t="s">
        <v>4114</v>
      </c>
      <c r="W79" t="s">
        <v>4121</v>
      </c>
      <c r="X79" t="s">
        <v>2603</v>
      </c>
      <c r="Y79" t="s">
        <v>4116</v>
      </c>
    </row>
    <row r="80" spans="1:25" x14ac:dyDescent="0.25">
      <c r="A80">
        <v>79</v>
      </c>
      <c r="B80">
        <v>203688006</v>
      </c>
      <c r="C80" t="s">
        <v>233</v>
      </c>
      <c r="D80" t="s">
        <v>2540</v>
      </c>
      <c r="E80" t="s">
        <v>215</v>
      </c>
      <c r="F80" t="s">
        <v>216</v>
      </c>
      <c r="G80" t="s">
        <v>2531</v>
      </c>
      <c r="H80" t="s">
        <v>3008</v>
      </c>
      <c r="I80" t="s">
        <v>2901</v>
      </c>
      <c r="J80" t="s">
        <v>2532</v>
      </c>
      <c r="K80" t="s">
        <v>112</v>
      </c>
      <c r="L80">
        <v>344</v>
      </c>
      <c r="M80">
        <v>0.58194444444444449</v>
      </c>
      <c r="N80">
        <v>13.966666666666669</v>
      </c>
      <c r="O80" t="s">
        <v>3918</v>
      </c>
      <c r="P80" t="s">
        <v>2494</v>
      </c>
      <c r="Q80">
        <v>2023</v>
      </c>
      <c r="R80">
        <v>2023</v>
      </c>
      <c r="S80" s="1">
        <v>45853</v>
      </c>
      <c r="T80" s="1">
        <v>45853</v>
      </c>
      <c r="U80" t="s">
        <v>4117</v>
      </c>
      <c r="V80" t="s">
        <v>4114</v>
      </c>
      <c r="W80" t="s">
        <v>4133</v>
      </c>
      <c r="X80" t="s">
        <v>2494</v>
      </c>
      <c r="Y80" t="s">
        <v>4116</v>
      </c>
    </row>
    <row r="81" spans="1:25" x14ac:dyDescent="0.25">
      <c r="A81">
        <v>80</v>
      </c>
      <c r="B81">
        <v>25837168</v>
      </c>
      <c r="C81" t="s">
        <v>3009</v>
      </c>
      <c r="D81" t="s">
        <v>235</v>
      </c>
      <c r="E81" t="s">
        <v>127</v>
      </c>
      <c r="F81" t="s">
        <v>128</v>
      </c>
      <c r="H81" t="s">
        <v>3010</v>
      </c>
      <c r="I81" t="s">
        <v>2890</v>
      </c>
      <c r="J81" t="s">
        <v>1759</v>
      </c>
      <c r="K81" t="s">
        <v>57</v>
      </c>
      <c r="L81">
        <v>392</v>
      </c>
      <c r="P81" t="s">
        <v>2486</v>
      </c>
      <c r="Q81">
        <v>2015</v>
      </c>
      <c r="R81">
        <v>2013</v>
      </c>
      <c r="S81" s="1">
        <v>45851</v>
      </c>
      <c r="T81" s="1">
        <v>45748</v>
      </c>
      <c r="U81" t="s">
        <v>4120</v>
      </c>
      <c r="V81" t="s">
        <v>4114</v>
      </c>
      <c r="W81" t="s">
        <v>4121</v>
      </c>
      <c r="X81" t="s">
        <v>2603</v>
      </c>
      <c r="Y81" t="s">
        <v>4125</v>
      </c>
    </row>
    <row r="82" spans="1:25" x14ac:dyDescent="0.25">
      <c r="A82">
        <v>81</v>
      </c>
      <c r="B82">
        <v>219776771</v>
      </c>
      <c r="C82" t="s">
        <v>236</v>
      </c>
      <c r="D82" t="s">
        <v>17</v>
      </c>
      <c r="E82" t="s">
        <v>237</v>
      </c>
      <c r="F82" t="s">
        <v>238</v>
      </c>
      <c r="G82" t="s">
        <v>2541</v>
      </c>
      <c r="H82" t="s">
        <v>3011</v>
      </c>
      <c r="I82" t="s">
        <v>2917</v>
      </c>
      <c r="J82" t="s">
        <v>2492</v>
      </c>
      <c r="K82" t="s">
        <v>112</v>
      </c>
      <c r="L82">
        <v>480</v>
      </c>
      <c r="M82">
        <v>0.52013888888888893</v>
      </c>
      <c r="N82">
        <v>12.483333333333334</v>
      </c>
      <c r="O82" t="s">
        <v>3919</v>
      </c>
      <c r="P82" t="s">
        <v>2486</v>
      </c>
      <c r="Q82">
        <v>2024</v>
      </c>
      <c r="R82">
        <v>2024</v>
      </c>
      <c r="S82" s="1">
        <v>45849</v>
      </c>
      <c r="T82" s="1">
        <v>45848</v>
      </c>
      <c r="U82" t="s">
        <v>4113</v>
      </c>
      <c r="V82" t="s">
        <v>4114</v>
      </c>
      <c r="W82" t="s">
        <v>4115</v>
      </c>
      <c r="X82" t="s">
        <v>2603</v>
      </c>
      <c r="Y82" t="s">
        <v>4125</v>
      </c>
    </row>
    <row r="83" spans="1:25" x14ac:dyDescent="0.25">
      <c r="A83">
        <v>82</v>
      </c>
      <c r="B83">
        <v>218275842</v>
      </c>
      <c r="C83" t="s">
        <v>3012</v>
      </c>
      <c r="D83" t="s">
        <v>240</v>
      </c>
      <c r="E83" t="s">
        <v>241</v>
      </c>
      <c r="F83" t="s">
        <v>242</v>
      </c>
      <c r="H83" t="s">
        <v>3013</v>
      </c>
      <c r="I83" t="s">
        <v>2933</v>
      </c>
      <c r="J83" t="s">
        <v>1770</v>
      </c>
      <c r="K83" t="s">
        <v>57</v>
      </c>
      <c r="L83">
        <v>1000</v>
      </c>
      <c r="P83" t="s">
        <v>2486</v>
      </c>
      <c r="Q83">
        <v>2024</v>
      </c>
      <c r="R83">
        <v>2023</v>
      </c>
      <c r="S83" s="1">
        <v>45849</v>
      </c>
      <c r="T83" s="1">
        <v>45836</v>
      </c>
      <c r="U83" t="s">
        <v>4117</v>
      </c>
      <c r="V83" t="s">
        <v>4114</v>
      </c>
      <c r="W83" t="s">
        <v>4115</v>
      </c>
      <c r="X83" t="s">
        <v>2603</v>
      </c>
      <c r="Y83" t="s">
        <v>4125</v>
      </c>
    </row>
    <row r="84" spans="1:25" x14ac:dyDescent="0.25">
      <c r="A84">
        <v>83</v>
      </c>
      <c r="B84">
        <v>181313396</v>
      </c>
      <c r="C84" t="s">
        <v>243</v>
      </c>
      <c r="D84" t="s">
        <v>2542</v>
      </c>
      <c r="E84" t="s">
        <v>215</v>
      </c>
      <c r="F84" t="s">
        <v>216</v>
      </c>
      <c r="G84" t="s">
        <v>2531</v>
      </c>
      <c r="H84" t="s">
        <v>3014</v>
      </c>
      <c r="I84" t="s">
        <v>2901</v>
      </c>
      <c r="J84" t="s">
        <v>2532</v>
      </c>
      <c r="K84" t="s">
        <v>112</v>
      </c>
      <c r="L84">
        <v>272</v>
      </c>
      <c r="M84">
        <v>0.45208333333333334</v>
      </c>
      <c r="N84">
        <v>10.85</v>
      </c>
      <c r="O84" t="s">
        <v>3920</v>
      </c>
      <c r="P84" t="s">
        <v>2494</v>
      </c>
      <c r="Q84">
        <v>2023</v>
      </c>
      <c r="R84">
        <v>2023</v>
      </c>
      <c r="S84" s="1">
        <v>45849</v>
      </c>
      <c r="T84" s="1">
        <v>45848</v>
      </c>
      <c r="U84" t="s">
        <v>4117</v>
      </c>
      <c r="V84" t="s">
        <v>4114</v>
      </c>
      <c r="W84" t="s">
        <v>4133</v>
      </c>
      <c r="X84" t="s">
        <v>2494</v>
      </c>
      <c r="Y84" t="s">
        <v>4116</v>
      </c>
    </row>
    <row r="85" spans="1:25" x14ac:dyDescent="0.25">
      <c r="A85">
        <v>84</v>
      </c>
      <c r="B85">
        <v>56053683</v>
      </c>
      <c r="C85" t="s">
        <v>3015</v>
      </c>
      <c r="D85" t="s">
        <v>245</v>
      </c>
      <c r="E85" t="s">
        <v>163</v>
      </c>
      <c r="F85" t="s">
        <v>164</v>
      </c>
      <c r="G85" t="s">
        <v>2524</v>
      </c>
      <c r="H85" t="s">
        <v>3016</v>
      </c>
      <c r="I85" t="s">
        <v>2901</v>
      </c>
      <c r="J85" t="s">
        <v>2525</v>
      </c>
      <c r="K85" t="s">
        <v>112</v>
      </c>
      <c r="L85">
        <v>544</v>
      </c>
      <c r="M85">
        <v>1.0972222222222223</v>
      </c>
      <c r="N85">
        <v>26.333333333333336</v>
      </c>
      <c r="O85" t="s">
        <v>3921</v>
      </c>
      <c r="P85" t="s">
        <v>2494</v>
      </c>
      <c r="Q85">
        <v>2024</v>
      </c>
      <c r="R85">
        <v>2018</v>
      </c>
      <c r="S85" s="1">
        <v>45848</v>
      </c>
      <c r="T85" s="1">
        <v>45844</v>
      </c>
      <c r="U85" t="s">
        <v>4138</v>
      </c>
      <c r="V85" t="s">
        <v>4114</v>
      </c>
      <c r="W85" t="s">
        <v>4141</v>
      </c>
      <c r="X85" t="s">
        <v>2603</v>
      </c>
      <c r="Y85" t="s">
        <v>4125</v>
      </c>
    </row>
    <row r="86" spans="1:25" x14ac:dyDescent="0.25">
      <c r="A86">
        <v>85</v>
      </c>
      <c r="B86">
        <v>54802268</v>
      </c>
      <c r="C86" t="s">
        <v>3017</v>
      </c>
      <c r="D86" t="s">
        <v>247</v>
      </c>
      <c r="E86" t="s">
        <v>163</v>
      </c>
      <c r="F86" t="s">
        <v>164</v>
      </c>
      <c r="G86" t="s">
        <v>2524</v>
      </c>
      <c r="H86" t="s">
        <v>3018</v>
      </c>
      <c r="I86" t="s">
        <v>2901</v>
      </c>
      <c r="J86" t="s">
        <v>2525</v>
      </c>
      <c r="K86" t="s">
        <v>112</v>
      </c>
      <c r="L86">
        <v>496</v>
      </c>
      <c r="M86">
        <v>0.94930555555555551</v>
      </c>
      <c r="N86">
        <v>22.783333333333331</v>
      </c>
      <c r="O86" t="s">
        <v>3922</v>
      </c>
      <c r="P86" t="s">
        <v>2494</v>
      </c>
      <c r="Q86">
        <v>2023</v>
      </c>
      <c r="R86">
        <v>2017</v>
      </c>
      <c r="S86" s="1">
        <v>45843</v>
      </c>
      <c r="T86" s="1">
        <v>45827</v>
      </c>
      <c r="U86" t="s">
        <v>4138</v>
      </c>
      <c r="V86" t="s">
        <v>4114</v>
      </c>
      <c r="W86" t="s">
        <v>4141</v>
      </c>
      <c r="X86" t="s">
        <v>2603</v>
      </c>
      <c r="Y86" t="s">
        <v>4125</v>
      </c>
    </row>
    <row r="87" spans="1:25" x14ac:dyDescent="0.25">
      <c r="A87">
        <v>86</v>
      </c>
      <c r="B87">
        <v>32283133</v>
      </c>
      <c r="C87" t="s">
        <v>2543</v>
      </c>
      <c r="D87" t="s">
        <v>248</v>
      </c>
      <c r="E87" t="s">
        <v>125</v>
      </c>
      <c r="F87" t="s">
        <v>126</v>
      </c>
      <c r="H87" t="s">
        <v>3019</v>
      </c>
      <c r="I87" t="s">
        <v>2901</v>
      </c>
      <c r="J87" t="s">
        <v>1668</v>
      </c>
      <c r="K87" t="s">
        <v>2488</v>
      </c>
      <c r="L87">
        <v>528</v>
      </c>
      <c r="P87" t="s">
        <v>2494</v>
      </c>
      <c r="Q87">
        <v>2017</v>
      </c>
      <c r="R87">
        <v>2017</v>
      </c>
      <c r="S87" s="1">
        <v>45751</v>
      </c>
      <c r="T87" s="1">
        <v>45735</v>
      </c>
      <c r="U87" t="s">
        <v>4129</v>
      </c>
      <c r="V87" t="s">
        <v>4114</v>
      </c>
      <c r="W87" t="s">
        <v>4121</v>
      </c>
      <c r="X87" t="s">
        <v>2603</v>
      </c>
      <c r="Y87" t="s">
        <v>4116</v>
      </c>
    </row>
    <row r="88" spans="1:25" x14ac:dyDescent="0.25">
      <c r="A88">
        <v>87</v>
      </c>
      <c r="B88">
        <v>41949647</v>
      </c>
      <c r="C88" t="s">
        <v>249</v>
      </c>
      <c r="D88" t="s">
        <v>17</v>
      </c>
      <c r="E88" t="s">
        <v>250</v>
      </c>
      <c r="F88" t="s">
        <v>251</v>
      </c>
      <c r="H88" t="s">
        <v>3020</v>
      </c>
      <c r="I88" t="s">
        <v>2901</v>
      </c>
      <c r="J88" t="s">
        <v>1668</v>
      </c>
      <c r="K88" t="s">
        <v>2488</v>
      </c>
      <c r="L88">
        <v>368</v>
      </c>
      <c r="P88" t="s">
        <v>2494</v>
      </c>
      <c r="Q88">
        <v>2018</v>
      </c>
      <c r="R88">
        <v>2017</v>
      </c>
      <c r="S88" s="1">
        <v>45837</v>
      </c>
      <c r="T88" s="1">
        <v>45830</v>
      </c>
      <c r="U88" t="s">
        <v>4113</v>
      </c>
      <c r="V88" t="s">
        <v>4114</v>
      </c>
      <c r="W88" t="s">
        <v>4150</v>
      </c>
      <c r="X88" t="s">
        <v>4151</v>
      </c>
      <c r="Y88" t="s">
        <v>4116</v>
      </c>
    </row>
    <row r="89" spans="1:25" x14ac:dyDescent="0.25">
      <c r="A89">
        <v>88</v>
      </c>
      <c r="B89">
        <v>52957731</v>
      </c>
      <c r="C89" t="s">
        <v>3021</v>
      </c>
      <c r="D89" t="s">
        <v>253</v>
      </c>
      <c r="E89" t="s">
        <v>163</v>
      </c>
      <c r="F89" t="s">
        <v>164</v>
      </c>
      <c r="G89" t="s">
        <v>2524</v>
      </c>
      <c r="H89" t="s">
        <v>3022</v>
      </c>
      <c r="I89" t="s">
        <v>2901</v>
      </c>
      <c r="J89" t="s">
        <v>2525</v>
      </c>
      <c r="K89" t="s">
        <v>112</v>
      </c>
      <c r="L89">
        <v>492</v>
      </c>
      <c r="M89">
        <v>0.92500000000000004</v>
      </c>
      <c r="N89">
        <v>22.200000000000003</v>
      </c>
      <c r="O89" t="s">
        <v>3923</v>
      </c>
      <c r="P89" t="s">
        <v>2494</v>
      </c>
      <c r="Q89">
        <v>2022</v>
      </c>
      <c r="R89">
        <v>2016</v>
      </c>
      <c r="S89" s="1">
        <v>45832</v>
      </c>
      <c r="T89" s="1">
        <v>45827</v>
      </c>
      <c r="U89" t="s">
        <v>4138</v>
      </c>
      <c r="V89" t="s">
        <v>4114</v>
      </c>
      <c r="W89" t="s">
        <v>4141</v>
      </c>
      <c r="X89" t="s">
        <v>2603</v>
      </c>
      <c r="Y89" t="s">
        <v>4125</v>
      </c>
    </row>
    <row r="90" spans="1:25" x14ac:dyDescent="0.25">
      <c r="A90">
        <v>89</v>
      </c>
      <c r="B90">
        <v>32855534</v>
      </c>
      <c r="C90" t="s">
        <v>254</v>
      </c>
      <c r="D90" t="s">
        <v>17</v>
      </c>
      <c r="E90" t="s">
        <v>255</v>
      </c>
      <c r="F90" t="s">
        <v>256</v>
      </c>
      <c r="H90" t="s">
        <v>3023</v>
      </c>
      <c r="I90" t="s">
        <v>2890</v>
      </c>
      <c r="J90" t="s">
        <v>1777</v>
      </c>
      <c r="K90" t="s">
        <v>2488</v>
      </c>
      <c r="L90">
        <v>352</v>
      </c>
      <c r="P90" t="s">
        <v>2486</v>
      </c>
      <c r="Q90">
        <v>2012</v>
      </c>
      <c r="R90">
        <v>1995</v>
      </c>
      <c r="S90" s="1">
        <v>45828</v>
      </c>
      <c r="T90" s="1">
        <v>45825</v>
      </c>
      <c r="U90" t="s">
        <v>4152</v>
      </c>
      <c r="V90" t="s">
        <v>4131</v>
      </c>
      <c r="W90" t="s">
        <v>4121</v>
      </c>
      <c r="X90" t="s">
        <v>2603</v>
      </c>
      <c r="Y90" t="s">
        <v>4125</v>
      </c>
    </row>
    <row r="91" spans="1:25" x14ac:dyDescent="0.25">
      <c r="A91">
        <v>90</v>
      </c>
      <c r="B91">
        <v>52308182</v>
      </c>
      <c r="C91" t="s">
        <v>3024</v>
      </c>
      <c r="D91" t="s">
        <v>258</v>
      </c>
      <c r="E91" t="s">
        <v>163</v>
      </c>
      <c r="F91" t="s">
        <v>164</v>
      </c>
      <c r="G91" t="s">
        <v>2524</v>
      </c>
      <c r="H91" t="s">
        <v>3025</v>
      </c>
      <c r="I91" t="s">
        <v>2901</v>
      </c>
      <c r="J91" t="s">
        <v>2525</v>
      </c>
      <c r="K91" t="s">
        <v>112</v>
      </c>
      <c r="L91">
        <v>500</v>
      </c>
      <c r="M91">
        <v>0.89583333333333337</v>
      </c>
      <c r="N91">
        <v>21.5</v>
      </c>
      <c r="O91" t="s">
        <v>3924</v>
      </c>
      <c r="P91" t="s">
        <v>2494</v>
      </c>
      <c r="Q91">
        <v>2019</v>
      </c>
      <c r="R91">
        <v>2015</v>
      </c>
      <c r="S91" s="1">
        <v>45827</v>
      </c>
      <c r="T91" s="1">
        <v>45820</v>
      </c>
      <c r="U91" t="s">
        <v>4138</v>
      </c>
      <c r="V91" t="s">
        <v>4114</v>
      </c>
      <c r="W91" t="s">
        <v>4141</v>
      </c>
      <c r="X91" t="s">
        <v>2603</v>
      </c>
      <c r="Y91" t="s">
        <v>4125</v>
      </c>
    </row>
    <row r="92" spans="1:25" x14ac:dyDescent="0.25">
      <c r="A92">
        <v>91</v>
      </c>
      <c r="B92">
        <v>221130838</v>
      </c>
      <c r="C92" t="s">
        <v>3026</v>
      </c>
      <c r="D92" t="s">
        <v>260</v>
      </c>
      <c r="E92" t="s">
        <v>261</v>
      </c>
      <c r="F92" t="s">
        <v>262</v>
      </c>
      <c r="H92" t="s">
        <v>3027</v>
      </c>
      <c r="I92" t="s">
        <v>2901</v>
      </c>
      <c r="J92" t="s">
        <v>1780</v>
      </c>
      <c r="K92" t="s">
        <v>57</v>
      </c>
      <c r="L92">
        <v>416</v>
      </c>
      <c r="P92" t="s">
        <v>2494</v>
      </c>
      <c r="Q92">
        <v>2024</v>
      </c>
      <c r="R92">
        <v>2018</v>
      </c>
      <c r="S92" s="1">
        <v>45825</v>
      </c>
      <c r="T92" s="1">
        <v>45823</v>
      </c>
      <c r="U92" t="s">
        <v>4129</v>
      </c>
      <c r="V92" t="s">
        <v>4114</v>
      </c>
      <c r="W92" t="s">
        <v>4153</v>
      </c>
      <c r="X92" t="s">
        <v>2603</v>
      </c>
      <c r="Y92" t="s">
        <v>4116</v>
      </c>
    </row>
    <row r="93" spans="1:25" x14ac:dyDescent="0.25">
      <c r="A93">
        <v>92</v>
      </c>
      <c r="B93">
        <v>51944995</v>
      </c>
      <c r="C93" t="s">
        <v>3028</v>
      </c>
      <c r="D93" t="s">
        <v>264</v>
      </c>
      <c r="E93" t="s">
        <v>163</v>
      </c>
      <c r="F93" t="s">
        <v>164</v>
      </c>
      <c r="G93" t="s">
        <v>2524</v>
      </c>
      <c r="H93" t="s">
        <v>3029</v>
      </c>
      <c r="I93" t="s">
        <v>2933</v>
      </c>
      <c r="J93" t="s">
        <v>2525</v>
      </c>
      <c r="K93" t="s">
        <v>112</v>
      </c>
      <c r="L93">
        <v>436</v>
      </c>
      <c r="M93">
        <v>0.79791666666666672</v>
      </c>
      <c r="N93">
        <v>19.150000000000002</v>
      </c>
      <c r="O93" t="s">
        <v>3925</v>
      </c>
      <c r="P93" t="s">
        <v>2494</v>
      </c>
      <c r="Q93">
        <v>2019</v>
      </c>
      <c r="R93">
        <v>2014</v>
      </c>
      <c r="S93" s="1">
        <v>45822</v>
      </c>
      <c r="T93" s="1">
        <v>45817</v>
      </c>
      <c r="U93" t="s">
        <v>4138</v>
      </c>
      <c r="V93" t="s">
        <v>4114</v>
      </c>
      <c r="W93" t="s">
        <v>4141</v>
      </c>
      <c r="X93" t="s">
        <v>2603</v>
      </c>
      <c r="Y93" t="s">
        <v>4125</v>
      </c>
    </row>
    <row r="94" spans="1:25" x14ac:dyDescent="0.25">
      <c r="A94">
        <v>93</v>
      </c>
      <c r="B94">
        <v>123206298</v>
      </c>
      <c r="C94" t="s">
        <v>3030</v>
      </c>
      <c r="D94" t="s">
        <v>268</v>
      </c>
      <c r="E94" t="s">
        <v>269</v>
      </c>
      <c r="F94" t="s">
        <v>270</v>
      </c>
      <c r="G94" t="s">
        <v>2544</v>
      </c>
      <c r="H94" t="s">
        <v>3031</v>
      </c>
      <c r="I94" t="s">
        <v>2890</v>
      </c>
      <c r="J94" t="s">
        <v>2545</v>
      </c>
      <c r="K94" t="s">
        <v>112</v>
      </c>
      <c r="L94">
        <v>688</v>
      </c>
      <c r="M94">
        <v>1.0263888888888888</v>
      </c>
      <c r="N94">
        <v>24.633333333333333</v>
      </c>
      <c r="O94" t="s">
        <v>3926</v>
      </c>
      <c r="P94" t="s">
        <v>2486</v>
      </c>
      <c r="Q94">
        <v>2023</v>
      </c>
      <c r="R94">
        <v>2023</v>
      </c>
      <c r="S94" s="1">
        <v>45820</v>
      </c>
      <c r="T94" s="1">
        <v>45810</v>
      </c>
      <c r="U94" t="s">
        <v>4120</v>
      </c>
      <c r="V94" t="s">
        <v>4114</v>
      </c>
      <c r="W94" t="s">
        <v>4121</v>
      </c>
      <c r="X94" t="s">
        <v>2603</v>
      </c>
      <c r="Y94" t="s">
        <v>4116</v>
      </c>
    </row>
    <row r="95" spans="1:25" x14ac:dyDescent="0.25">
      <c r="A95">
        <v>94</v>
      </c>
      <c r="B95">
        <v>5896223</v>
      </c>
      <c r="C95" t="s">
        <v>2546</v>
      </c>
      <c r="D95" t="s">
        <v>2547</v>
      </c>
      <c r="E95" t="s">
        <v>174</v>
      </c>
      <c r="F95" t="s">
        <v>175</v>
      </c>
      <c r="G95" t="s">
        <v>2548</v>
      </c>
      <c r="H95" t="s">
        <v>3032</v>
      </c>
      <c r="I95" t="s">
        <v>2917</v>
      </c>
      <c r="J95" t="s">
        <v>2492</v>
      </c>
      <c r="K95" t="s">
        <v>112</v>
      </c>
      <c r="L95">
        <v>280</v>
      </c>
      <c r="M95">
        <v>0.5493055555555556</v>
      </c>
      <c r="N95">
        <v>13.183333333333334</v>
      </c>
      <c r="O95" t="s">
        <v>3927</v>
      </c>
      <c r="P95" t="s">
        <v>2486</v>
      </c>
      <c r="Q95">
        <v>2003</v>
      </c>
      <c r="R95">
        <v>1995</v>
      </c>
      <c r="S95" s="1">
        <v>45800</v>
      </c>
      <c r="T95" s="1">
        <v>45784</v>
      </c>
      <c r="U95" t="s">
        <v>4120</v>
      </c>
      <c r="V95" t="s">
        <v>4114</v>
      </c>
      <c r="W95" t="s">
        <v>4115</v>
      </c>
      <c r="X95" t="s">
        <v>2603</v>
      </c>
      <c r="Y95" t="s">
        <v>4116</v>
      </c>
    </row>
    <row r="96" spans="1:25" x14ac:dyDescent="0.25">
      <c r="A96">
        <v>95</v>
      </c>
      <c r="B96">
        <v>57287122</v>
      </c>
      <c r="C96" t="s">
        <v>3033</v>
      </c>
      <c r="D96" t="s">
        <v>272</v>
      </c>
      <c r="E96" t="s">
        <v>203</v>
      </c>
      <c r="F96" t="s">
        <v>204</v>
      </c>
      <c r="G96" t="s">
        <v>2529</v>
      </c>
      <c r="H96" t="s">
        <v>3034</v>
      </c>
      <c r="I96" t="s">
        <v>2890</v>
      </c>
      <c r="J96" t="s">
        <v>1753</v>
      </c>
      <c r="K96" t="s">
        <v>112</v>
      </c>
      <c r="L96">
        <v>328</v>
      </c>
      <c r="M96">
        <v>0.4548611111111111</v>
      </c>
      <c r="N96">
        <v>10.916666666666666</v>
      </c>
      <c r="O96" t="s">
        <v>3928</v>
      </c>
      <c r="P96" t="s">
        <v>2486</v>
      </c>
      <c r="Q96">
        <v>2024</v>
      </c>
      <c r="R96">
        <v>2020</v>
      </c>
      <c r="S96" s="1">
        <v>45784</v>
      </c>
      <c r="T96" s="1">
        <v>45782</v>
      </c>
      <c r="U96" t="s">
        <v>4149</v>
      </c>
      <c r="V96" t="s">
        <v>4114</v>
      </c>
      <c r="W96" t="s">
        <v>4115</v>
      </c>
      <c r="X96" t="s">
        <v>2603</v>
      </c>
      <c r="Y96" t="s">
        <v>4125</v>
      </c>
    </row>
    <row r="97" spans="1:25" x14ac:dyDescent="0.25">
      <c r="A97">
        <v>96</v>
      </c>
      <c r="B97">
        <v>6838672</v>
      </c>
      <c r="C97" t="s">
        <v>3035</v>
      </c>
      <c r="D97" t="s">
        <v>274</v>
      </c>
      <c r="E97" t="s">
        <v>174</v>
      </c>
      <c r="F97" t="s">
        <v>175</v>
      </c>
      <c r="G97" t="s">
        <v>2528</v>
      </c>
      <c r="H97" t="s">
        <v>3036</v>
      </c>
      <c r="I97" t="s">
        <v>2890</v>
      </c>
      <c r="J97" t="s">
        <v>2492</v>
      </c>
      <c r="K97" t="s">
        <v>112</v>
      </c>
      <c r="L97">
        <v>430</v>
      </c>
      <c r="M97">
        <v>0.59583333333333333</v>
      </c>
      <c r="N97">
        <v>14.3</v>
      </c>
      <c r="O97" t="s">
        <v>3929</v>
      </c>
      <c r="P97" t="s">
        <v>2486</v>
      </c>
      <c r="Q97">
        <v>2019</v>
      </c>
      <c r="R97">
        <v>1993</v>
      </c>
      <c r="S97" s="1">
        <v>45781</v>
      </c>
      <c r="T97" s="1">
        <v>45780</v>
      </c>
      <c r="U97" t="s">
        <v>4120</v>
      </c>
      <c r="V97" t="s">
        <v>4114</v>
      </c>
      <c r="W97" t="s">
        <v>4115</v>
      </c>
      <c r="X97" t="s">
        <v>2603</v>
      </c>
      <c r="Y97" t="s">
        <v>4116</v>
      </c>
    </row>
    <row r="98" spans="1:25" x14ac:dyDescent="0.25">
      <c r="A98">
        <v>97</v>
      </c>
      <c r="B98">
        <v>40060160</v>
      </c>
      <c r="C98" t="s">
        <v>275</v>
      </c>
      <c r="D98" t="s">
        <v>17</v>
      </c>
      <c r="E98" t="s">
        <v>276</v>
      </c>
      <c r="F98" t="s">
        <v>277</v>
      </c>
      <c r="H98" t="s">
        <v>3037</v>
      </c>
      <c r="I98" t="s">
        <v>2890</v>
      </c>
      <c r="J98" t="s">
        <v>1668</v>
      </c>
      <c r="K98" t="s">
        <v>2488</v>
      </c>
      <c r="L98">
        <v>304</v>
      </c>
      <c r="P98" t="s">
        <v>2494</v>
      </c>
      <c r="Q98">
        <v>2018</v>
      </c>
      <c r="R98">
        <v>2018</v>
      </c>
      <c r="S98" s="1">
        <v>45780</v>
      </c>
      <c r="T98" s="1">
        <v>45774</v>
      </c>
      <c r="U98" t="s">
        <v>4134</v>
      </c>
      <c r="V98" t="s">
        <v>4114</v>
      </c>
      <c r="W98" t="s">
        <v>4115</v>
      </c>
      <c r="X98" t="s">
        <v>2603</v>
      </c>
      <c r="Y98" t="s">
        <v>4125</v>
      </c>
    </row>
    <row r="99" spans="1:25" x14ac:dyDescent="0.25">
      <c r="A99">
        <v>98</v>
      </c>
      <c r="B99">
        <v>54282843</v>
      </c>
      <c r="C99" t="s">
        <v>3038</v>
      </c>
      <c r="D99" t="s">
        <v>279</v>
      </c>
      <c r="E99" t="s">
        <v>280</v>
      </c>
      <c r="F99" t="s">
        <v>281</v>
      </c>
      <c r="G99" t="s">
        <v>2549</v>
      </c>
      <c r="H99" t="s">
        <v>3039</v>
      </c>
      <c r="I99" t="s">
        <v>2890</v>
      </c>
      <c r="J99" t="s">
        <v>2492</v>
      </c>
      <c r="K99" t="s">
        <v>112</v>
      </c>
      <c r="L99">
        <v>40</v>
      </c>
      <c r="M99">
        <v>5.6250000000000001E-2</v>
      </c>
      <c r="N99">
        <v>1.35</v>
      </c>
      <c r="O99" t="s">
        <v>3930</v>
      </c>
      <c r="P99" t="s">
        <v>2486</v>
      </c>
      <c r="Q99">
        <v>2022</v>
      </c>
      <c r="R99">
        <v>2010</v>
      </c>
      <c r="S99" s="1">
        <v>45780</v>
      </c>
      <c r="T99" s="1">
        <v>45780</v>
      </c>
      <c r="U99" t="s">
        <v>4117</v>
      </c>
      <c r="V99" t="s">
        <v>4114</v>
      </c>
      <c r="W99" t="s">
        <v>4115</v>
      </c>
      <c r="X99" t="s">
        <v>2603</v>
      </c>
      <c r="Y99" t="s">
        <v>4116</v>
      </c>
    </row>
    <row r="100" spans="1:25" x14ac:dyDescent="0.25">
      <c r="A100">
        <v>99</v>
      </c>
      <c r="B100">
        <v>53287344</v>
      </c>
      <c r="C100" t="s">
        <v>3040</v>
      </c>
      <c r="D100" t="s">
        <v>283</v>
      </c>
      <c r="E100" t="s">
        <v>203</v>
      </c>
      <c r="F100" t="s">
        <v>204</v>
      </c>
      <c r="G100" t="s">
        <v>2529</v>
      </c>
      <c r="H100" t="s">
        <v>3041</v>
      </c>
      <c r="I100" t="s">
        <v>2901</v>
      </c>
      <c r="J100" t="s">
        <v>1753</v>
      </c>
      <c r="K100" t="s">
        <v>112</v>
      </c>
      <c r="L100">
        <v>360</v>
      </c>
      <c r="M100">
        <v>0.48888888888888887</v>
      </c>
      <c r="N100">
        <v>11.733333333333333</v>
      </c>
      <c r="O100" t="s">
        <v>3931</v>
      </c>
      <c r="P100" t="s">
        <v>2486</v>
      </c>
      <c r="Q100">
        <v>2024</v>
      </c>
      <c r="R100">
        <v>2019</v>
      </c>
      <c r="S100" s="1">
        <v>45780</v>
      </c>
      <c r="T100" s="1">
        <v>45766</v>
      </c>
      <c r="U100" t="s">
        <v>4149</v>
      </c>
      <c r="V100" t="s">
        <v>4114</v>
      </c>
      <c r="W100" t="s">
        <v>4115</v>
      </c>
      <c r="X100" t="s">
        <v>2603</v>
      </c>
      <c r="Y100" t="s">
        <v>4125</v>
      </c>
    </row>
    <row r="101" spans="1:25" x14ac:dyDescent="0.25">
      <c r="A101">
        <v>100</v>
      </c>
      <c r="B101">
        <v>215173424</v>
      </c>
      <c r="C101" t="s">
        <v>3042</v>
      </c>
      <c r="D101" t="s">
        <v>285</v>
      </c>
      <c r="E101" t="s">
        <v>220</v>
      </c>
      <c r="F101" t="s">
        <v>221</v>
      </c>
      <c r="H101" t="s">
        <v>3043</v>
      </c>
      <c r="I101" t="s">
        <v>2901</v>
      </c>
      <c r="J101" t="s">
        <v>1789</v>
      </c>
      <c r="K101" t="s">
        <v>2488</v>
      </c>
      <c r="L101">
        <v>784</v>
      </c>
      <c r="P101" t="s">
        <v>2494</v>
      </c>
      <c r="Q101">
        <v>2024</v>
      </c>
      <c r="R101">
        <v>2023</v>
      </c>
      <c r="S101" s="1">
        <v>45773</v>
      </c>
      <c r="T101" s="1">
        <v>45759</v>
      </c>
      <c r="U101" t="s">
        <v>4149</v>
      </c>
      <c r="V101" t="s">
        <v>4114</v>
      </c>
      <c r="W101" t="s">
        <v>4121</v>
      </c>
      <c r="X101" t="s">
        <v>2603</v>
      </c>
      <c r="Y101" t="s">
        <v>4125</v>
      </c>
    </row>
    <row r="102" spans="1:25" x14ac:dyDescent="0.25">
      <c r="A102">
        <v>101</v>
      </c>
      <c r="B102">
        <v>171841186</v>
      </c>
      <c r="C102" t="s">
        <v>286</v>
      </c>
      <c r="D102" t="s">
        <v>17</v>
      </c>
      <c r="E102" t="s">
        <v>287</v>
      </c>
      <c r="F102" t="s">
        <v>288</v>
      </c>
      <c r="G102" t="s">
        <v>2550</v>
      </c>
      <c r="H102" t="s">
        <v>3044</v>
      </c>
      <c r="I102" t="s">
        <v>2901</v>
      </c>
      <c r="J102" t="s">
        <v>2492</v>
      </c>
      <c r="K102" t="s">
        <v>112</v>
      </c>
      <c r="L102">
        <v>724</v>
      </c>
      <c r="M102">
        <v>1.0347222222222223</v>
      </c>
      <c r="N102">
        <v>24.833333333333336</v>
      </c>
      <c r="O102" t="s">
        <v>3932</v>
      </c>
      <c r="P102" t="s">
        <v>2486</v>
      </c>
      <c r="Q102">
        <v>2023</v>
      </c>
      <c r="R102">
        <v>2022</v>
      </c>
      <c r="S102" s="1">
        <v>45772</v>
      </c>
      <c r="T102" s="1">
        <v>45767</v>
      </c>
      <c r="U102" t="s">
        <v>4132</v>
      </c>
      <c r="V102" t="s">
        <v>4114</v>
      </c>
      <c r="W102" t="s">
        <v>4121</v>
      </c>
      <c r="X102" t="s">
        <v>2603</v>
      </c>
      <c r="Y102" t="s">
        <v>4116</v>
      </c>
    </row>
    <row r="103" spans="1:25" x14ac:dyDescent="0.25">
      <c r="A103">
        <v>102</v>
      </c>
      <c r="B103">
        <v>123848434</v>
      </c>
      <c r="C103" t="s">
        <v>289</v>
      </c>
      <c r="D103" t="s">
        <v>17</v>
      </c>
      <c r="E103" t="s">
        <v>290</v>
      </c>
      <c r="F103" t="s">
        <v>291</v>
      </c>
      <c r="G103" t="s">
        <v>2551</v>
      </c>
      <c r="H103" t="s">
        <v>3045</v>
      </c>
      <c r="I103" t="s">
        <v>2917</v>
      </c>
      <c r="J103" t="s">
        <v>2545</v>
      </c>
      <c r="K103" t="s">
        <v>112</v>
      </c>
      <c r="L103">
        <v>232</v>
      </c>
      <c r="M103">
        <v>0.44930555555555557</v>
      </c>
      <c r="N103">
        <v>10.783333333333333</v>
      </c>
      <c r="O103" t="s">
        <v>3933</v>
      </c>
      <c r="P103" t="s">
        <v>2486</v>
      </c>
      <c r="Q103">
        <v>2024</v>
      </c>
      <c r="R103">
        <v>2023</v>
      </c>
      <c r="S103" s="1">
        <v>45760</v>
      </c>
      <c r="T103" s="1">
        <v>45759</v>
      </c>
      <c r="U103" t="s">
        <v>4130</v>
      </c>
      <c r="V103" t="s">
        <v>4131</v>
      </c>
      <c r="W103" t="s">
        <v>4148</v>
      </c>
      <c r="X103" t="s">
        <v>2486</v>
      </c>
      <c r="Y103" t="s">
        <v>4116</v>
      </c>
    </row>
    <row r="104" spans="1:25" x14ac:dyDescent="0.25">
      <c r="A104">
        <v>103</v>
      </c>
      <c r="B104">
        <v>202376351</v>
      </c>
      <c r="C104" t="s">
        <v>292</v>
      </c>
      <c r="D104" t="s">
        <v>17</v>
      </c>
      <c r="E104" t="s">
        <v>149</v>
      </c>
      <c r="F104" t="s">
        <v>150</v>
      </c>
      <c r="G104" t="s">
        <v>2552</v>
      </c>
      <c r="H104" t="s">
        <v>3046</v>
      </c>
      <c r="I104" t="s">
        <v>2890</v>
      </c>
      <c r="J104" t="s">
        <v>2553</v>
      </c>
      <c r="K104" t="s">
        <v>112</v>
      </c>
      <c r="L104">
        <v>304</v>
      </c>
      <c r="M104">
        <v>0.36944444444444446</v>
      </c>
      <c r="N104">
        <v>8.8666666666666671</v>
      </c>
      <c r="O104" t="s">
        <v>3879</v>
      </c>
      <c r="P104" t="s">
        <v>2494</v>
      </c>
      <c r="Q104">
        <v>2024</v>
      </c>
      <c r="R104">
        <v>2022</v>
      </c>
      <c r="S104" s="1">
        <v>45758</v>
      </c>
      <c r="T104" s="1">
        <v>45757</v>
      </c>
      <c r="U104" t="s">
        <v>4129</v>
      </c>
      <c r="V104" t="s">
        <v>4114</v>
      </c>
      <c r="W104" t="s">
        <v>4121</v>
      </c>
      <c r="X104" t="s">
        <v>2603</v>
      </c>
      <c r="Y104" t="s">
        <v>4125</v>
      </c>
    </row>
    <row r="105" spans="1:25" x14ac:dyDescent="0.25">
      <c r="A105">
        <v>104</v>
      </c>
      <c r="B105">
        <v>198656760</v>
      </c>
      <c r="C105" t="s">
        <v>3047</v>
      </c>
      <c r="D105" t="s">
        <v>294</v>
      </c>
      <c r="E105" t="s">
        <v>149</v>
      </c>
      <c r="F105" t="s">
        <v>150</v>
      </c>
      <c r="G105" t="s">
        <v>2554</v>
      </c>
      <c r="H105" t="s">
        <v>3048</v>
      </c>
      <c r="I105" t="s">
        <v>2901</v>
      </c>
      <c r="J105" t="s">
        <v>2499</v>
      </c>
      <c r="K105" t="s">
        <v>112</v>
      </c>
      <c r="L105">
        <v>304</v>
      </c>
      <c r="M105">
        <v>0.46111111111111114</v>
      </c>
      <c r="N105">
        <v>11.066666666666666</v>
      </c>
      <c r="O105" t="s">
        <v>3934</v>
      </c>
      <c r="P105" t="s">
        <v>2486</v>
      </c>
      <c r="Q105">
        <v>2024</v>
      </c>
      <c r="R105">
        <v>2022</v>
      </c>
      <c r="S105" s="1">
        <v>45757</v>
      </c>
      <c r="T105" s="1">
        <v>45756</v>
      </c>
      <c r="U105" t="s">
        <v>4129</v>
      </c>
      <c r="V105" t="s">
        <v>4114</v>
      </c>
      <c r="W105" t="s">
        <v>4121</v>
      </c>
      <c r="X105" t="s">
        <v>2603</v>
      </c>
      <c r="Y105" t="s">
        <v>4125</v>
      </c>
    </row>
    <row r="106" spans="1:25" x14ac:dyDescent="0.25">
      <c r="A106">
        <v>105</v>
      </c>
      <c r="B106">
        <v>201856416</v>
      </c>
      <c r="C106" t="s">
        <v>3049</v>
      </c>
      <c r="D106" t="s">
        <v>296</v>
      </c>
      <c r="E106" t="s">
        <v>220</v>
      </c>
      <c r="F106" t="s">
        <v>221</v>
      </c>
      <c r="H106" t="s">
        <v>3050</v>
      </c>
      <c r="I106" t="s">
        <v>2901</v>
      </c>
      <c r="J106" t="s">
        <v>1668</v>
      </c>
      <c r="K106" t="s">
        <v>2488</v>
      </c>
      <c r="L106">
        <v>544</v>
      </c>
      <c r="P106" t="s">
        <v>2494</v>
      </c>
      <c r="Q106">
        <v>2023</v>
      </c>
      <c r="R106">
        <v>2023</v>
      </c>
      <c r="S106" s="1">
        <v>45756</v>
      </c>
      <c r="T106" s="1">
        <v>45737</v>
      </c>
      <c r="U106" t="s">
        <v>4149</v>
      </c>
      <c r="V106" t="s">
        <v>4114</v>
      </c>
      <c r="W106" t="s">
        <v>4121</v>
      </c>
      <c r="X106" t="s">
        <v>2603</v>
      </c>
      <c r="Y106" t="s">
        <v>4125</v>
      </c>
    </row>
    <row r="107" spans="1:25" x14ac:dyDescent="0.25">
      <c r="A107">
        <v>106</v>
      </c>
      <c r="B107">
        <v>16160999</v>
      </c>
      <c r="C107" t="s">
        <v>297</v>
      </c>
      <c r="D107" t="s">
        <v>17</v>
      </c>
      <c r="E107" t="s">
        <v>298</v>
      </c>
      <c r="F107" t="s">
        <v>299</v>
      </c>
      <c r="G107" t="s">
        <v>2555</v>
      </c>
      <c r="H107" t="s">
        <v>3051</v>
      </c>
      <c r="I107" t="s">
        <v>3006</v>
      </c>
      <c r="J107" t="s">
        <v>1687</v>
      </c>
      <c r="K107" t="s">
        <v>112</v>
      </c>
      <c r="L107">
        <v>544</v>
      </c>
      <c r="M107">
        <v>0.84722222222222221</v>
      </c>
      <c r="N107">
        <v>20.333333333333332</v>
      </c>
      <c r="O107" t="s">
        <v>3935</v>
      </c>
      <c r="P107" t="s">
        <v>2486</v>
      </c>
      <c r="Q107">
        <v>2019</v>
      </c>
      <c r="R107">
        <v>2011</v>
      </c>
      <c r="S107" s="1">
        <v>45752</v>
      </c>
      <c r="T107" s="1">
        <v>45742</v>
      </c>
      <c r="U107" t="s">
        <v>4140</v>
      </c>
      <c r="V107" t="s">
        <v>4131</v>
      </c>
      <c r="W107" t="s">
        <v>4154</v>
      </c>
      <c r="X107" t="s">
        <v>2603</v>
      </c>
      <c r="Y107" t="s">
        <v>4116</v>
      </c>
    </row>
    <row r="108" spans="1:25" x14ac:dyDescent="0.25">
      <c r="A108">
        <v>107</v>
      </c>
      <c r="B108">
        <v>214448540</v>
      </c>
      <c r="C108" t="s">
        <v>3052</v>
      </c>
      <c r="D108" t="s">
        <v>301</v>
      </c>
      <c r="E108" t="s">
        <v>302</v>
      </c>
      <c r="F108" t="s">
        <v>303</v>
      </c>
      <c r="G108" t="s">
        <v>2556</v>
      </c>
      <c r="H108" t="s">
        <v>3053</v>
      </c>
      <c r="I108" t="s">
        <v>2890</v>
      </c>
      <c r="J108" t="s">
        <v>2499</v>
      </c>
      <c r="K108" t="s">
        <v>112</v>
      </c>
      <c r="L108">
        <v>616</v>
      </c>
      <c r="M108">
        <v>1.0152777777777777</v>
      </c>
      <c r="N108">
        <v>24.366666666666667</v>
      </c>
      <c r="O108" t="s">
        <v>3936</v>
      </c>
      <c r="P108" t="s">
        <v>2486</v>
      </c>
      <c r="Q108">
        <v>2024</v>
      </c>
      <c r="R108">
        <v>2023</v>
      </c>
      <c r="S108" s="1">
        <v>45745</v>
      </c>
      <c r="T108" s="1">
        <v>45731</v>
      </c>
      <c r="U108" t="s">
        <v>4138</v>
      </c>
      <c r="V108" t="s">
        <v>4114</v>
      </c>
      <c r="W108" t="s">
        <v>4115</v>
      </c>
      <c r="X108" t="s">
        <v>2603</v>
      </c>
      <c r="Y108" t="s">
        <v>4116</v>
      </c>
    </row>
    <row r="109" spans="1:25" x14ac:dyDescent="0.25">
      <c r="A109">
        <v>108</v>
      </c>
      <c r="B109">
        <v>838826</v>
      </c>
      <c r="C109" t="s">
        <v>2557</v>
      </c>
      <c r="D109" t="s">
        <v>17</v>
      </c>
      <c r="E109" t="s">
        <v>304</v>
      </c>
      <c r="F109" t="s">
        <v>305</v>
      </c>
      <c r="H109" t="s">
        <v>3054</v>
      </c>
      <c r="I109" t="s">
        <v>2890</v>
      </c>
      <c r="J109" t="s">
        <v>2558</v>
      </c>
      <c r="K109" t="s">
        <v>2488</v>
      </c>
      <c r="L109">
        <v>392</v>
      </c>
      <c r="P109" t="s">
        <v>2486</v>
      </c>
      <c r="Q109">
        <v>2004</v>
      </c>
      <c r="R109">
        <v>2003</v>
      </c>
      <c r="S109" s="1"/>
      <c r="T109" s="1">
        <v>43832</v>
      </c>
      <c r="U109" t="s">
        <v>4155</v>
      </c>
      <c r="V109" t="s">
        <v>4131</v>
      </c>
      <c r="W109" t="s">
        <v>4156</v>
      </c>
      <c r="X109" t="s">
        <v>2603</v>
      </c>
      <c r="Y109" t="s">
        <v>4125</v>
      </c>
    </row>
    <row r="110" spans="1:25" x14ac:dyDescent="0.25">
      <c r="A110">
        <v>109</v>
      </c>
      <c r="B110">
        <v>25017458</v>
      </c>
      <c r="C110" t="s">
        <v>3055</v>
      </c>
      <c r="D110" t="s">
        <v>307</v>
      </c>
      <c r="E110" t="s">
        <v>127</v>
      </c>
      <c r="F110" t="s">
        <v>128</v>
      </c>
      <c r="H110" t="s">
        <v>3056</v>
      </c>
      <c r="I110" t="s">
        <v>2890</v>
      </c>
      <c r="J110" t="s">
        <v>1799</v>
      </c>
      <c r="K110" t="s">
        <v>57</v>
      </c>
      <c r="L110">
        <v>376</v>
      </c>
      <c r="P110" t="s">
        <v>2486</v>
      </c>
      <c r="Q110">
        <v>2015</v>
      </c>
      <c r="R110">
        <v>2012</v>
      </c>
      <c r="S110" s="1">
        <v>45743</v>
      </c>
      <c r="T110" s="1">
        <v>45677</v>
      </c>
      <c r="U110" t="s">
        <v>4120</v>
      </c>
      <c r="V110" t="s">
        <v>4114</v>
      </c>
      <c r="W110" t="s">
        <v>4121</v>
      </c>
      <c r="X110" t="s">
        <v>2603</v>
      </c>
      <c r="Y110" t="s">
        <v>4125</v>
      </c>
    </row>
    <row r="111" spans="1:25" x14ac:dyDescent="0.25">
      <c r="A111">
        <v>110</v>
      </c>
      <c r="B111">
        <v>197128050</v>
      </c>
      <c r="C111" t="s">
        <v>3057</v>
      </c>
      <c r="D111" t="s">
        <v>309</v>
      </c>
      <c r="E111" t="s">
        <v>27</v>
      </c>
      <c r="F111" t="s">
        <v>28</v>
      </c>
      <c r="H111" t="s">
        <v>3058</v>
      </c>
      <c r="I111" t="s">
        <v>2901</v>
      </c>
      <c r="J111" t="s">
        <v>1759</v>
      </c>
      <c r="K111" t="s">
        <v>2488</v>
      </c>
      <c r="L111">
        <v>432</v>
      </c>
      <c r="P111" t="s">
        <v>2494</v>
      </c>
      <c r="Q111">
        <v>2023</v>
      </c>
      <c r="R111">
        <v>2019</v>
      </c>
      <c r="S111" s="1">
        <v>45736</v>
      </c>
      <c r="T111" s="1">
        <v>45732</v>
      </c>
      <c r="U111" t="s">
        <v>4120</v>
      </c>
      <c r="V111" t="s">
        <v>4114</v>
      </c>
      <c r="W111" t="s">
        <v>4121</v>
      </c>
      <c r="X111" t="s">
        <v>2603</v>
      </c>
      <c r="Y111" t="s">
        <v>4116</v>
      </c>
    </row>
    <row r="112" spans="1:25" x14ac:dyDescent="0.25">
      <c r="A112">
        <v>111</v>
      </c>
      <c r="B112">
        <v>61473429</v>
      </c>
      <c r="C112" t="s">
        <v>3059</v>
      </c>
      <c r="D112" t="s">
        <v>311</v>
      </c>
      <c r="E112" t="s">
        <v>27</v>
      </c>
      <c r="F112" t="s">
        <v>28</v>
      </c>
      <c r="H112" t="s">
        <v>3060</v>
      </c>
      <c r="I112" t="s">
        <v>2901</v>
      </c>
      <c r="J112" t="s">
        <v>1759</v>
      </c>
      <c r="K112" t="s">
        <v>2488</v>
      </c>
      <c r="L112">
        <v>528</v>
      </c>
      <c r="P112" t="s">
        <v>2494</v>
      </c>
      <c r="Q112">
        <v>2022</v>
      </c>
      <c r="R112">
        <v>2018</v>
      </c>
      <c r="S112" s="1">
        <v>45732</v>
      </c>
      <c r="T112" s="1">
        <v>45726</v>
      </c>
      <c r="U112" t="s">
        <v>4120</v>
      </c>
      <c r="V112" t="s">
        <v>4114</v>
      </c>
      <c r="W112" t="s">
        <v>4121</v>
      </c>
      <c r="X112" t="s">
        <v>2603</v>
      </c>
      <c r="Y112" t="s">
        <v>4116</v>
      </c>
    </row>
    <row r="113" spans="1:25" x14ac:dyDescent="0.25">
      <c r="A113">
        <v>112</v>
      </c>
      <c r="B113">
        <v>58140538</v>
      </c>
      <c r="C113" t="s">
        <v>312</v>
      </c>
      <c r="D113" t="s">
        <v>2559</v>
      </c>
      <c r="E113" t="s">
        <v>302</v>
      </c>
      <c r="F113" t="s">
        <v>303</v>
      </c>
      <c r="G113" t="s">
        <v>2556</v>
      </c>
      <c r="H113" t="s">
        <v>3061</v>
      </c>
      <c r="I113" t="s">
        <v>2933</v>
      </c>
      <c r="J113" t="s">
        <v>2499</v>
      </c>
      <c r="K113" t="s">
        <v>112</v>
      </c>
      <c r="L113">
        <v>660</v>
      </c>
      <c r="M113">
        <v>1.1548611111111111</v>
      </c>
      <c r="N113">
        <v>27.716666666666669</v>
      </c>
      <c r="O113" t="s">
        <v>3937</v>
      </c>
      <c r="P113" t="s">
        <v>2486</v>
      </c>
      <c r="Q113">
        <v>2025</v>
      </c>
      <c r="R113">
        <v>2020</v>
      </c>
      <c r="S113" s="1">
        <v>45731</v>
      </c>
      <c r="T113" s="1">
        <v>45725</v>
      </c>
      <c r="U113" t="s">
        <v>4138</v>
      </c>
      <c r="V113" t="s">
        <v>4114</v>
      </c>
      <c r="W113" t="s">
        <v>4115</v>
      </c>
      <c r="X113" t="s">
        <v>2603</v>
      </c>
      <c r="Y113" t="s">
        <v>4116</v>
      </c>
    </row>
    <row r="114" spans="1:25" x14ac:dyDescent="0.25">
      <c r="A114">
        <v>113</v>
      </c>
      <c r="B114">
        <v>48731637</v>
      </c>
      <c r="C114" t="s">
        <v>3062</v>
      </c>
      <c r="D114" t="s">
        <v>314</v>
      </c>
      <c r="E114" t="s">
        <v>315</v>
      </c>
      <c r="F114" t="s">
        <v>316</v>
      </c>
      <c r="H114" t="s">
        <v>3063</v>
      </c>
      <c r="I114" t="s">
        <v>2901</v>
      </c>
      <c r="J114" t="s">
        <v>1780</v>
      </c>
      <c r="K114" t="s">
        <v>57</v>
      </c>
      <c r="L114">
        <v>368</v>
      </c>
      <c r="P114" t="s">
        <v>2486</v>
      </c>
      <c r="Q114">
        <v>2019</v>
      </c>
      <c r="R114">
        <v>2014</v>
      </c>
      <c r="S114" s="1">
        <v>45723</v>
      </c>
      <c r="T114" s="1">
        <v>45718</v>
      </c>
      <c r="U114" t="s">
        <v>4113</v>
      </c>
      <c r="V114" t="s">
        <v>4114</v>
      </c>
      <c r="W114" t="s">
        <v>4121</v>
      </c>
      <c r="X114" t="s">
        <v>2603</v>
      </c>
      <c r="Y114" t="s">
        <v>4116</v>
      </c>
    </row>
    <row r="115" spans="1:25" x14ac:dyDescent="0.25">
      <c r="A115">
        <v>114</v>
      </c>
      <c r="B115">
        <v>214189212</v>
      </c>
      <c r="C115" t="s">
        <v>317</v>
      </c>
      <c r="D115" t="s">
        <v>2560</v>
      </c>
      <c r="E115" t="s">
        <v>197</v>
      </c>
      <c r="F115" t="s">
        <v>198</v>
      </c>
      <c r="G115" t="s">
        <v>2561</v>
      </c>
      <c r="H115" t="s">
        <v>3064</v>
      </c>
      <c r="I115" t="s">
        <v>2917</v>
      </c>
      <c r="J115" t="s">
        <v>2492</v>
      </c>
      <c r="K115" t="s">
        <v>112</v>
      </c>
      <c r="L115">
        <v>399</v>
      </c>
      <c r="M115">
        <v>0.51875000000000004</v>
      </c>
      <c r="N115">
        <v>12.450000000000001</v>
      </c>
      <c r="O115" t="s">
        <v>3938</v>
      </c>
      <c r="P115" t="s">
        <v>2486</v>
      </c>
      <c r="Q115">
        <v>2024</v>
      </c>
      <c r="R115">
        <v>2022</v>
      </c>
      <c r="S115" s="1">
        <v>45722</v>
      </c>
      <c r="T115" s="1">
        <v>45711</v>
      </c>
      <c r="U115" t="s">
        <v>4117</v>
      </c>
      <c r="V115" t="s">
        <v>4114</v>
      </c>
      <c r="W115" t="s">
        <v>4115</v>
      </c>
      <c r="X115" t="s">
        <v>2603</v>
      </c>
      <c r="Y115" t="s">
        <v>4116</v>
      </c>
    </row>
    <row r="116" spans="1:25" x14ac:dyDescent="0.25">
      <c r="A116">
        <v>115</v>
      </c>
      <c r="B116">
        <v>223546129</v>
      </c>
      <c r="C116" t="s">
        <v>318</v>
      </c>
      <c r="D116" t="s">
        <v>17</v>
      </c>
      <c r="E116" t="s">
        <v>319</v>
      </c>
      <c r="F116" t="s">
        <v>320</v>
      </c>
      <c r="H116" t="s">
        <v>3065</v>
      </c>
      <c r="I116" t="s">
        <v>2890</v>
      </c>
      <c r="J116" t="s">
        <v>1759</v>
      </c>
      <c r="K116" t="s">
        <v>2488</v>
      </c>
      <c r="L116">
        <v>296</v>
      </c>
      <c r="P116" t="s">
        <v>2494</v>
      </c>
      <c r="Q116">
        <v>2024</v>
      </c>
      <c r="R116">
        <v>2018</v>
      </c>
      <c r="S116" s="1">
        <v>45716</v>
      </c>
      <c r="T116" s="1">
        <v>45714</v>
      </c>
      <c r="U116" t="s">
        <v>4135</v>
      </c>
      <c r="V116" t="s">
        <v>4131</v>
      </c>
      <c r="W116" t="s">
        <v>4115</v>
      </c>
      <c r="X116" t="s">
        <v>2603</v>
      </c>
      <c r="Y116" t="s">
        <v>4125</v>
      </c>
    </row>
    <row r="117" spans="1:25" x14ac:dyDescent="0.25">
      <c r="A117">
        <v>116</v>
      </c>
      <c r="B117">
        <v>222104861</v>
      </c>
      <c r="C117" t="s">
        <v>321</v>
      </c>
      <c r="D117" t="s">
        <v>17</v>
      </c>
      <c r="E117" t="s">
        <v>322</v>
      </c>
      <c r="F117" t="s">
        <v>323</v>
      </c>
      <c r="H117" t="s">
        <v>3066</v>
      </c>
      <c r="I117" t="s">
        <v>2901</v>
      </c>
      <c r="J117" t="s">
        <v>1730</v>
      </c>
      <c r="K117" t="s">
        <v>2488</v>
      </c>
      <c r="L117">
        <v>376</v>
      </c>
      <c r="P117" t="s">
        <v>2494</v>
      </c>
      <c r="Q117">
        <v>2024</v>
      </c>
      <c r="R117">
        <v>2024</v>
      </c>
      <c r="S117" s="1">
        <v>45712</v>
      </c>
      <c r="T117" s="1">
        <v>45711</v>
      </c>
      <c r="U117" t="s">
        <v>4136</v>
      </c>
      <c r="V117" t="s">
        <v>4114</v>
      </c>
      <c r="W117" t="s">
        <v>4121</v>
      </c>
      <c r="X117" t="s">
        <v>2603</v>
      </c>
      <c r="Y117" t="s">
        <v>4125</v>
      </c>
    </row>
    <row r="118" spans="1:25" x14ac:dyDescent="0.25">
      <c r="A118">
        <v>117</v>
      </c>
      <c r="B118">
        <v>63054226</v>
      </c>
      <c r="C118" t="s">
        <v>324</v>
      </c>
      <c r="D118" t="s">
        <v>17</v>
      </c>
      <c r="E118" t="s">
        <v>163</v>
      </c>
      <c r="F118" t="s">
        <v>164</v>
      </c>
      <c r="H118" t="s">
        <v>3067</v>
      </c>
      <c r="I118" t="s">
        <v>2901</v>
      </c>
      <c r="J118" t="s">
        <v>1723</v>
      </c>
      <c r="K118" t="s">
        <v>2488</v>
      </c>
      <c r="L118">
        <v>488</v>
      </c>
      <c r="P118" t="s">
        <v>2494</v>
      </c>
      <c r="Q118">
        <v>2022</v>
      </c>
      <c r="R118">
        <v>2013</v>
      </c>
      <c r="S118" s="1">
        <v>45708</v>
      </c>
      <c r="T118" s="1">
        <v>45703</v>
      </c>
      <c r="U118" t="s">
        <v>4138</v>
      </c>
      <c r="V118" t="s">
        <v>4114</v>
      </c>
      <c r="W118" t="s">
        <v>4141</v>
      </c>
      <c r="X118" t="s">
        <v>2603</v>
      </c>
      <c r="Y118" t="s">
        <v>4125</v>
      </c>
    </row>
    <row r="119" spans="1:25" x14ac:dyDescent="0.25">
      <c r="A119">
        <v>118</v>
      </c>
      <c r="B119">
        <v>30175251</v>
      </c>
      <c r="C119" t="s">
        <v>325</v>
      </c>
      <c r="D119" t="s">
        <v>17</v>
      </c>
      <c r="E119" t="s">
        <v>326</v>
      </c>
      <c r="F119" t="s">
        <v>327</v>
      </c>
      <c r="H119" t="s">
        <v>3068</v>
      </c>
      <c r="I119" t="s">
        <v>2901</v>
      </c>
      <c r="J119" t="s">
        <v>1809</v>
      </c>
      <c r="K119" t="s">
        <v>2488</v>
      </c>
      <c r="L119">
        <v>584</v>
      </c>
      <c r="P119" t="s">
        <v>2494</v>
      </c>
      <c r="Q119">
        <v>2016</v>
      </c>
      <c r="R119">
        <v>2013</v>
      </c>
      <c r="S119" s="1">
        <v>45702</v>
      </c>
      <c r="T119" s="1">
        <v>45697</v>
      </c>
      <c r="U119" t="s">
        <v>4135</v>
      </c>
      <c r="V119" t="s">
        <v>4131</v>
      </c>
      <c r="W119" t="s">
        <v>4142</v>
      </c>
      <c r="X119" t="s">
        <v>4143</v>
      </c>
      <c r="Y119" t="s">
        <v>4125</v>
      </c>
    </row>
    <row r="120" spans="1:25" x14ac:dyDescent="0.25">
      <c r="A120">
        <v>119</v>
      </c>
      <c r="B120">
        <v>18140158</v>
      </c>
      <c r="C120" t="s">
        <v>328</v>
      </c>
      <c r="D120" t="s">
        <v>17</v>
      </c>
      <c r="E120" t="s">
        <v>329</v>
      </c>
      <c r="F120" t="s">
        <v>330</v>
      </c>
      <c r="H120" t="s">
        <v>3069</v>
      </c>
      <c r="I120" t="s">
        <v>2901</v>
      </c>
      <c r="J120" t="s">
        <v>2492</v>
      </c>
      <c r="K120" t="s">
        <v>112</v>
      </c>
      <c r="L120">
        <v>396</v>
      </c>
      <c r="M120">
        <v>0.5444444444444444</v>
      </c>
      <c r="N120">
        <v>13.066666666666666</v>
      </c>
      <c r="O120" t="s">
        <v>3939</v>
      </c>
      <c r="P120" t="s">
        <v>2486</v>
      </c>
      <c r="Q120">
        <v>2019</v>
      </c>
      <c r="R120">
        <v>2013</v>
      </c>
      <c r="S120" s="1">
        <v>45702</v>
      </c>
      <c r="T120" s="1">
        <v>45699</v>
      </c>
      <c r="U120" t="s">
        <v>4126</v>
      </c>
      <c r="V120" t="s">
        <v>4114</v>
      </c>
      <c r="W120" t="s">
        <v>4148</v>
      </c>
      <c r="X120" t="s">
        <v>2486</v>
      </c>
      <c r="Y120" t="s">
        <v>4125</v>
      </c>
    </row>
    <row r="121" spans="1:25" x14ac:dyDescent="0.25">
      <c r="A121">
        <v>120</v>
      </c>
      <c r="B121">
        <v>56100387</v>
      </c>
      <c r="C121" t="s">
        <v>331</v>
      </c>
      <c r="D121" t="s">
        <v>17</v>
      </c>
      <c r="E121" t="s">
        <v>332</v>
      </c>
      <c r="F121" t="s">
        <v>333</v>
      </c>
      <c r="G121" t="s">
        <v>2562</v>
      </c>
      <c r="H121" t="s">
        <v>3070</v>
      </c>
      <c r="I121" t="s">
        <v>2901</v>
      </c>
      <c r="J121" t="s">
        <v>2525</v>
      </c>
      <c r="K121" t="s">
        <v>112</v>
      </c>
      <c r="L121">
        <v>304</v>
      </c>
      <c r="M121">
        <v>0.37638888888888888</v>
      </c>
      <c r="N121">
        <v>9.0333333333333332</v>
      </c>
      <c r="O121" t="s">
        <v>3940</v>
      </c>
      <c r="P121" t="s">
        <v>2494</v>
      </c>
      <c r="Q121">
        <v>2020</v>
      </c>
      <c r="R121">
        <v>2020</v>
      </c>
      <c r="S121" s="1">
        <v>45696</v>
      </c>
      <c r="T121" s="1">
        <v>45691</v>
      </c>
      <c r="U121" t="s">
        <v>4129</v>
      </c>
      <c r="V121" t="s">
        <v>4114</v>
      </c>
      <c r="W121" t="s">
        <v>4123</v>
      </c>
      <c r="X121" t="s">
        <v>4124</v>
      </c>
      <c r="Y121" t="s">
        <v>4116</v>
      </c>
    </row>
    <row r="122" spans="1:25" x14ac:dyDescent="0.25">
      <c r="A122">
        <v>121</v>
      </c>
      <c r="B122">
        <v>216642849</v>
      </c>
      <c r="C122" t="s">
        <v>334</v>
      </c>
      <c r="D122" t="s">
        <v>17</v>
      </c>
      <c r="E122" t="s">
        <v>335</v>
      </c>
      <c r="F122" t="s">
        <v>2563</v>
      </c>
      <c r="G122" t="s">
        <v>2564</v>
      </c>
      <c r="H122" t="s">
        <v>3071</v>
      </c>
      <c r="I122" t="s">
        <v>2917</v>
      </c>
      <c r="J122" t="s">
        <v>2565</v>
      </c>
      <c r="K122" t="s">
        <v>112</v>
      </c>
      <c r="L122">
        <v>264</v>
      </c>
      <c r="M122">
        <v>0.27361111111111114</v>
      </c>
      <c r="N122">
        <v>6.5666666666666673</v>
      </c>
      <c r="O122" t="s">
        <v>3941</v>
      </c>
      <c r="P122" t="s">
        <v>2494</v>
      </c>
      <c r="Q122">
        <v>2024</v>
      </c>
      <c r="R122">
        <v>2024</v>
      </c>
      <c r="S122" s="1">
        <v>45695</v>
      </c>
      <c r="T122" s="1">
        <v>45694</v>
      </c>
      <c r="U122" t="s">
        <v>4157</v>
      </c>
      <c r="V122" t="s">
        <v>4131</v>
      </c>
      <c r="W122" t="s">
        <v>4133</v>
      </c>
      <c r="X122" t="s">
        <v>2494</v>
      </c>
      <c r="Y122" t="s">
        <v>4116</v>
      </c>
    </row>
    <row r="123" spans="1:25" x14ac:dyDescent="0.25">
      <c r="A123">
        <v>122</v>
      </c>
      <c r="B123">
        <v>50251321</v>
      </c>
      <c r="C123" t="s">
        <v>336</v>
      </c>
      <c r="D123" t="s">
        <v>17</v>
      </c>
      <c r="E123" t="s">
        <v>337</v>
      </c>
      <c r="F123" t="s">
        <v>338</v>
      </c>
      <c r="G123" t="s">
        <v>2566</v>
      </c>
      <c r="H123" t="s">
        <v>3072</v>
      </c>
      <c r="I123" t="s">
        <v>2917</v>
      </c>
      <c r="J123" t="s">
        <v>2545</v>
      </c>
      <c r="K123" t="s">
        <v>112</v>
      </c>
      <c r="L123">
        <v>248</v>
      </c>
      <c r="M123">
        <v>0.24861111111111112</v>
      </c>
      <c r="N123">
        <v>5.9666666666666668</v>
      </c>
      <c r="O123" t="s">
        <v>3942</v>
      </c>
      <c r="P123" t="s">
        <v>2486</v>
      </c>
      <c r="Q123">
        <v>2020</v>
      </c>
      <c r="R123">
        <v>2020</v>
      </c>
      <c r="S123" s="1">
        <v>45694</v>
      </c>
      <c r="T123" s="1">
        <v>45694</v>
      </c>
      <c r="U123" t="s">
        <v>4135</v>
      </c>
      <c r="V123" t="s">
        <v>4131</v>
      </c>
      <c r="W123" t="s">
        <v>4148</v>
      </c>
      <c r="X123" t="s">
        <v>2486</v>
      </c>
      <c r="Y123" t="s">
        <v>4125</v>
      </c>
    </row>
    <row r="124" spans="1:25" x14ac:dyDescent="0.25">
      <c r="A124">
        <v>123</v>
      </c>
      <c r="B124">
        <v>43362928</v>
      </c>
      <c r="C124" t="s">
        <v>339</v>
      </c>
      <c r="D124" t="s">
        <v>17</v>
      </c>
      <c r="E124" t="s">
        <v>163</v>
      </c>
      <c r="F124" t="s">
        <v>164</v>
      </c>
      <c r="H124" t="s">
        <v>3073</v>
      </c>
      <c r="I124" t="s">
        <v>2901</v>
      </c>
      <c r="J124" t="s">
        <v>1816</v>
      </c>
      <c r="K124" t="s">
        <v>2488</v>
      </c>
      <c r="L124">
        <v>459</v>
      </c>
      <c r="P124" t="s">
        <v>2494</v>
      </c>
      <c r="Q124">
        <v>2018</v>
      </c>
      <c r="R124">
        <v>2016</v>
      </c>
      <c r="S124" s="1">
        <v>45691</v>
      </c>
      <c r="T124" s="1">
        <v>45689</v>
      </c>
      <c r="U124" t="s">
        <v>4138</v>
      </c>
      <c r="V124" t="s">
        <v>4114</v>
      </c>
      <c r="W124" t="s">
        <v>4141</v>
      </c>
      <c r="X124" t="s">
        <v>2603</v>
      </c>
      <c r="Y124" t="s">
        <v>4125</v>
      </c>
    </row>
    <row r="125" spans="1:25" x14ac:dyDescent="0.25">
      <c r="A125">
        <v>124</v>
      </c>
      <c r="B125">
        <v>57600275</v>
      </c>
      <c r="C125" t="s">
        <v>340</v>
      </c>
      <c r="D125" t="s">
        <v>17</v>
      </c>
      <c r="E125" t="s">
        <v>341</v>
      </c>
      <c r="F125" t="s">
        <v>342</v>
      </c>
      <c r="H125" t="s">
        <v>3074</v>
      </c>
      <c r="I125" t="s">
        <v>2901</v>
      </c>
      <c r="J125" t="s">
        <v>1770</v>
      </c>
      <c r="K125" t="s">
        <v>2488</v>
      </c>
      <c r="L125">
        <v>352</v>
      </c>
      <c r="P125" t="s">
        <v>2494</v>
      </c>
      <c r="Q125">
        <v>2021</v>
      </c>
      <c r="R125">
        <v>2019</v>
      </c>
      <c r="S125" s="1">
        <v>45684</v>
      </c>
      <c r="T125" s="1">
        <v>45677</v>
      </c>
      <c r="U125" t="s">
        <v>4134</v>
      </c>
      <c r="V125" t="s">
        <v>4114</v>
      </c>
      <c r="W125" t="s">
        <v>4121</v>
      </c>
      <c r="X125" t="s">
        <v>2603</v>
      </c>
      <c r="Y125" t="s">
        <v>4125</v>
      </c>
    </row>
    <row r="126" spans="1:25" x14ac:dyDescent="0.25">
      <c r="A126">
        <v>125</v>
      </c>
      <c r="B126">
        <v>199215534</v>
      </c>
      <c r="C126" t="s">
        <v>343</v>
      </c>
      <c r="D126" t="s">
        <v>17</v>
      </c>
      <c r="E126" t="s">
        <v>344</v>
      </c>
      <c r="F126" t="s">
        <v>345</v>
      </c>
      <c r="G126" t="s">
        <v>2567</v>
      </c>
      <c r="H126" t="s">
        <v>3075</v>
      </c>
      <c r="I126" t="s">
        <v>2917</v>
      </c>
      <c r="J126" t="s">
        <v>1725</v>
      </c>
      <c r="K126" t="s">
        <v>112</v>
      </c>
      <c r="L126">
        <v>245</v>
      </c>
      <c r="M126">
        <v>0.24236111111111111</v>
      </c>
      <c r="N126">
        <v>5.8166666666666664</v>
      </c>
      <c r="O126" t="s">
        <v>3943</v>
      </c>
      <c r="P126" t="s">
        <v>2486</v>
      </c>
      <c r="Q126">
        <v>2023</v>
      </c>
      <c r="R126">
        <v>2023</v>
      </c>
      <c r="S126" s="1">
        <v>45683</v>
      </c>
      <c r="T126" s="1">
        <v>45683</v>
      </c>
      <c r="U126" t="s">
        <v>4130</v>
      </c>
      <c r="V126" t="s">
        <v>4131</v>
      </c>
      <c r="W126" t="s">
        <v>4148</v>
      </c>
      <c r="X126" t="s">
        <v>2486</v>
      </c>
      <c r="Y126" t="s">
        <v>4125</v>
      </c>
    </row>
    <row r="127" spans="1:25" x14ac:dyDescent="0.25">
      <c r="A127">
        <v>126</v>
      </c>
      <c r="B127">
        <v>206322815</v>
      </c>
      <c r="C127" t="s">
        <v>3076</v>
      </c>
      <c r="D127" t="s">
        <v>347</v>
      </c>
      <c r="E127" t="s">
        <v>241</v>
      </c>
      <c r="F127" t="s">
        <v>242</v>
      </c>
      <c r="G127" t="s">
        <v>2568</v>
      </c>
      <c r="H127" t="s">
        <v>3077</v>
      </c>
      <c r="I127" t="s">
        <v>2890</v>
      </c>
      <c r="J127" t="s">
        <v>2545</v>
      </c>
      <c r="K127" t="s">
        <v>112</v>
      </c>
      <c r="L127">
        <v>1152</v>
      </c>
      <c r="M127">
        <v>1.9395833333333334</v>
      </c>
      <c r="N127">
        <v>46.550000000000004</v>
      </c>
      <c r="O127" t="s">
        <v>3944</v>
      </c>
      <c r="P127" t="s">
        <v>2486</v>
      </c>
      <c r="Q127">
        <v>2024</v>
      </c>
      <c r="R127">
        <v>2022</v>
      </c>
      <c r="S127" s="1">
        <v>45681</v>
      </c>
      <c r="T127" s="1">
        <v>45660</v>
      </c>
      <c r="U127" t="s">
        <v>4117</v>
      </c>
      <c r="V127" t="s">
        <v>4114</v>
      </c>
      <c r="W127" t="s">
        <v>4115</v>
      </c>
      <c r="X127" t="s">
        <v>2603</v>
      </c>
      <c r="Y127" t="s">
        <v>4125</v>
      </c>
    </row>
    <row r="128" spans="1:25" x14ac:dyDescent="0.25">
      <c r="A128">
        <v>127</v>
      </c>
      <c r="B128">
        <v>72417922</v>
      </c>
      <c r="C128" t="s">
        <v>348</v>
      </c>
      <c r="D128" t="s">
        <v>17</v>
      </c>
      <c r="E128" t="s">
        <v>349</v>
      </c>
      <c r="F128" t="s">
        <v>350</v>
      </c>
      <c r="H128" t="s">
        <v>3078</v>
      </c>
      <c r="I128" t="s">
        <v>2901</v>
      </c>
      <c r="J128" t="s">
        <v>1822</v>
      </c>
      <c r="K128" t="s">
        <v>2488</v>
      </c>
      <c r="L128">
        <v>360</v>
      </c>
      <c r="P128" t="s">
        <v>2494</v>
      </c>
      <c r="Q128">
        <v>2022</v>
      </c>
      <c r="R128">
        <v>2007</v>
      </c>
      <c r="S128" s="1">
        <v>45681</v>
      </c>
      <c r="T128" s="1">
        <v>45678</v>
      </c>
      <c r="U128" t="s">
        <v>4158</v>
      </c>
      <c r="V128" t="s">
        <v>4114</v>
      </c>
      <c r="W128" t="s">
        <v>4127</v>
      </c>
      <c r="X128" t="s">
        <v>4128</v>
      </c>
      <c r="Y128" t="s">
        <v>4125</v>
      </c>
    </row>
    <row r="129" spans="1:25" x14ac:dyDescent="0.25">
      <c r="A129">
        <v>128</v>
      </c>
      <c r="B129">
        <v>40691871</v>
      </c>
      <c r="C129" t="s">
        <v>351</v>
      </c>
      <c r="D129" t="s">
        <v>17</v>
      </c>
      <c r="E129" t="s">
        <v>352</v>
      </c>
      <c r="F129" t="s">
        <v>353</v>
      </c>
      <c r="H129" t="s">
        <v>3079</v>
      </c>
      <c r="I129" t="s">
        <v>2901</v>
      </c>
      <c r="J129" t="s">
        <v>1668</v>
      </c>
      <c r="K129" t="s">
        <v>2488</v>
      </c>
      <c r="L129">
        <v>280</v>
      </c>
      <c r="P129" t="s">
        <v>2494</v>
      </c>
      <c r="Q129">
        <v>2018</v>
      </c>
      <c r="R129">
        <v>2018</v>
      </c>
      <c r="S129" s="1">
        <v>45634</v>
      </c>
      <c r="T129" s="1">
        <v>45627</v>
      </c>
      <c r="U129" t="s">
        <v>4129</v>
      </c>
      <c r="V129" t="s">
        <v>4114</v>
      </c>
      <c r="W129" t="s">
        <v>4115</v>
      </c>
      <c r="X129" t="s">
        <v>2603</v>
      </c>
      <c r="Y129" t="s">
        <v>4125</v>
      </c>
    </row>
    <row r="130" spans="1:25" x14ac:dyDescent="0.25">
      <c r="A130">
        <v>129</v>
      </c>
      <c r="B130">
        <v>199134543</v>
      </c>
      <c r="C130" t="s">
        <v>354</v>
      </c>
      <c r="D130" t="s">
        <v>17</v>
      </c>
      <c r="E130" t="s">
        <v>62</v>
      </c>
      <c r="F130" t="s">
        <v>63</v>
      </c>
      <c r="H130" t="s">
        <v>3080</v>
      </c>
      <c r="I130" t="s">
        <v>2890</v>
      </c>
      <c r="J130" t="s">
        <v>1668</v>
      </c>
      <c r="K130" t="s">
        <v>2488</v>
      </c>
      <c r="L130">
        <v>464</v>
      </c>
      <c r="P130" t="s">
        <v>2494</v>
      </c>
      <c r="Q130">
        <v>2023</v>
      </c>
      <c r="R130">
        <v>2023</v>
      </c>
      <c r="S130" s="1">
        <v>45674</v>
      </c>
      <c r="T130" s="1">
        <v>45672</v>
      </c>
      <c r="U130" t="s">
        <v>4132</v>
      </c>
      <c r="V130" t="s">
        <v>4114</v>
      </c>
      <c r="W130" t="s">
        <v>4133</v>
      </c>
      <c r="X130" t="s">
        <v>2494</v>
      </c>
      <c r="Y130" t="s">
        <v>4116</v>
      </c>
    </row>
    <row r="131" spans="1:25" x14ac:dyDescent="0.25">
      <c r="A131">
        <v>130</v>
      </c>
      <c r="B131">
        <v>40493858</v>
      </c>
      <c r="C131" t="s">
        <v>355</v>
      </c>
      <c r="D131" t="s">
        <v>17</v>
      </c>
      <c r="E131" t="s">
        <v>356</v>
      </c>
      <c r="F131" t="s">
        <v>357</v>
      </c>
      <c r="H131" t="s">
        <v>3081</v>
      </c>
      <c r="I131" t="s">
        <v>2901</v>
      </c>
      <c r="J131" t="s">
        <v>1668</v>
      </c>
      <c r="K131" t="s">
        <v>2488</v>
      </c>
      <c r="L131">
        <v>320</v>
      </c>
      <c r="P131" t="s">
        <v>2494</v>
      </c>
      <c r="Q131">
        <v>2018</v>
      </c>
      <c r="R131">
        <v>2015</v>
      </c>
      <c r="S131" s="1">
        <v>45667</v>
      </c>
      <c r="T131" s="1">
        <v>45663</v>
      </c>
      <c r="U131" t="s">
        <v>4134</v>
      </c>
      <c r="V131" t="s">
        <v>4114</v>
      </c>
      <c r="W131" t="s">
        <v>4118</v>
      </c>
      <c r="X131" t="s">
        <v>4119</v>
      </c>
      <c r="Y131" t="s">
        <v>4125</v>
      </c>
    </row>
    <row r="132" spans="1:25" x14ac:dyDescent="0.25">
      <c r="A132">
        <v>131</v>
      </c>
      <c r="B132">
        <v>169757740</v>
      </c>
      <c r="C132" t="s">
        <v>358</v>
      </c>
      <c r="D132" t="s">
        <v>17</v>
      </c>
      <c r="E132" t="s">
        <v>359</v>
      </c>
      <c r="F132" t="s">
        <v>360</v>
      </c>
      <c r="G132" t="s">
        <v>2518</v>
      </c>
      <c r="H132" t="s">
        <v>3082</v>
      </c>
      <c r="I132" t="s">
        <v>2917</v>
      </c>
      <c r="J132" t="s">
        <v>2519</v>
      </c>
      <c r="K132" t="s">
        <v>112</v>
      </c>
      <c r="L132">
        <v>288</v>
      </c>
      <c r="M132">
        <v>0.29375000000000001</v>
      </c>
      <c r="N132">
        <v>7.0500000000000007</v>
      </c>
      <c r="O132" t="s">
        <v>3945</v>
      </c>
      <c r="P132" t="s">
        <v>2494</v>
      </c>
      <c r="Q132">
        <v>2023</v>
      </c>
      <c r="R132">
        <v>2023</v>
      </c>
      <c r="S132" s="1">
        <v>45660</v>
      </c>
      <c r="T132" s="1">
        <v>45658</v>
      </c>
      <c r="U132" t="s">
        <v>4117</v>
      </c>
      <c r="V132" t="s">
        <v>4114</v>
      </c>
      <c r="W132" t="s">
        <v>4142</v>
      </c>
      <c r="X132" t="s">
        <v>4143</v>
      </c>
      <c r="Y132" t="s">
        <v>4116</v>
      </c>
    </row>
    <row r="133" spans="1:25" x14ac:dyDescent="0.25">
      <c r="A133">
        <v>132</v>
      </c>
      <c r="B133">
        <v>58340727</v>
      </c>
      <c r="C133" t="s">
        <v>2569</v>
      </c>
      <c r="D133" t="s">
        <v>17</v>
      </c>
      <c r="E133" t="s">
        <v>361</v>
      </c>
      <c r="F133" t="s">
        <v>362</v>
      </c>
      <c r="H133" t="s">
        <v>3083</v>
      </c>
      <c r="I133" t="s">
        <v>2890</v>
      </c>
      <c r="J133" t="s">
        <v>1828</v>
      </c>
      <c r="K133" t="s">
        <v>57</v>
      </c>
      <c r="L133">
        <v>375</v>
      </c>
      <c r="P133" t="s">
        <v>2486</v>
      </c>
      <c r="Q133">
        <v>2022</v>
      </c>
      <c r="R133">
        <v>2022</v>
      </c>
      <c r="S133" s="1">
        <v>45658</v>
      </c>
      <c r="T133" s="1">
        <v>45638</v>
      </c>
      <c r="U133" t="s">
        <v>4117</v>
      </c>
      <c r="V133" t="s">
        <v>4114</v>
      </c>
      <c r="W133" t="s">
        <v>4156</v>
      </c>
      <c r="X133" t="s">
        <v>2603</v>
      </c>
      <c r="Y133" t="s">
        <v>4116</v>
      </c>
    </row>
    <row r="134" spans="1:25" x14ac:dyDescent="0.25">
      <c r="A134">
        <v>133</v>
      </c>
      <c r="B134">
        <v>36286765</v>
      </c>
      <c r="C134" t="s">
        <v>363</v>
      </c>
      <c r="D134" t="s">
        <v>17</v>
      </c>
      <c r="E134" t="s">
        <v>364</v>
      </c>
      <c r="F134" t="s">
        <v>365</v>
      </c>
      <c r="H134" t="s">
        <v>3084</v>
      </c>
      <c r="I134" t="s">
        <v>2890</v>
      </c>
      <c r="J134" t="s">
        <v>1829</v>
      </c>
      <c r="K134" t="s">
        <v>57</v>
      </c>
      <c r="L134">
        <v>140</v>
      </c>
      <c r="P134" t="s">
        <v>2486</v>
      </c>
      <c r="Q134">
        <v>2017</v>
      </c>
      <c r="R134">
        <v>2006</v>
      </c>
      <c r="S134" s="1">
        <v>44802</v>
      </c>
      <c r="T134" s="1">
        <v>44801</v>
      </c>
      <c r="U134" t="s">
        <v>4126</v>
      </c>
      <c r="V134" t="s">
        <v>4114</v>
      </c>
      <c r="W134" t="s">
        <v>4159</v>
      </c>
      <c r="X134" t="s">
        <v>4160</v>
      </c>
      <c r="Y134" t="s">
        <v>4147</v>
      </c>
    </row>
    <row r="135" spans="1:25" x14ac:dyDescent="0.25">
      <c r="A135">
        <v>134</v>
      </c>
      <c r="B135">
        <v>59462661</v>
      </c>
      <c r="C135" t="s">
        <v>366</v>
      </c>
      <c r="D135" t="s">
        <v>17</v>
      </c>
      <c r="E135" t="s">
        <v>367</v>
      </c>
      <c r="F135" t="s">
        <v>368</v>
      </c>
      <c r="G135" t="s">
        <v>2552</v>
      </c>
      <c r="H135" t="s">
        <v>3085</v>
      </c>
      <c r="I135" t="s">
        <v>2901</v>
      </c>
      <c r="J135" t="s">
        <v>2532</v>
      </c>
      <c r="K135" t="s">
        <v>112</v>
      </c>
      <c r="L135">
        <v>336</v>
      </c>
      <c r="M135">
        <v>0.40486111111111112</v>
      </c>
      <c r="N135">
        <v>9.7166666666666668</v>
      </c>
      <c r="O135" t="s">
        <v>3946</v>
      </c>
      <c r="P135" t="s">
        <v>2494</v>
      </c>
      <c r="Q135">
        <v>2024</v>
      </c>
      <c r="R135">
        <v>2020</v>
      </c>
      <c r="S135" s="1">
        <v>45656</v>
      </c>
      <c r="T135" s="1">
        <v>45641</v>
      </c>
      <c r="U135" t="s">
        <v>4134</v>
      </c>
      <c r="V135" t="s">
        <v>4114</v>
      </c>
      <c r="W135" t="s">
        <v>4115</v>
      </c>
      <c r="X135" t="s">
        <v>2603</v>
      </c>
      <c r="Y135" t="s">
        <v>4116</v>
      </c>
    </row>
    <row r="136" spans="1:25" x14ac:dyDescent="0.25">
      <c r="A136">
        <v>135</v>
      </c>
      <c r="B136">
        <v>51107630</v>
      </c>
      <c r="C136" t="s">
        <v>369</v>
      </c>
      <c r="D136" t="s">
        <v>17</v>
      </c>
      <c r="E136" t="s">
        <v>370</v>
      </c>
      <c r="F136" t="s">
        <v>371</v>
      </c>
      <c r="G136" t="s">
        <v>2570</v>
      </c>
      <c r="H136" t="s">
        <v>3086</v>
      </c>
      <c r="I136" t="s">
        <v>2890</v>
      </c>
      <c r="J136" t="s">
        <v>2571</v>
      </c>
      <c r="K136" t="s">
        <v>112</v>
      </c>
      <c r="L136">
        <v>312</v>
      </c>
      <c r="M136">
        <v>0.60624999999999996</v>
      </c>
      <c r="N136">
        <v>14.549999999999999</v>
      </c>
      <c r="O136" t="s">
        <v>3947</v>
      </c>
      <c r="P136" t="s">
        <v>2486</v>
      </c>
      <c r="Q136">
        <v>2024</v>
      </c>
      <c r="R136">
        <v>2018</v>
      </c>
      <c r="S136" s="1">
        <v>45653</v>
      </c>
      <c r="T136" s="1">
        <v>45643</v>
      </c>
      <c r="U136" t="s">
        <v>4135</v>
      </c>
      <c r="V136" t="s">
        <v>4131</v>
      </c>
      <c r="W136" t="s">
        <v>4121</v>
      </c>
      <c r="X136" t="s">
        <v>2603</v>
      </c>
      <c r="Y136" t="s">
        <v>4125</v>
      </c>
    </row>
    <row r="137" spans="1:25" x14ac:dyDescent="0.25">
      <c r="A137">
        <v>136</v>
      </c>
      <c r="B137">
        <v>149124848</v>
      </c>
      <c r="C137" t="s">
        <v>372</v>
      </c>
      <c r="D137" t="s">
        <v>17</v>
      </c>
      <c r="E137" t="s">
        <v>373</v>
      </c>
      <c r="F137" t="s">
        <v>374</v>
      </c>
      <c r="G137" t="s">
        <v>2572</v>
      </c>
      <c r="H137" t="s">
        <v>3087</v>
      </c>
      <c r="I137" t="s">
        <v>2890</v>
      </c>
      <c r="J137" t="s">
        <v>1868</v>
      </c>
      <c r="K137" t="s">
        <v>112</v>
      </c>
      <c r="L137">
        <v>416</v>
      </c>
      <c r="M137">
        <v>0.39374999999999999</v>
      </c>
      <c r="N137">
        <v>9.4499999999999993</v>
      </c>
      <c r="O137" t="s">
        <v>3948</v>
      </c>
      <c r="P137" t="s">
        <v>2486</v>
      </c>
      <c r="Q137">
        <v>2023</v>
      </c>
      <c r="R137">
        <v>2023</v>
      </c>
      <c r="S137" s="1">
        <v>45652</v>
      </c>
      <c r="T137" s="1">
        <v>45647</v>
      </c>
      <c r="U137" t="s">
        <v>4135</v>
      </c>
      <c r="V137" t="s">
        <v>4131</v>
      </c>
      <c r="W137" t="s">
        <v>4115</v>
      </c>
      <c r="X137" t="s">
        <v>2603</v>
      </c>
      <c r="Y137" t="s">
        <v>4116</v>
      </c>
    </row>
    <row r="138" spans="1:25" x14ac:dyDescent="0.25">
      <c r="A138">
        <v>137</v>
      </c>
      <c r="B138">
        <v>57438620</v>
      </c>
      <c r="C138" t="s">
        <v>375</v>
      </c>
      <c r="D138" t="s">
        <v>17</v>
      </c>
      <c r="E138" t="s">
        <v>376</v>
      </c>
      <c r="F138" t="s">
        <v>377</v>
      </c>
      <c r="H138" t="s">
        <v>3088</v>
      </c>
      <c r="I138" t="s">
        <v>2890</v>
      </c>
      <c r="J138" t="s">
        <v>1668</v>
      </c>
      <c r="K138" t="s">
        <v>2488</v>
      </c>
      <c r="L138">
        <v>432</v>
      </c>
      <c r="P138" t="s">
        <v>2494</v>
      </c>
      <c r="Q138">
        <v>2018</v>
      </c>
      <c r="R138">
        <v>2016</v>
      </c>
      <c r="S138" s="1">
        <v>45648</v>
      </c>
      <c r="T138" s="1">
        <v>45636</v>
      </c>
      <c r="U138" t="s">
        <v>4134</v>
      </c>
      <c r="V138" t="s">
        <v>4114</v>
      </c>
      <c r="W138" t="s">
        <v>4161</v>
      </c>
      <c r="X138" t="s">
        <v>2603</v>
      </c>
      <c r="Y138" t="s">
        <v>4125</v>
      </c>
    </row>
    <row r="139" spans="1:25" x14ac:dyDescent="0.25">
      <c r="A139">
        <v>138</v>
      </c>
      <c r="B139">
        <v>38260409</v>
      </c>
      <c r="C139" t="s">
        <v>378</v>
      </c>
      <c r="D139" t="s">
        <v>17</v>
      </c>
      <c r="E139" t="s">
        <v>379</v>
      </c>
      <c r="F139" t="s">
        <v>380</v>
      </c>
      <c r="G139" t="s">
        <v>2573</v>
      </c>
      <c r="H139" t="s">
        <v>3089</v>
      </c>
      <c r="I139" t="s">
        <v>2890</v>
      </c>
      <c r="J139" t="s">
        <v>1834</v>
      </c>
      <c r="K139" t="s">
        <v>112</v>
      </c>
      <c r="L139">
        <v>212</v>
      </c>
      <c r="M139">
        <v>0.38263888888888886</v>
      </c>
      <c r="N139">
        <v>9.1833333333333336</v>
      </c>
      <c r="O139" t="s">
        <v>3949</v>
      </c>
      <c r="P139" t="s">
        <v>2494</v>
      </c>
      <c r="Q139">
        <v>2018</v>
      </c>
      <c r="R139">
        <v>2018</v>
      </c>
      <c r="S139" s="1">
        <v>45647</v>
      </c>
      <c r="T139" s="1">
        <v>45646</v>
      </c>
      <c r="U139" t="s">
        <v>4135</v>
      </c>
      <c r="V139" t="s">
        <v>4131</v>
      </c>
      <c r="W139" t="s">
        <v>4133</v>
      </c>
      <c r="X139" t="s">
        <v>2494</v>
      </c>
      <c r="Y139" t="s">
        <v>4116</v>
      </c>
    </row>
    <row r="140" spans="1:25" x14ac:dyDescent="0.25">
      <c r="A140">
        <v>139</v>
      </c>
      <c r="B140">
        <v>40691923</v>
      </c>
      <c r="C140" t="s">
        <v>381</v>
      </c>
      <c r="D140" t="s">
        <v>17</v>
      </c>
      <c r="E140" t="s">
        <v>382</v>
      </c>
      <c r="F140" t="s">
        <v>383</v>
      </c>
      <c r="H140" t="s">
        <v>3090</v>
      </c>
      <c r="I140" t="s">
        <v>2890</v>
      </c>
      <c r="J140" t="s">
        <v>1836</v>
      </c>
      <c r="K140" t="s">
        <v>57</v>
      </c>
      <c r="L140">
        <v>360</v>
      </c>
      <c r="P140" t="s">
        <v>2486</v>
      </c>
      <c r="Q140">
        <v>2018</v>
      </c>
      <c r="R140">
        <v>2017</v>
      </c>
      <c r="S140" s="1">
        <v>45646</v>
      </c>
      <c r="T140" s="1">
        <v>45552</v>
      </c>
      <c r="U140" t="s">
        <v>4149</v>
      </c>
      <c r="V140" t="s">
        <v>4114</v>
      </c>
      <c r="W140" t="s">
        <v>4115</v>
      </c>
      <c r="X140" t="s">
        <v>2603</v>
      </c>
      <c r="Y140" t="s">
        <v>4125</v>
      </c>
    </row>
    <row r="141" spans="1:25" x14ac:dyDescent="0.25">
      <c r="A141">
        <v>140</v>
      </c>
      <c r="B141">
        <v>39071691</v>
      </c>
      <c r="C141" t="s">
        <v>2574</v>
      </c>
      <c r="D141" t="s">
        <v>17</v>
      </c>
      <c r="E141" t="s">
        <v>384</v>
      </c>
      <c r="F141" t="s">
        <v>385</v>
      </c>
      <c r="G141" t="s">
        <v>2575</v>
      </c>
      <c r="H141" t="s">
        <v>3091</v>
      </c>
      <c r="I141" t="s">
        <v>2917</v>
      </c>
      <c r="J141" t="s">
        <v>1687</v>
      </c>
      <c r="K141" t="s">
        <v>112</v>
      </c>
      <c r="L141">
        <v>336</v>
      </c>
      <c r="M141">
        <v>0.28819444444444442</v>
      </c>
      <c r="N141">
        <v>6.9166666666666661</v>
      </c>
      <c r="O141" t="s">
        <v>3950</v>
      </c>
      <c r="P141" t="s">
        <v>2486</v>
      </c>
      <c r="Q141">
        <v>2018</v>
      </c>
      <c r="R141">
        <v>2018</v>
      </c>
      <c r="S141" s="1">
        <v>45644</v>
      </c>
      <c r="T141" s="1">
        <v>45644</v>
      </c>
      <c r="U141" t="s">
        <v>4130</v>
      </c>
      <c r="V141" t="s">
        <v>4131</v>
      </c>
      <c r="W141" t="s">
        <v>4121</v>
      </c>
      <c r="X141" t="s">
        <v>2603</v>
      </c>
      <c r="Y141" t="s">
        <v>4116</v>
      </c>
    </row>
    <row r="142" spans="1:25" x14ac:dyDescent="0.25">
      <c r="A142">
        <v>141</v>
      </c>
      <c r="B142">
        <v>64394054</v>
      </c>
      <c r="C142" t="s">
        <v>386</v>
      </c>
      <c r="D142" t="s">
        <v>2577</v>
      </c>
      <c r="E142" t="s">
        <v>215</v>
      </c>
      <c r="F142" t="s">
        <v>216</v>
      </c>
      <c r="G142" t="s">
        <v>2531</v>
      </c>
      <c r="H142" t="s">
        <v>3092</v>
      </c>
      <c r="I142" t="s">
        <v>2901</v>
      </c>
      <c r="J142" t="s">
        <v>2532</v>
      </c>
      <c r="K142" t="s">
        <v>112</v>
      </c>
      <c r="L142">
        <v>350</v>
      </c>
      <c r="M142">
        <v>0.56041666666666667</v>
      </c>
      <c r="N142">
        <v>13.45</v>
      </c>
      <c r="O142" t="s">
        <v>3951</v>
      </c>
      <c r="P142" t="s">
        <v>2494</v>
      </c>
      <c r="Q142">
        <v>2022</v>
      </c>
      <c r="R142">
        <v>2022</v>
      </c>
      <c r="S142" s="1">
        <v>45643</v>
      </c>
      <c r="T142" s="1">
        <v>45640</v>
      </c>
      <c r="U142" t="s">
        <v>4117</v>
      </c>
      <c r="V142" t="s">
        <v>4114</v>
      </c>
      <c r="W142" t="s">
        <v>4133</v>
      </c>
      <c r="X142" t="s">
        <v>2494</v>
      </c>
      <c r="Y142" t="s">
        <v>4116</v>
      </c>
    </row>
    <row r="143" spans="1:25" x14ac:dyDescent="0.25">
      <c r="A143">
        <v>142</v>
      </c>
      <c r="B143">
        <v>61159091</v>
      </c>
      <c r="C143" t="s">
        <v>387</v>
      </c>
      <c r="D143" t="s">
        <v>2576</v>
      </c>
      <c r="E143" t="s">
        <v>215</v>
      </c>
      <c r="F143" t="s">
        <v>216</v>
      </c>
      <c r="G143" t="s">
        <v>2531</v>
      </c>
      <c r="H143" t="s">
        <v>3093</v>
      </c>
      <c r="I143" t="s">
        <v>2890</v>
      </c>
      <c r="J143" t="s">
        <v>2532</v>
      </c>
      <c r="K143" t="s">
        <v>112</v>
      </c>
      <c r="L143">
        <v>352</v>
      </c>
      <c r="M143">
        <v>0.55902777777777779</v>
      </c>
      <c r="N143">
        <v>13.416666666666668</v>
      </c>
      <c r="O143" t="s">
        <v>3952</v>
      </c>
      <c r="P143" t="s">
        <v>2494</v>
      </c>
      <c r="Q143">
        <v>2022</v>
      </c>
      <c r="R143">
        <v>2022</v>
      </c>
      <c r="S143" s="1">
        <v>45640</v>
      </c>
      <c r="T143" s="1">
        <v>45633</v>
      </c>
      <c r="U143" t="s">
        <v>4117</v>
      </c>
      <c r="V143" t="s">
        <v>4114</v>
      </c>
      <c r="W143" t="s">
        <v>4133</v>
      </c>
      <c r="X143" t="s">
        <v>2494</v>
      </c>
      <c r="Y143" t="s">
        <v>4116</v>
      </c>
    </row>
    <row r="144" spans="1:25" x14ac:dyDescent="0.25">
      <c r="A144">
        <v>143</v>
      </c>
      <c r="B144">
        <v>59746850</v>
      </c>
      <c r="C144" t="s">
        <v>388</v>
      </c>
      <c r="D144" t="s">
        <v>2578</v>
      </c>
      <c r="E144" t="s">
        <v>215</v>
      </c>
      <c r="F144" t="s">
        <v>216</v>
      </c>
      <c r="G144" t="s">
        <v>2531</v>
      </c>
      <c r="H144" t="s">
        <v>3094</v>
      </c>
      <c r="I144" t="s">
        <v>2890</v>
      </c>
      <c r="J144" t="s">
        <v>2532</v>
      </c>
      <c r="K144" t="s">
        <v>112</v>
      </c>
      <c r="L144">
        <v>296</v>
      </c>
      <c r="M144">
        <v>0.44791666666666669</v>
      </c>
      <c r="N144">
        <v>10.75</v>
      </c>
      <c r="O144" t="s">
        <v>3953</v>
      </c>
      <c r="P144" t="s">
        <v>2494</v>
      </c>
      <c r="Q144">
        <v>2021</v>
      </c>
      <c r="R144">
        <v>2021</v>
      </c>
      <c r="S144" s="1">
        <v>45633</v>
      </c>
      <c r="T144" s="1">
        <v>45630</v>
      </c>
      <c r="U144" t="s">
        <v>4117</v>
      </c>
      <c r="V144" t="s">
        <v>4114</v>
      </c>
      <c r="W144" t="s">
        <v>4133</v>
      </c>
      <c r="X144" t="s">
        <v>2494</v>
      </c>
      <c r="Y144" t="s">
        <v>4116</v>
      </c>
    </row>
    <row r="145" spans="1:25" x14ac:dyDescent="0.25">
      <c r="A145">
        <v>144</v>
      </c>
      <c r="B145">
        <v>58375854</v>
      </c>
      <c r="C145" t="s">
        <v>389</v>
      </c>
      <c r="D145" t="s">
        <v>2579</v>
      </c>
      <c r="E145" t="s">
        <v>215</v>
      </c>
      <c r="F145" t="s">
        <v>216</v>
      </c>
      <c r="G145" t="s">
        <v>2531</v>
      </c>
      <c r="H145" t="s">
        <v>3095</v>
      </c>
      <c r="I145" t="s">
        <v>2890</v>
      </c>
      <c r="J145" t="s">
        <v>2532</v>
      </c>
      <c r="K145" t="s">
        <v>112</v>
      </c>
      <c r="L145">
        <v>328</v>
      </c>
      <c r="M145">
        <v>0.50277777777777777</v>
      </c>
      <c r="N145">
        <v>12.066666666666666</v>
      </c>
      <c r="O145" t="s">
        <v>3903</v>
      </c>
      <c r="P145" t="s">
        <v>2494</v>
      </c>
      <c r="Q145">
        <v>2021</v>
      </c>
      <c r="R145">
        <v>2021</v>
      </c>
      <c r="S145" s="1">
        <v>45630</v>
      </c>
      <c r="T145" s="1">
        <v>45627</v>
      </c>
      <c r="U145" t="s">
        <v>4117</v>
      </c>
      <c r="V145" t="s">
        <v>4114</v>
      </c>
      <c r="W145" t="s">
        <v>4133</v>
      </c>
      <c r="X145" t="s">
        <v>2494</v>
      </c>
      <c r="Y145" t="s">
        <v>4116</v>
      </c>
    </row>
    <row r="146" spans="1:25" x14ac:dyDescent="0.25">
      <c r="A146">
        <v>145</v>
      </c>
      <c r="B146">
        <v>221096109</v>
      </c>
      <c r="C146" t="s">
        <v>390</v>
      </c>
      <c r="D146" t="s">
        <v>17</v>
      </c>
      <c r="E146" t="s">
        <v>302</v>
      </c>
      <c r="F146" t="s">
        <v>303</v>
      </c>
      <c r="H146" t="s">
        <v>3096</v>
      </c>
      <c r="I146" t="s">
        <v>2901</v>
      </c>
      <c r="J146" t="s">
        <v>1723</v>
      </c>
      <c r="K146" t="s">
        <v>2488</v>
      </c>
      <c r="L146">
        <v>320</v>
      </c>
      <c r="P146" t="s">
        <v>2494</v>
      </c>
      <c r="Q146">
        <v>2024</v>
      </c>
      <c r="R146">
        <v>1978</v>
      </c>
      <c r="S146" s="1">
        <v>45628</v>
      </c>
      <c r="T146" s="1">
        <v>45618</v>
      </c>
      <c r="U146" t="s">
        <v>4138</v>
      </c>
      <c r="V146" t="s">
        <v>4114</v>
      </c>
      <c r="W146" t="s">
        <v>4115</v>
      </c>
      <c r="X146" t="s">
        <v>2603</v>
      </c>
      <c r="Y146" t="s">
        <v>4116</v>
      </c>
    </row>
    <row r="147" spans="1:25" x14ac:dyDescent="0.25">
      <c r="A147">
        <v>146</v>
      </c>
      <c r="B147">
        <v>56258811</v>
      </c>
      <c r="C147" t="s">
        <v>391</v>
      </c>
      <c r="D147" t="s">
        <v>2580</v>
      </c>
      <c r="E147" t="s">
        <v>215</v>
      </c>
      <c r="F147" t="s">
        <v>216</v>
      </c>
      <c r="G147" t="s">
        <v>2531</v>
      </c>
      <c r="H147" t="s">
        <v>3097</v>
      </c>
      <c r="I147" t="s">
        <v>2890</v>
      </c>
      <c r="J147" t="s">
        <v>2532</v>
      </c>
      <c r="K147" t="s">
        <v>112</v>
      </c>
      <c r="L147">
        <v>304</v>
      </c>
      <c r="M147">
        <v>0.41875000000000001</v>
      </c>
      <c r="N147">
        <v>10.050000000000001</v>
      </c>
      <c r="O147" t="s">
        <v>3954</v>
      </c>
      <c r="P147" t="s">
        <v>2494</v>
      </c>
      <c r="Q147">
        <v>2020</v>
      </c>
      <c r="R147">
        <v>2020</v>
      </c>
      <c r="S147" s="1">
        <v>45627</v>
      </c>
      <c r="T147" s="1">
        <v>45620</v>
      </c>
      <c r="U147" t="s">
        <v>4117</v>
      </c>
      <c r="V147" t="s">
        <v>4114</v>
      </c>
      <c r="W147" t="s">
        <v>4133</v>
      </c>
      <c r="X147" t="s">
        <v>2494</v>
      </c>
      <c r="Y147" t="s">
        <v>4116</v>
      </c>
    </row>
    <row r="148" spans="1:25" x14ac:dyDescent="0.25">
      <c r="A148">
        <v>147</v>
      </c>
      <c r="B148">
        <v>54753963</v>
      </c>
      <c r="C148" t="s">
        <v>392</v>
      </c>
      <c r="D148" t="s">
        <v>2581</v>
      </c>
      <c r="E148" t="s">
        <v>215</v>
      </c>
      <c r="F148" t="s">
        <v>216</v>
      </c>
      <c r="G148" t="s">
        <v>2531</v>
      </c>
      <c r="H148" t="s">
        <v>3098</v>
      </c>
      <c r="I148" t="s">
        <v>2890</v>
      </c>
      <c r="J148" t="s">
        <v>2532</v>
      </c>
      <c r="K148" t="s">
        <v>112</v>
      </c>
      <c r="L148">
        <v>304</v>
      </c>
      <c r="M148">
        <v>0.45416666666666666</v>
      </c>
      <c r="N148">
        <v>10.9</v>
      </c>
      <c r="O148" t="s">
        <v>3955</v>
      </c>
      <c r="P148" t="s">
        <v>2494</v>
      </c>
      <c r="Q148">
        <v>2020</v>
      </c>
      <c r="R148">
        <v>2020</v>
      </c>
      <c r="S148" s="1">
        <v>45620</v>
      </c>
      <c r="T148" s="1">
        <v>45619</v>
      </c>
      <c r="U148" t="s">
        <v>4117</v>
      </c>
      <c r="V148" t="s">
        <v>4114</v>
      </c>
      <c r="W148" t="s">
        <v>4133</v>
      </c>
      <c r="X148" t="s">
        <v>2494</v>
      </c>
      <c r="Y148" t="s">
        <v>4116</v>
      </c>
    </row>
    <row r="149" spans="1:25" x14ac:dyDescent="0.25">
      <c r="A149">
        <v>148</v>
      </c>
      <c r="B149">
        <v>28456341</v>
      </c>
      <c r="C149" t="s">
        <v>393</v>
      </c>
      <c r="D149" t="s">
        <v>17</v>
      </c>
      <c r="E149" t="s">
        <v>394</v>
      </c>
      <c r="F149" t="s">
        <v>395</v>
      </c>
      <c r="H149" t="s">
        <v>3099</v>
      </c>
      <c r="I149" t="s">
        <v>2901</v>
      </c>
      <c r="J149" t="s">
        <v>1668</v>
      </c>
      <c r="K149" t="s">
        <v>2488</v>
      </c>
      <c r="L149">
        <v>272</v>
      </c>
      <c r="P149" t="s">
        <v>2494</v>
      </c>
      <c r="Q149">
        <v>2014</v>
      </c>
      <c r="R149">
        <v>2014</v>
      </c>
      <c r="S149" s="1">
        <v>45619</v>
      </c>
      <c r="T149" s="1">
        <v>45606</v>
      </c>
      <c r="U149" t="s">
        <v>4149</v>
      </c>
      <c r="V149" t="s">
        <v>4114</v>
      </c>
      <c r="W149" t="s">
        <v>4133</v>
      </c>
      <c r="X149" t="s">
        <v>2494</v>
      </c>
      <c r="Y149" t="s">
        <v>4125</v>
      </c>
    </row>
    <row r="150" spans="1:25" x14ac:dyDescent="0.25">
      <c r="A150">
        <v>149</v>
      </c>
      <c r="B150">
        <v>49050237</v>
      </c>
      <c r="C150" t="s">
        <v>396</v>
      </c>
      <c r="D150" t="s">
        <v>2582</v>
      </c>
      <c r="E150" t="s">
        <v>215</v>
      </c>
      <c r="F150" t="s">
        <v>216</v>
      </c>
      <c r="G150" t="s">
        <v>2531</v>
      </c>
      <c r="H150" t="s">
        <v>3100</v>
      </c>
      <c r="I150" t="s">
        <v>2901</v>
      </c>
      <c r="J150" t="s">
        <v>2532</v>
      </c>
      <c r="K150" t="s">
        <v>112</v>
      </c>
      <c r="L150">
        <v>328</v>
      </c>
      <c r="M150">
        <v>0.47847222222222224</v>
      </c>
      <c r="N150">
        <v>11.483333333333334</v>
      </c>
      <c r="O150" t="s">
        <v>3956</v>
      </c>
      <c r="P150" t="s">
        <v>2494</v>
      </c>
      <c r="Q150">
        <v>2019</v>
      </c>
      <c r="R150">
        <v>2019</v>
      </c>
      <c r="S150" s="1">
        <v>45619</v>
      </c>
      <c r="T150" s="1">
        <v>45618</v>
      </c>
      <c r="U150" t="s">
        <v>4117</v>
      </c>
      <c r="V150" t="s">
        <v>4114</v>
      </c>
      <c r="W150" t="s">
        <v>4133</v>
      </c>
      <c r="X150" t="s">
        <v>2494</v>
      </c>
      <c r="Y150" t="s">
        <v>4116</v>
      </c>
    </row>
    <row r="151" spans="1:25" x14ac:dyDescent="0.25">
      <c r="A151">
        <v>150</v>
      </c>
      <c r="B151">
        <v>51065113</v>
      </c>
      <c r="C151" t="s">
        <v>397</v>
      </c>
      <c r="D151" t="s">
        <v>2583</v>
      </c>
      <c r="E151" t="s">
        <v>215</v>
      </c>
      <c r="F151" t="s">
        <v>216</v>
      </c>
      <c r="G151" t="s">
        <v>2531</v>
      </c>
      <c r="H151" t="s">
        <v>3101</v>
      </c>
      <c r="I151" t="s">
        <v>2901</v>
      </c>
      <c r="J151" t="s">
        <v>2532</v>
      </c>
      <c r="K151" t="s">
        <v>112</v>
      </c>
      <c r="L151">
        <v>320</v>
      </c>
      <c r="M151">
        <v>0.46388888888888891</v>
      </c>
      <c r="N151">
        <v>11.133333333333333</v>
      </c>
      <c r="O151" t="s">
        <v>3957</v>
      </c>
      <c r="P151" t="s">
        <v>2494</v>
      </c>
      <c r="Q151">
        <v>2019</v>
      </c>
      <c r="R151">
        <v>2019</v>
      </c>
      <c r="S151" s="1">
        <v>45616</v>
      </c>
      <c r="T151" s="1">
        <v>45615</v>
      </c>
      <c r="U151" t="s">
        <v>4117</v>
      </c>
      <c r="V151" t="s">
        <v>4114</v>
      </c>
      <c r="W151" t="s">
        <v>4133</v>
      </c>
      <c r="X151" t="s">
        <v>2494</v>
      </c>
      <c r="Y151" t="s">
        <v>4116</v>
      </c>
    </row>
    <row r="152" spans="1:25" x14ac:dyDescent="0.25">
      <c r="A152">
        <v>151</v>
      </c>
      <c r="B152">
        <v>58791517</v>
      </c>
      <c r="C152" t="s">
        <v>398</v>
      </c>
      <c r="D152" t="s">
        <v>17</v>
      </c>
      <c r="E152" t="s">
        <v>399</v>
      </c>
      <c r="F152" t="s">
        <v>400</v>
      </c>
      <c r="G152" t="s">
        <v>2564</v>
      </c>
      <c r="H152" t="s">
        <v>3102</v>
      </c>
      <c r="I152" t="s">
        <v>2890</v>
      </c>
      <c r="J152" t="s">
        <v>2584</v>
      </c>
      <c r="K152" t="s">
        <v>112</v>
      </c>
      <c r="L152">
        <v>256</v>
      </c>
      <c r="M152">
        <v>0.32222222222222224</v>
      </c>
      <c r="N152">
        <v>7.7333333333333343</v>
      </c>
      <c r="O152" t="s">
        <v>3958</v>
      </c>
      <c r="P152" t="s">
        <v>2494</v>
      </c>
      <c r="Q152">
        <v>2021</v>
      </c>
      <c r="R152">
        <v>2020</v>
      </c>
      <c r="S152" s="1">
        <v>45614</v>
      </c>
      <c r="T152" s="1">
        <v>45606</v>
      </c>
      <c r="U152" t="s">
        <v>4139</v>
      </c>
      <c r="V152" t="s">
        <v>4131</v>
      </c>
      <c r="W152" t="s">
        <v>4121</v>
      </c>
      <c r="X152" t="s">
        <v>2603</v>
      </c>
      <c r="Y152" t="s">
        <v>4116</v>
      </c>
    </row>
    <row r="153" spans="1:25" x14ac:dyDescent="0.25">
      <c r="A153">
        <v>152</v>
      </c>
      <c r="B153">
        <v>43180566</v>
      </c>
      <c r="C153" t="s">
        <v>401</v>
      </c>
      <c r="D153" t="s">
        <v>2585</v>
      </c>
      <c r="E153" t="s">
        <v>215</v>
      </c>
      <c r="F153" t="s">
        <v>216</v>
      </c>
      <c r="G153" t="s">
        <v>2531</v>
      </c>
      <c r="H153" t="s">
        <v>3103</v>
      </c>
      <c r="I153" t="s">
        <v>2890</v>
      </c>
      <c r="J153" t="s">
        <v>2532</v>
      </c>
      <c r="K153" t="s">
        <v>112</v>
      </c>
      <c r="L153">
        <v>320</v>
      </c>
      <c r="M153">
        <v>0.50694444444444442</v>
      </c>
      <c r="N153">
        <v>12.166666666666666</v>
      </c>
      <c r="O153" t="s">
        <v>3891</v>
      </c>
      <c r="P153" t="s">
        <v>2494</v>
      </c>
      <c r="Q153">
        <v>2018</v>
      </c>
      <c r="R153">
        <v>2018</v>
      </c>
      <c r="S153" s="1">
        <v>45610</v>
      </c>
      <c r="T153" s="1">
        <v>45610</v>
      </c>
      <c r="U153" t="s">
        <v>4117</v>
      </c>
      <c r="V153" t="s">
        <v>4114</v>
      </c>
      <c r="W153" t="s">
        <v>4133</v>
      </c>
      <c r="X153" t="s">
        <v>2494</v>
      </c>
      <c r="Y153" t="s">
        <v>4116</v>
      </c>
    </row>
    <row r="154" spans="1:25" x14ac:dyDescent="0.25">
      <c r="A154">
        <v>153</v>
      </c>
      <c r="B154">
        <v>35227660</v>
      </c>
      <c r="C154" t="s">
        <v>402</v>
      </c>
      <c r="D154" t="s">
        <v>17</v>
      </c>
      <c r="E154" t="s">
        <v>403</v>
      </c>
      <c r="F154" t="s">
        <v>404</v>
      </c>
      <c r="H154" t="s">
        <v>3104</v>
      </c>
      <c r="I154" t="s">
        <v>2901</v>
      </c>
      <c r="J154" t="s">
        <v>1668</v>
      </c>
      <c r="K154" t="s">
        <v>2488</v>
      </c>
      <c r="L154">
        <v>376</v>
      </c>
      <c r="P154" t="s">
        <v>2494</v>
      </c>
      <c r="Q154">
        <v>2017</v>
      </c>
      <c r="R154">
        <v>2016</v>
      </c>
      <c r="S154" s="1">
        <v>45606</v>
      </c>
      <c r="T154" s="1">
        <v>45605</v>
      </c>
      <c r="U154" t="s">
        <v>4134</v>
      </c>
      <c r="V154" t="s">
        <v>4114</v>
      </c>
      <c r="W154" t="s">
        <v>4121</v>
      </c>
      <c r="X154" t="s">
        <v>2603</v>
      </c>
      <c r="Y154" t="s">
        <v>4125</v>
      </c>
    </row>
    <row r="155" spans="1:25" x14ac:dyDescent="0.25">
      <c r="A155">
        <v>154</v>
      </c>
      <c r="B155">
        <v>40131394</v>
      </c>
      <c r="C155" t="s">
        <v>405</v>
      </c>
      <c r="D155" t="s">
        <v>2586</v>
      </c>
      <c r="E155" t="s">
        <v>215</v>
      </c>
      <c r="F155" t="s">
        <v>216</v>
      </c>
      <c r="G155" t="s">
        <v>2587</v>
      </c>
      <c r="H155" t="s">
        <v>3105</v>
      </c>
      <c r="I155" t="s">
        <v>2890</v>
      </c>
      <c r="J155" t="s">
        <v>2532</v>
      </c>
      <c r="K155" t="s">
        <v>112</v>
      </c>
      <c r="L155">
        <v>320</v>
      </c>
      <c r="M155">
        <v>0.46527777777777779</v>
      </c>
      <c r="N155">
        <v>11.166666666666668</v>
      </c>
      <c r="O155" t="s">
        <v>3959</v>
      </c>
      <c r="P155" t="s">
        <v>2494</v>
      </c>
      <c r="Q155">
        <v>2018</v>
      </c>
      <c r="R155">
        <v>2018</v>
      </c>
      <c r="S155" s="1">
        <v>45605</v>
      </c>
      <c r="T155" s="1">
        <v>45605</v>
      </c>
      <c r="U155" t="s">
        <v>4117</v>
      </c>
      <c r="V155" t="s">
        <v>4114</v>
      </c>
      <c r="W155" t="s">
        <v>4133</v>
      </c>
      <c r="X155" t="s">
        <v>2494</v>
      </c>
      <c r="Y155" t="s">
        <v>4116</v>
      </c>
    </row>
    <row r="156" spans="1:25" x14ac:dyDescent="0.25">
      <c r="A156">
        <v>155</v>
      </c>
      <c r="B156">
        <v>36269189</v>
      </c>
      <c r="C156" t="s">
        <v>406</v>
      </c>
      <c r="D156" t="s">
        <v>2588</v>
      </c>
      <c r="E156" t="s">
        <v>215</v>
      </c>
      <c r="F156" t="s">
        <v>216</v>
      </c>
      <c r="G156" t="s">
        <v>2587</v>
      </c>
      <c r="H156" t="s">
        <v>3106</v>
      </c>
      <c r="I156" t="s">
        <v>2917</v>
      </c>
      <c r="J156" t="s">
        <v>2532</v>
      </c>
      <c r="K156" t="s">
        <v>112</v>
      </c>
      <c r="L156">
        <v>250</v>
      </c>
      <c r="M156">
        <v>0.43263888888888891</v>
      </c>
      <c r="N156">
        <v>10.383333333333333</v>
      </c>
      <c r="O156" t="s">
        <v>3960</v>
      </c>
      <c r="P156" t="s">
        <v>2494</v>
      </c>
      <c r="Q156">
        <v>2017</v>
      </c>
      <c r="R156">
        <v>2017</v>
      </c>
      <c r="S156" s="1">
        <v>45600</v>
      </c>
      <c r="T156" s="1">
        <v>45600</v>
      </c>
      <c r="U156" t="s">
        <v>4117</v>
      </c>
      <c r="V156" t="s">
        <v>4114</v>
      </c>
      <c r="W156" t="s">
        <v>4133</v>
      </c>
      <c r="X156" t="s">
        <v>2494</v>
      </c>
      <c r="Y156" t="s">
        <v>4116</v>
      </c>
    </row>
    <row r="157" spans="1:25" x14ac:dyDescent="0.25">
      <c r="A157">
        <v>156</v>
      </c>
      <c r="B157">
        <v>34395011</v>
      </c>
      <c r="C157" t="s">
        <v>407</v>
      </c>
      <c r="D157" t="s">
        <v>17</v>
      </c>
      <c r="E157" t="s">
        <v>408</v>
      </c>
      <c r="F157" t="s">
        <v>409</v>
      </c>
      <c r="H157" t="s">
        <v>3107</v>
      </c>
      <c r="I157" t="s">
        <v>2890</v>
      </c>
      <c r="J157" t="s">
        <v>1668</v>
      </c>
      <c r="K157" t="s">
        <v>2488</v>
      </c>
      <c r="L157">
        <v>312</v>
      </c>
      <c r="P157" t="s">
        <v>2494</v>
      </c>
      <c r="Q157">
        <v>2017</v>
      </c>
      <c r="R157">
        <v>2016</v>
      </c>
      <c r="S157" s="1">
        <v>45593</v>
      </c>
      <c r="T157" s="1">
        <v>45591</v>
      </c>
      <c r="U157" t="s">
        <v>4129</v>
      </c>
      <c r="V157" t="s">
        <v>4114</v>
      </c>
      <c r="W157" t="s">
        <v>4141</v>
      </c>
      <c r="X157" t="s">
        <v>2603</v>
      </c>
      <c r="Y157" t="s">
        <v>4125</v>
      </c>
    </row>
    <row r="158" spans="1:25" x14ac:dyDescent="0.25">
      <c r="A158">
        <v>157</v>
      </c>
      <c r="B158">
        <v>34503255</v>
      </c>
      <c r="C158" t="s">
        <v>410</v>
      </c>
      <c r="D158" t="s">
        <v>2589</v>
      </c>
      <c r="E158" t="s">
        <v>215</v>
      </c>
      <c r="F158" t="s">
        <v>216</v>
      </c>
      <c r="G158" t="s">
        <v>2587</v>
      </c>
      <c r="H158" t="s">
        <v>3108</v>
      </c>
      <c r="I158" t="s">
        <v>2890</v>
      </c>
      <c r="J158" t="s">
        <v>2532</v>
      </c>
      <c r="K158" t="s">
        <v>112</v>
      </c>
      <c r="L158">
        <v>300</v>
      </c>
      <c r="M158">
        <v>0.44791666666666669</v>
      </c>
      <c r="N158">
        <v>10.75</v>
      </c>
      <c r="O158" t="s">
        <v>3953</v>
      </c>
      <c r="P158" t="s">
        <v>2494</v>
      </c>
      <c r="Q158">
        <v>2017</v>
      </c>
      <c r="R158">
        <v>2017</v>
      </c>
      <c r="S158" s="1">
        <v>45591</v>
      </c>
      <c r="T158" s="1">
        <v>45591</v>
      </c>
      <c r="U158" t="s">
        <v>4117</v>
      </c>
      <c r="V158" t="s">
        <v>4114</v>
      </c>
      <c r="W158" t="s">
        <v>4133</v>
      </c>
      <c r="X158" t="s">
        <v>2494</v>
      </c>
      <c r="Y158" t="s">
        <v>4116</v>
      </c>
    </row>
    <row r="159" spans="1:25" x14ac:dyDescent="0.25">
      <c r="A159">
        <v>158</v>
      </c>
      <c r="B159">
        <v>15726069</v>
      </c>
      <c r="C159" t="s">
        <v>411</v>
      </c>
      <c r="D159" t="s">
        <v>17</v>
      </c>
      <c r="E159" t="s">
        <v>412</v>
      </c>
      <c r="F159" t="s">
        <v>413</v>
      </c>
      <c r="H159" t="s">
        <v>3109</v>
      </c>
      <c r="I159" t="s">
        <v>2917</v>
      </c>
      <c r="J159" t="s">
        <v>1668</v>
      </c>
      <c r="K159" t="s">
        <v>2488</v>
      </c>
      <c r="L159">
        <v>192</v>
      </c>
      <c r="P159" t="s">
        <v>2494</v>
      </c>
      <c r="Q159">
        <v>2012</v>
      </c>
      <c r="R159">
        <v>2012</v>
      </c>
      <c r="S159" s="1">
        <v>45591</v>
      </c>
      <c r="T159" s="1">
        <v>45584</v>
      </c>
      <c r="U159" t="s">
        <v>4149</v>
      </c>
      <c r="V159" t="s">
        <v>4114</v>
      </c>
      <c r="W159" t="s">
        <v>4133</v>
      </c>
      <c r="X159" t="s">
        <v>2494</v>
      </c>
      <c r="Y159" t="s">
        <v>4125</v>
      </c>
    </row>
    <row r="160" spans="1:25" x14ac:dyDescent="0.25">
      <c r="A160">
        <v>159</v>
      </c>
      <c r="B160">
        <v>52962494</v>
      </c>
      <c r="C160" t="s">
        <v>414</v>
      </c>
      <c r="D160" t="s">
        <v>17</v>
      </c>
      <c r="E160" t="s">
        <v>415</v>
      </c>
      <c r="F160" t="s">
        <v>416</v>
      </c>
      <c r="H160" t="s">
        <v>3110</v>
      </c>
      <c r="I160" t="s">
        <v>2933</v>
      </c>
      <c r="J160" t="s">
        <v>1673</v>
      </c>
      <c r="K160" t="s">
        <v>2488</v>
      </c>
      <c r="L160">
        <v>432</v>
      </c>
      <c r="P160" t="s">
        <v>2494</v>
      </c>
      <c r="Q160">
        <v>2019</v>
      </c>
      <c r="R160">
        <v>2018</v>
      </c>
      <c r="S160" s="1">
        <v>45583</v>
      </c>
      <c r="T160" s="1">
        <v>45579</v>
      </c>
      <c r="U160" t="s">
        <v>4134</v>
      </c>
      <c r="V160" t="s">
        <v>4114</v>
      </c>
      <c r="W160" t="s">
        <v>4156</v>
      </c>
      <c r="X160" t="s">
        <v>2603</v>
      </c>
      <c r="Y160" t="s">
        <v>4125</v>
      </c>
    </row>
    <row r="161" spans="1:25" x14ac:dyDescent="0.25">
      <c r="A161">
        <v>160</v>
      </c>
      <c r="B161">
        <v>6459567</v>
      </c>
      <c r="C161" t="s">
        <v>417</v>
      </c>
      <c r="D161" t="s">
        <v>17</v>
      </c>
      <c r="E161" t="s">
        <v>418</v>
      </c>
      <c r="F161" t="s">
        <v>419</v>
      </c>
      <c r="G161" t="s">
        <v>2550</v>
      </c>
      <c r="H161" t="s">
        <v>3111</v>
      </c>
      <c r="I161" t="s">
        <v>2917</v>
      </c>
      <c r="J161" t="s">
        <v>2590</v>
      </c>
      <c r="K161" t="s">
        <v>112</v>
      </c>
      <c r="L161">
        <v>302</v>
      </c>
      <c r="M161">
        <v>0.58194444444444449</v>
      </c>
      <c r="N161">
        <v>13.966666666666669</v>
      </c>
      <c r="O161" t="s">
        <v>3918</v>
      </c>
      <c r="P161" t="s">
        <v>2486</v>
      </c>
      <c r="Q161">
        <v>2019</v>
      </c>
      <c r="R161">
        <v>1996</v>
      </c>
      <c r="S161" s="1">
        <v>45583</v>
      </c>
      <c r="T161" s="1">
        <v>45575</v>
      </c>
      <c r="U161" t="s">
        <v>4120</v>
      </c>
      <c r="V161" t="s">
        <v>4114</v>
      </c>
      <c r="W161" t="s">
        <v>4115</v>
      </c>
      <c r="X161" t="s">
        <v>2603</v>
      </c>
      <c r="Y161" t="s">
        <v>4116</v>
      </c>
    </row>
    <row r="162" spans="1:25" x14ac:dyDescent="0.25">
      <c r="A162">
        <v>161</v>
      </c>
      <c r="B162">
        <v>33195277</v>
      </c>
      <c r="C162" t="s">
        <v>3112</v>
      </c>
      <c r="D162" t="s">
        <v>421</v>
      </c>
      <c r="E162" t="s">
        <v>422</v>
      </c>
      <c r="F162" t="s">
        <v>423</v>
      </c>
      <c r="H162" t="s">
        <v>3113</v>
      </c>
      <c r="I162" t="s">
        <v>2890</v>
      </c>
      <c r="J162" t="s">
        <v>1859</v>
      </c>
      <c r="K162" t="s">
        <v>57</v>
      </c>
      <c r="L162">
        <v>285</v>
      </c>
      <c r="P162" t="s">
        <v>2486</v>
      </c>
      <c r="Q162">
        <v>2017</v>
      </c>
      <c r="R162">
        <v>2016</v>
      </c>
      <c r="S162" s="1">
        <v>45579</v>
      </c>
      <c r="T162" s="1">
        <v>45560</v>
      </c>
      <c r="U162" t="s">
        <v>4136</v>
      </c>
      <c r="V162" t="s">
        <v>4114</v>
      </c>
      <c r="W162" t="s">
        <v>4121</v>
      </c>
      <c r="X162" t="s">
        <v>2603</v>
      </c>
      <c r="Y162" t="s">
        <v>4125</v>
      </c>
    </row>
    <row r="163" spans="1:25" x14ac:dyDescent="0.25">
      <c r="A163">
        <v>162</v>
      </c>
      <c r="B163">
        <v>55469489</v>
      </c>
      <c r="C163" t="s">
        <v>3114</v>
      </c>
      <c r="D163" t="s">
        <v>425</v>
      </c>
      <c r="E163" t="s">
        <v>203</v>
      </c>
      <c r="F163" t="s">
        <v>204</v>
      </c>
      <c r="G163" t="s">
        <v>2529</v>
      </c>
      <c r="H163" t="s">
        <v>3115</v>
      </c>
      <c r="I163" t="s">
        <v>2890</v>
      </c>
      <c r="J163" t="s">
        <v>1898</v>
      </c>
      <c r="K163" t="s">
        <v>112</v>
      </c>
      <c r="L163">
        <v>352</v>
      </c>
      <c r="M163">
        <v>0.46805555555555556</v>
      </c>
      <c r="N163">
        <v>11.233333333333334</v>
      </c>
      <c r="O163" t="s">
        <v>3961</v>
      </c>
      <c r="P163" t="s">
        <v>2486</v>
      </c>
      <c r="Q163">
        <v>2020</v>
      </c>
      <c r="R163">
        <v>2018</v>
      </c>
      <c r="S163" s="1">
        <v>45575</v>
      </c>
      <c r="T163" s="1">
        <v>45554</v>
      </c>
      <c r="U163" t="s">
        <v>4149</v>
      </c>
      <c r="V163" t="s">
        <v>4114</v>
      </c>
      <c r="W163" t="s">
        <v>4115</v>
      </c>
      <c r="X163" t="s">
        <v>2603</v>
      </c>
      <c r="Y163" t="s">
        <v>4125</v>
      </c>
    </row>
    <row r="164" spans="1:25" x14ac:dyDescent="0.25">
      <c r="A164">
        <v>163</v>
      </c>
      <c r="B164">
        <v>203855568</v>
      </c>
      <c r="C164" t="s">
        <v>426</v>
      </c>
      <c r="D164" t="s">
        <v>17</v>
      </c>
      <c r="E164" t="s">
        <v>121</v>
      </c>
      <c r="F164" t="s">
        <v>122</v>
      </c>
      <c r="G164" t="s">
        <v>2591</v>
      </c>
      <c r="H164" t="s">
        <v>3116</v>
      </c>
      <c r="I164" t="s">
        <v>2890</v>
      </c>
      <c r="J164" t="s">
        <v>2492</v>
      </c>
      <c r="K164" t="s">
        <v>112</v>
      </c>
      <c r="L164">
        <v>248</v>
      </c>
      <c r="M164">
        <v>0.26944444444444443</v>
      </c>
      <c r="N164">
        <v>6.4666666666666668</v>
      </c>
      <c r="O164" t="s">
        <v>3962</v>
      </c>
      <c r="P164" t="s">
        <v>2486</v>
      </c>
      <c r="Q164">
        <v>2023</v>
      </c>
      <c r="R164">
        <v>2022</v>
      </c>
      <c r="S164" s="1">
        <v>45573</v>
      </c>
      <c r="T164" s="1">
        <v>45573</v>
      </c>
      <c r="U164" t="s">
        <v>4113</v>
      </c>
      <c r="V164" t="s">
        <v>4114</v>
      </c>
      <c r="W164" t="s">
        <v>4137</v>
      </c>
      <c r="X164" t="s">
        <v>2603</v>
      </c>
      <c r="Y164" t="s">
        <v>4125</v>
      </c>
    </row>
    <row r="165" spans="1:25" x14ac:dyDescent="0.25">
      <c r="A165">
        <v>164</v>
      </c>
      <c r="B165">
        <v>10770635</v>
      </c>
      <c r="C165" t="s">
        <v>3117</v>
      </c>
      <c r="D165" t="s">
        <v>428</v>
      </c>
      <c r="E165" t="s">
        <v>429</v>
      </c>
      <c r="F165" t="s">
        <v>430</v>
      </c>
      <c r="G165" t="s">
        <v>2592</v>
      </c>
      <c r="H165" t="s">
        <v>3118</v>
      </c>
      <c r="I165" t="s">
        <v>2917</v>
      </c>
      <c r="J165" t="s">
        <v>2593</v>
      </c>
      <c r="K165" t="s">
        <v>112</v>
      </c>
      <c r="L165">
        <v>477</v>
      </c>
      <c r="M165">
        <v>0.70625000000000004</v>
      </c>
      <c r="N165">
        <v>16.950000000000003</v>
      </c>
      <c r="O165" t="s">
        <v>3963</v>
      </c>
      <c r="P165" t="s">
        <v>2486</v>
      </c>
      <c r="Q165">
        <v>2021</v>
      </c>
      <c r="R165">
        <v>1982</v>
      </c>
      <c r="S165" s="1">
        <v>45570</v>
      </c>
      <c r="T165" s="1">
        <v>45564</v>
      </c>
      <c r="U165" t="s">
        <v>4120</v>
      </c>
      <c r="V165" t="s">
        <v>4114</v>
      </c>
      <c r="W165" t="s">
        <v>4121</v>
      </c>
      <c r="X165" t="s">
        <v>2603</v>
      </c>
      <c r="Y165" t="s">
        <v>4116</v>
      </c>
    </row>
    <row r="166" spans="1:25" x14ac:dyDescent="0.25">
      <c r="A166">
        <v>165</v>
      </c>
      <c r="B166">
        <v>32148248</v>
      </c>
      <c r="C166" t="s">
        <v>431</v>
      </c>
      <c r="D166" t="s">
        <v>2594</v>
      </c>
      <c r="E166" t="s">
        <v>215</v>
      </c>
      <c r="F166" t="s">
        <v>216</v>
      </c>
      <c r="G166" t="s">
        <v>2587</v>
      </c>
      <c r="H166" t="s">
        <v>3119</v>
      </c>
      <c r="I166" t="s">
        <v>2890</v>
      </c>
      <c r="J166" t="s">
        <v>2532</v>
      </c>
      <c r="K166" t="s">
        <v>112</v>
      </c>
      <c r="L166">
        <v>320</v>
      </c>
      <c r="M166">
        <v>0.44513888888888886</v>
      </c>
      <c r="N166">
        <v>10.683333333333334</v>
      </c>
      <c r="O166" t="s">
        <v>3964</v>
      </c>
      <c r="P166" t="s">
        <v>2494</v>
      </c>
      <c r="Q166">
        <v>2016</v>
      </c>
      <c r="R166">
        <v>2016</v>
      </c>
      <c r="S166" s="1">
        <v>45570</v>
      </c>
      <c r="T166" s="1">
        <v>45570</v>
      </c>
      <c r="U166" t="s">
        <v>4117</v>
      </c>
      <c r="V166" t="s">
        <v>4114</v>
      </c>
      <c r="W166" t="s">
        <v>4133</v>
      </c>
      <c r="X166" t="s">
        <v>2494</v>
      </c>
      <c r="Y166" t="s">
        <v>4116</v>
      </c>
    </row>
    <row r="167" spans="1:25" x14ac:dyDescent="0.25">
      <c r="A167">
        <v>166</v>
      </c>
      <c r="B167">
        <v>23253176</v>
      </c>
      <c r="C167" t="s">
        <v>432</v>
      </c>
      <c r="D167" t="s">
        <v>2595</v>
      </c>
      <c r="E167" t="s">
        <v>215</v>
      </c>
      <c r="F167" t="s">
        <v>216</v>
      </c>
      <c r="G167" t="s">
        <v>2587</v>
      </c>
      <c r="H167" t="s">
        <v>3120</v>
      </c>
      <c r="I167" t="s">
        <v>2890</v>
      </c>
      <c r="J167" t="s">
        <v>2532</v>
      </c>
      <c r="K167" t="s">
        <v>112</v>
      </c>
      <c r="L167">
        <v>344</v>
      </c>
      <c r="M167">
        <v>0.49027777777777776</v>
      </c>
      <c r="N167">
        <v>11.766666666666666</v>
      </c>
      <c r="O167" t="s">
        <v>3914</v>
      </c>
      <c r="P167" t="s">
        <v>2494</v>
      </c>
      <c r="Q167">
        <v>2014</v>
      </c>
      <c r="R167">
        <v>2014</v>
      </c>
      <c r="S167" s="1">
        <v>45568</v>
      </c>
      <c r="T167" s="1">
        <v>45567</v>
      </c>
      <c r="U167" t="s">
        <v>4117</v>
      </c>
      <c r="V167" t="s">
        <v>4114</v>
      </c>
      <c r="W167" t="s">
        <v>4133</v>
      </c>
      <c r="X167" t="s">
        <v>2494</v>
      </c>
      <c r="Y167" t="s">
        <v>4116</v>
      </c>
    </row>
    <row r="168" spans="1:25" x14ac:dyDescent="0.25">
      <c r="A168">
        <v>167</v>
      </c>
      <c r="B168">
        <v>13206900</v>
      </c>
      <c r="C168" t="s">
        <v>3121</v>
      </c>
      <c r="D168" t="s">
        <v>434</v>
      </c>
      <c r="E168" t="s">
        <v>422</v>
      </c>
      <c r="F168" t="s">
        <v>423</v>
      </c>
      <c r="H168" t="s">
        <v>3122</v>
      </c>
      <c r="I168" t="s">
        <v>2890</v>
      </c>
      <c r="J168" t="s">
        <v>1866</v>
      </c>
      <c r="K168" t="s">
        <v>57</v>
      </c>
      <c r="L168">
        <v>827</v>
      </c>
      <c r="P168" t="s">
        <v>2486</v>
      </c>
      <c r="Q168">
        <v>2015</v>
      </c>
      <c r="R168">
        <v>2015</v>
      </c>
      <c r="S168" s="1">
        <v>45560</v>
      </c>
      <c r="T168" s="1">
        <v>45507</v>
      </c>
      <c r="U168" t="s">
        <v>4136</v>
      </c>
      <c r="V168" t="s">
        <v>4114</v>
      </c>
      <c r="W168" t="s">
        <v>4121</v>
      </c>
      <c r="X168" t="s">
        <v>2603</v>
      </c>
      <c r="Y168" t="s">
        <v>4125</v>
      </c>
    </row>
    <row r="169" spans="1:25" x14ac:dyDescent="0.25">
      <c r="A169">
        <v>168</v>
      </c>
      <c r="B169">
        <v>63123734</v>
      </c>
      <c r="C169" t="s">
        <v>435</v>
      </c>
      <c r="D169" t="s">
        <v>17</v>
      </c>
      <c r="E169" t="s">
        <v>436</v>
      </c>
      <c r="F169" t="s">
        <v>437</v>
      </c>
      <c r="G169" t="s">
        <v>2596</v>
      </c>
      <c r="H169" t="s">
        <v>3123</v>
      </c>
      <c r="I169" t="s">
        <v>2890</v>
      </c>
      <c r="J169" t="s">
        <v>1868</v>
      </c>
      <c r="K169" t="s">
        <v>112</v>
      </c>
      <c r="L169">
        <v>400</v>
      </c>
      <c r="M169">
        <v>0.33680555555555558</v>
      </c>
      <c r="N169">
        <v>8.0833333333333339</v>
      </c>
      <c r="O169" t="s">
        <v>3965</v>
      </c>
      <c r="P169" t="s">
        <v>2486</v>
      </c>
      <c r="Q169">
        <v>2022</v>
      </c>
      <c r="R169">
        <v>2022</v>
      </c>
      <c r="S169" s="1">
        <v>45559</v>
      </c>
      <c r="T169" s="1">
        <v>45550</v>
      </c>
      <c r="U169" t="s">
        <v>4135</v>
      </c>
      <c r="V169" t="s">
        <v>4131</v>
      </c>
      <c r="W169" t="s">
        <v>4115</v>
      </c>
      <c r="X169" t="s">
        <v>2603</v>
      </c>
      <c r="Y169" t="s">
        <v>4116</v>
      </c>
    </row>
    <row r="170" spans="1:25" x14ac:dyDescent="0.25">
      <c r="A170">
        <v>169</v>
      </c>
      <c r="B170">
        <v>18481413</v>
      </c>
      <c r="C170" t="s">
        <v>438</v>
      </c>
      <c r="D170" t="s">
        <v>2597</v>
      </c>
      <c r="E170" t="s">
        <v>215</v>
      </c>
      <c r="F170" t="s">
        <v>216</v>
      </c>
      <c r="G170" t="s">
        <v>2587</v>
      </c>
      <c r="H170" t="s">
        <v>3124</v>
      </c>
      <c r="I170" t="s">
        <v>2890</v>
      </c>
      <c r="J170" t="s">
        <v>2532</v>
      </c>
      <c r="K170" t="s">
        <v>112</v>
      </c>
      <c r="L170">
        <v>335</v>
      </c>
      <c r="M170">
        <v>0.48749999999999999</v>
      </c>
      <c r="N170">
        <v>11.7</v>
      </c>
      <c r="O170" t="s">
        <v>3966</v>
      </c>
      <c r="P170" t="s">
        <v>2494</v>
      </c>
      <c r="Q170">
        <v>2013</v>
      </c>
      <c r="R170">
        <v>2013</v>
      </c>
      <c r="S170" s="1">
        <v>45553</v>
      </c>
      <c r="T170" s="1">
        <v>45550</v>
      </c>
      <c r="U170" t="s">
        <v>4117</v>
      </c>
      <c r="V170" t="s">
        <v>4114</v>
      </c>
      <c r="W170" t="s">
        <v>4133</v>
      </c>
      <c r="X170" t="s">
        <v>2494</v>
      </c>
      <c r="Y170" t="s">
        <v>4116</v>
      </c>
    </row>
    <row r="171" spans="1:25" x14ac:dyDescent="0.25">
      <c r="A171">
        <v>170</v>
      </c>
      <c r="B171">
        <v>39717764</v>
      </c>
      <c r="C171" t="s">
        <v>3125</v>
      </c>
      <c r="D171" t="s">
        <v>440</v>
      </c>
      <c r="E171" t="s">
        <v>441</v>
      </c>
      <c r="F171" t="s">
        <v>442</v>
      </c>
      <c r="H171" t="s">
        <v>3126</v>
      </c>
      <c r="I171" t="s">
        <v>2890</v>
      </c>
      <c r="J171" t="s">
        <v>1871</v>
      </c>
      <c r="K171" t="s">
        <v>57</v>
      </c>
      <c r="L171">
        <v>384</v>
      </c>
      <c r="P171" t="s">
        <v>2494</v>
      </c>
      <c r="Q171">
        <v>2018</v>
      </c>
      <c r="R171">
        <v>2009</v>
      </c>
      <c r="S171" s="1">
        <v>45551</v>
      </c>
      <c r="T171" s="1">
        <v>45527</v>
      </c>
      <c r="U171" t="s">
        <v>4129</v>
      </c>
      <c r="V171" t="s">
        <v>4114</v>
      </c>
      <c r="W171" t="s">
        <v>4115</v>
      </c>
      <c r="X171" t="s">
        <v>2603</v>
      </c>
      <c r="Y171" t="s">
        <v>4116</v>
      </c>
    </row>
    <row r="172" spans="1:25" x14ac:dyDescent="0.25">
      <c r="A172">
        <v>171</v>
      </c>
      <c r="B172">
        <v>32053009</v>
      </c>
      <c r="C172" t="s">
        <v>3127</v>
      </c>
      <c r="D172" t="s">
        <v>444</v>
      </c>
      <c r="E172" t="s">
        <v>445</v>
      </c>
      <c r="F172" t="s">
        <v>446</v>
      </c>
      <c r="H172" t="s">
        <v>3128</v>
      </c>
      <c r="I172" t="s">
        <v>2917</v>
      </c>
      <c r="J172" t="s">
        <v>1719</v>
      </c>
      <c r="K172" t="s">
        <v>57</v>
      </c>
      <c r="L172">
        <v>608</v>
      </c>
      <c r="P172" t="s">
        <v>2486</v>
      </c>
      <c r="Q172">
        <v>2016</v>
      </c>
      <c r="R172">
        <v>2015</v>
      </c>
      <c r="S172" s="1">
        <v>45550</v>
      </c>
      <c r="T172" s="1">
        <v>45485</v>
      </c>
      <c r="U172" t="s">
        <v>4136</v>
      </c>
      <c r="V172" t="s">
        <v>4114</v>
      </c>
      <c r="W172" t="s">
        <v>4156</v>
      </c>
      <c r="X172" t="s">
        <v>2603</v>
      </c>
      <c r="Y172" t="s">
        <v>4125</v>
      </c>
    </row>
    <row r="173" spans="1:25" x14ac:dyDescent="0.25">
      <c r="A173">
        <v>172</v>
      </c>
      <c r="B173">
        <v>16046955</v>
      </c>
      <c r="C173" t="s">
        <v>447</v>
      </c>
      <c r="D173" t="s">
        <v>2598</v>
      </c>
      <c r="E173" t="s">
        <v>215</v>
      </c>
      <c r="F173" t="s">
        <v>216</v>
      </c>
      <c r="G173" t="s">
        <v>2587</v>
      </c>
      <c r="H173" t="s">
        <v>3129</v>
      </c>
      <c r="I173" t="s">
        <v>2890</v>
      </c>
      <c r="J173" t="s">
        <v>2532</v>
      </c>
      <c r="K173" t="s">
        <v>112</v>
      </c>
      <c r="L173">
        <v>310</v>
      </c>
      <c r="M173">
        <v>0.42708333333333331</v>
      </c>
      <c r="N173">
        <v>10.25</v>
      </c>
      <c r="O173" t="s">
        <v>3967</v>
      </c>
      <c r="P173" t="s">
        <v>2494</v>
      </c>
      <c r="Q173">
        <v>2015</v>
      </c>
      <c r="R173">
        <v>2012</v>
      </c>
      <c r="S173" s="1">
        <v>45550</v>
      </c>
      <c r="T173" s="1">
        <v>45547</v>
      </c>
      <c r="U173" t="s">
        <v>4117</v>
      </c>
      <c r="V173" t="s">
        <v>4114</v>
      </c>
      <c r="W173" t="s">
        <v>4133</v>
      </c>
      <c r="X173" t="s">
        <v>2494</v>
      </c>
      <c r="Y173" t="s">
        <v>4116</v>
      </c>
    </row>
    <row r="174" spans="1:25" x14ac:dyDescent="0.25">
      <c r="A174">
        <v>173</v>
      </c>
      <c r="B174">
        <v>13307094</v>
      </c>
      <c r="C174" t="s">
        <v>448</v>
      </c>
      <c r="D174" t="s">
        <v>2599</v>
      </c>
      <c r="E174" t="s">
        <v>215</v>
      </c>
      <c r="F174" t="s">
        <v>216</v>
      </c>
      <c r="G174" t="s">
        <v>2531</v>
      </c>
      <c r="H174" t="s">
        <v>3130</v>
      </c>
      <c r="I174" t="s">
        <v>2890</v>
      </c>
      <c r="J174" t="s">
        <v>2532</v>
      </c>
      <c r="K174" t="s">
        <v>112</v>
      </c>
      <c r="L174">
        <v>288</v>
      </c>
      <c r="M174">
        <v>0.44722222222222224</v>
      </c>
      <c r="N174">
        <v>10.733333333333334</v>
      </c>
      <c r="O174" t="s">
        <v>3968</v>
      </c>
      <c r="P174" t="s">
        <v>2494</v>
      </c>
      <c r="Q174">
        <v>2022</v>
      </c>
      <c r="R174">
        <v>2011</v>
      </c>
      <c r="S174" s="1">
        <v>45547</v>
      </c>
      <c r="T174" s="1">
        <v>45542</v>
      </c>
      <c r="U174" t="s">
        <v>4117</v>
      </c>
      <c r="V174" t="s">
        <v>4114</v>
      </c>
      <c r="W174" t="s">
        <v>4133</v>
      </c>
      <c r="X174" t="s">
        <v>2494</v>
      </c>
      <c r="Y174" t="s">
        <v>4116</v>
      </c>
    </row>
    <row r="175" spans="1:25" x14ac:dyDescent="0.25">
      <c r="A175">
        <v>174</v>
      </c>
      <c r="B175">
        <v>215507550</v>
      </c>
      <c r="C175" t="s">
        <v>449</v>
      </c>
      <c r="D175" t="s">
        <v>17</v>
      </c>
      <c r="E175" t="s">
        <v>450</v>
      </c>
      <c r="F175" t="s">
        <v>451</v>
      </c>
      <c r="G175" t="s">
        <v>2600</v>
      </c>
      <c r="H175" t="s">
        <v>3131</v>
      </c>
      <c r="I175" t="s">
        <v>2917</v>
      </c>
      <c r="J175" t="s">
        <v>2499</v>
      </c>
      <c r="K175" t="s">
        <v>112</v>
      </c>
      <c r="L175">
        <v>320</v>
      </c>
      <c r="M175">
        <v>0.28611111111111109</v>
      </c>
      <c r="N175">
        <v>6.8666666666666663</v>
      </c>
      <c r="O175" t="s">
        <v>3969</v>
      </c>
      <c r="P175" t="s">
        <v>2494</v>
      </c>
      <c r="Q175">
        <v>2024</v>
      </c>
      <c r="R175">
        <v>2023</v>
      </c>
      <c r="S175" s="1">
        <v>45542</v>
      </c>
      <c r="T175" s="1">
        <v>45472</v>
      </c>
      <c r="U175" t="s">
        <v>4130</v>
      </c>
      <c r="V175" t="s">
        <v>4131</v>
      </c>
      <c r="W175" t="s">
        <v>4115</v>
      </c>
      <c r="X175" t="s">
        <v>2603</v>
      </c>
      <c r="Y175" t="s">
        <v>4116</v>
      </c>
    </row>
    <row r="176" spans="1:25" x14ac:dyDescent="0.25">
      <c r="A176">
        <v>175</v>
      </c>
      <c r="B176">
        <v>11772810</v>
      </c>
      <c r="C176" t="s">
        <v>452</v>
      </c>
      <c r="D176" t="s">
        <v>2601</v>
      </c>
      <c r="E176" t="s">
        <v>215</v>
      </c>
      <c r="F176" t="s">
        <v>216</v>
      </c>
      <c r="G176" t="s">
        <v>2587</v>
      </c>
      <c r="H176" t="s">
        <v>3132</v>
      </c>
      <c r="I176" t="s">
        <v>2890</v>
      </c>
      <c r="J176" t="s">
        <v>2532</v>
      </c>
      <c r="K176" t="s">
        <v>112</v>
      </c>
      <c r="L176">
        <v>352</v>
      </c>
      <c r="M176">
        <v>0.52430555555555558</v>
      </c>
      <c r="N176">
        <v>12.583333333333334</v>
      </c>
      <c r="O176" t="s">
        <v>3970</v>
      </c>
      <c r="P176" t="s">
        <v>2494</v>
      </c>
      <c r="Q176">
        <v>2017</v>
      </c>
      <c r="R176">
        <v>2011</v>
      </c>
      <c r="S176" s="1">
        <v>45540</v>
      </c>
      <c r="T176" s="1">
        <v>45540</v>
      </c>
      <c r="U176" t="s">
        <v>4117</v>
      </c>
      <c r="V176" t="s">
        <v>4114</v>
      </c>
      <c r="W176" t="s">
        <v>4133</v>
      </c>
      <c r="X176" t="s">
        <v>2494</v>
      </c>
      <c r="Y176" t="s">
        <v>4116</v>
      </c>
    </row>
    <row r="177" spans="1:25" x14ac:dyDescent="0.25">
      <c r="A177">
        <v>176</v>
      </c>
      <c r="B177">
        <v>15869810</v>
      </c>
      <c r="C177" t="s">
        <v>3133</v>
      </c>
      <c r="D177" t="s">
        <v>454</v>
      </c>
      <c r="E177" t="s">
        <v>455</v>
      </c>
      <c r="F177" t="s">
        <v>456</v>
      </c>
      <c r="G177" t="s">
        <v>2602</v>
      </c>
      <c r="H177" t="s">
        <v>3134</v>
      </c>
      <c r="I177" t="s">
        <v>2890</v>
      </c>
      <c r="J177" t="s">
        <v>2492</v>
      </c>
      <c r="K177" t="s">
        <v>112</v>
      </c>
      <c r="L177">
        <v>512</v>
      </c>
      <c r="M177">
        <v>1.711111111111111</v>
      </c>
      <c r="N177">
        <v>41.066666666666663</v>
      </c>
      <c r="O177" t="s">
        <v>3971</v>
      </c>
      <c r="P177" t="s">
        <v>2486</v>
      </c>
      <c r="Q177">
        <v>2022</v>
      </c>
      <c r="R177">
        <v>1990</v>
      </c>
      <c r="S177" s="1">
        <v>45535</v>
      </c>
      <c r="T177" s="1">
        <v>45492</v>
      </c>
      <c r="U177" t="s">
        <v>4120</v>
      </c>
      <c r="V177" t="s">
        <v>4114</v>
      </c>
      <c r="W177" t="s">
        <v>4121</v>
      </c>
      <c r="X177" t="s">
        <v>2603</v>
      </c>
      <c r="Y177" t="s">
        <v>4116</v>
      </c>
    </row>
    <row r="178" spans="1:25" x14ac:dyDescent="0.25">
      <c r="A178">
        <v>177</v>
      </c>
      <c r="B178">
        <v>38286254</v>
      </c>
      <c r="C178" t="s">
        <v>3135</v>
      </c>
      <c r="D178" t="s">
        <v>458</v>
      </c>
      <c r="E178" t="s">
        <v>459</v>
      </c>
      <c r="F178" t="s">
        <v>460</v>
      </c>
      <c r="H178" t="s">
        <v>3136</v>
      </c>
      <c r="I178" t="s">
        <v>2890</v>
      </c>
      <c r="J178" t="s">
        <v>1880</v>
      </c>
      <c r="K178" t="s">
        <v>57</v>
      </c>
      <c r="L178">
        <v>283</v>
      </c>
      <c r="P178" t="s">
        <v>2603</v>
      </c>
      <c r="Q178">
        <v>2018</v>
      </c>
      <c r="R178">
        <v>2014</v>
      </c>
      <c r="S178" s="1">
        <v>45527</v>
      </c>
      <c r="T178" s="1">
        <v>45493</v>
      </c>
      <c r="U178" t="s">
        <v>4136</v>
      </c>
      <c r="V178" t="s">
        <v>4114</v>
      </c>
      <c r="W178" t="s">
        <v>4137</v>
      </c>
      <c r="X178" t="s">
        <v>2603</v>
      </c>
      <c r="Y178" t="s">
        <v>4125</v>
      </c>
    </row>
    <row r="179" spans="1:25" x14ac:dyDescent="0.25">
      <c r="A179">
        <v>178</v>
      </c>
      <c r="B179">
        <v>10320691</v>
      </c>
      <c r="C179" t="s">
        <v>461</v>
      </c>
      <c r="D179" t="s">
        <v>2604</v>
      </c>
      <c r="E179" t="s">
        <v>215</v>
      </c>
      <c r="F179" t="s">
        <v>216</v>
      </c>
      <c r="G179" t="s">
        <v>2587</v>
      </c>
      <c r="H179" t="s">
        <v>3137</v>
      </c>
      <c r="I179" t="s">
        <v>2890</v>
      </c>
      <c r="J179" t="s">
        <v>2532</v>
      </c>
      <c r="K179" t="s">
        <v>112</v>
      </c>
      <c r="L179">
        <v>304</v>
      </c>
      <c r="M179">
        <v>0.44791666666666669</v>
      </c>
      <c r="N179">
        <v>10.75</v>
      </c>
      <c r="O179" t="s">
        <v>3953</v>
      </c>
      <c r="P179" t="s">
        <v>2494</v>
      </c>
      <c r="Q179">
        <v>2016</v>
      </c>
      <c r="R179">
        <v>2010</v>
      </c>
      <c r="S179" s="1">
        <v>45521</v>
      </c>
      <c r="T179" s="1">
        <v>45520</v>
      </c>
      <c r="U179" t="s">
        <v>4117</v>
      </c>
      <c r="V179" t="s">
        <v>4114</v>
      </c>
      <c r="W179" t="s">
        <v>4133</v>
      </c>
      <c r="X179" t="s">
        <v>2494</v>
      </c>
      <c r="Y179" t="s">
        <v>4116</v>
      </c>
    </row>
    <row r="180" spans="1:25" x14ac:dyDescent="0.25">
      <c r="A180">
        <v>179</v>
      </c>
      <c r="B180">
        <v>8497650</v>
      </c>
      <c r="C180" t="s">
        <v>462</v>
      </c>
      <c r="D180" t="s">
        <v>2605</v>
      </c>
      <c r="E180" t="s">
        <v>215</v>
      </c>
      <c r="F180" t="s">
        <v>216</v>
      </c>
      <c r="G180" t="s">
        <v>2587</v>
      </c>
      <c r="H180" t="s">
        <v>3138</v>
      </c>
      <c r="I180" t="s">
        <v>2890</v>
      </c>
      <c r="J180" t="s">
        <v>2532</v>
      </c>
      <c r="K180" t="s">
        <v>112</v>
      </c>
      <c r="L180">
        <v>312</v>
      </c>
      <c r="M180">
        <v>0.45833333333333331</v>
      </c>
      <c r="N180">
        <v>11</v>
      </c>
      <c r="O180" t="s">
        <v>3972</v>
      </c>
      <c r="P180" t="s">
        <v>2494</v>
      </c>
      <c r="Q180">
        <v>2015</v>
      </c>
      <c r="R180">
        <v>2009</v>
      </c>
      <c r="S180" s="1">
        <v>45520</v>
      </c>
      <c r="T180" s="1">
        <v>45517</v>
      </c>
      <c r="U180" t="s">
        <v>4117</v>
      </c>
      <c r="V180" t="s">
        <v>4114</v>
      </c>
      <c r="W180" t="s">
        <v>4133</v>
      </c>
      <c r="X180" t="s">
        <v>2494</v>
      </c>
      <c r="Y180" t="s">
        <v>4116</v>
      </c>
    </row>
    <row r="181" spans="1:25" x14ac:dyDescent="0.25">
      <c r="A181">
        <v>180</v>
      </c>
      <c r="B181">
        <v>10753010</v>
      </c>
      <c r="C181" t="s">
        <v>463</v>
      </c>
      <c r="D181" t="s">
        <v>2606</v>
      </c>
      <c r="E181" t="s">
        <v>215</v>
      </c>
      <c r="F181" t="s">
        <v>216</v>
      </c>
      <c r="G181" t="s">
        <v>2531</v>
      </c>
      <c r="H181" t="s">
        <v>3139</v>
      </c>
      <c r="I181" t="s">
        <v>2890</v>
      </c>
      <c r="J181" t="s">
        <v>2532</v>
      </c>
      <c r="K181" t="s">
        <v>112</v>
      </c>
      <c r="L181">
        <v>380</v>
      </c>
      <c r="M181">
        <v>0.46597222222222223</v>
      </c>
      <c r="N181">
        <v>11.183333333333334</v>
      </c>
      <c r="O181" t="s">
        <v>3973</v>
      </c>
      <c r="P181" t="s">
        <v>2494</v>
      </c>
      <c r="Q181">
        <v>2021</v>
      </c>
      <c r="R181">
        <v>2008</v>
      </c>
      <c r="S181" s="1">
        <v>45514</v>
      </c>
      <c r="T181" s="1">
        <v>45514</v>
      </c>
      <c r="U181" t="s">
        <v>4117</v>
      </c>
      <c r="V181" t="s">
        <v>4114</v>
      </c>
      <c r="W181" t="s">
        <v>4133</v>
      </c>
      <c r="X181" t="s">
        <v>2494</v>
      </c>
      <c r="Y181" t="s">
        <v>4116</v>
      </c>
    </row>
    <row r="182" spans="1:25" x14ac:dyDescent="0.25">
      <c r="A182">
        <v>181</v>
      </c>
      <c r="B182">
        <v>10395407</v>
      </c>
      <c r="C182" t="s">
        <v>464</v>
      </c>
      <c r="D182" t="s">
        <v>2607</v>
      </c>
      <c r="E182" t="s">
        <v>215</v>
      </c>
      <c r="F182" t="s">
        <v>216</v>
      </c>
      <c r="G182" t="s">
        <v>2531</v>
      </c>
      <c r="H182" t="s">
        <v>3140</v>
      </c>
      <c r="I182" t="s">
        <v>2890</v>
      </c>
      <c r="J182" t="s">
        <v>2532</v>
      </c>
      <c r="K182" t="s">
        <v>112</v>
      </c>
      <c r="L182">
        <v>334</v>
      </c>
      <c r="M182">
        <v>0.4777777777777778</v>
      </c>
      <c r="N182">
        <v>11.466666666666667</v>
      </c>
      <c r="O182" t="s">
        <v>3974</v>
      </c>
      <c r="P182" t="s">
        <v>2494</v>
      </c>
      <c r="Q182">
        <v>2020</v>
      </c>
      <c r="R182">
        <v>2008</v>
      </c>
      <c r="S182" s="1">
        <v>45513</v>
      </c>
      <c r="T182" s="1">
        <v>45513</v>
      </c>
      <c r="U182" t="s">
        <v>4117</v>
      </c>
      <c r="V182" t="s">
        <v>4114</v>
      </c>
      <c r="W182" t="s">
        <v>4133</v>
      </c>
      <c r="X182" t="s">
        <v>2494</v>
      </c>
      <c r="Y182" t="s">
        <v>4116</v>
      </c>
    </row>
    <row r="183" spans="1:25" x14ac:dyDescent="0.25">
      <c r="A183">
        <v>182</v>
      </c>
      <c r="B183">
        <v>43186534</v>
      </c>
      <c r="C183" t="s">
        <v>3141</v>
      </c>
      <c r="D183" t="s">
        <v>466</v>
      </c>
      <c r="E183" t="s">
        <v>467</v>
      </c>
      <c r="F183" t="s">
        <v>468</v>
      </c>
      <c r="H183" t="s">
        <v>3142</v>
      </c>
      <c r="I183" t="s">
        <v>2890</v>
      </c>
      <c r="J183" t="s">
        <v>2608</v>
      </c>
      <c r="K183" t="s">
        <v>57</v>
      </c>
      <c r="L183">
        <v>343</v>
      </c>
      <c r="P183" t="s">
        <v>2603</v>
      </c>
      <c r="Q183">
        <v>2018</v>
      </c>
      <c r="R183">
        <v>2018</v>
      </c>
      <c r="S183" s="1">
        <v>45510</v>
      </c>
      <c r="T183" s="1">
        <v>45490</v>
      </c>
      <c r="U183" t="s">
        <v>4113</v>
      </c>
      <c r="V183" t="s">
        <v>4114</v>
      </c>
      <c r="W183" t="s">
        <v>4121</v>
      </c>
      <c r="X183" t="s">
        <v>2603</v>
      </c>
      <c r="Y183" t="s">
        <v>4116</v>
      </c>
    </row>
    <row r="184" spans="1:25" x14ac:dyDescent="0.25">
      <c r="A184">
        <v>183</v>
      </c>
      <c r="B184">
        <v>207694936</v>
      </c>
      <c r="C184" t="s">
        <v>3143</v>
      </c>
      <c r="D184" t="s">
        <v>470</v>
      </c>
      <c r="E184" t="s">
        <v>471</v>
      </c>
      <c r="F184" t="s">
        <v>472</v>
      </c>
      <c r="G184" t="s">
        <v>2609</v>
      </c>
      <c r="H184" t="s">
        <v>3144</v>
      </c>
      <c r="I184" t="s">
        <v>2890</v>
      </c>
      <c r="J184" t="s">
        <v>2492</v>
      </c>
      <c r="K184" t="s">
        <v>112</v>
      </c>
      <c r="L184">
        <v>583</v>
      </c>
      <c r="M184">
        <v>1.0798611111111112</v>
      </c>
      <c r="N184">
        <v>25.916666666666668</v>
      </c>
      <c r="O184" t="s">
        <v>3975</v>
      </c>
      <c r="P184" t="s">
        <v>2486</v>
      </c>
      <c r="Q184">
        <v>2024</v>
      </c>
      <c r="R184">
        <v>2022</v>
      </c>
      <c r="S184" s="1">
        <v>45510</v>
      </c>
      <c r="T184" s="1">
        <v>45504</v>
      </c>
      <c r="U184" t="s">
        <v>4120</v>
      </c>
      <c r="V184" t="s">
        <v>4114</v>
      </c>
      <c r="W184" t="s">
        <v>4121</v>
      </c>
      <c r="X184" t="s">
        <v>2603</v>
      </c>
      <c r="Y184" t="s">
        <v>4125</v>
      </c>
    </row>
    <row r="185" spans="1:25" x14ac:dyDescent="0.25">
      <c r="A185">
        <v>184</v>
      </c>
      <c r="B185">
        <v>22489107</v>
      </c>
      <c r="C185" t="s">
        <v>3145</v>
      </c>
      <c r="D185" t="s">
        <v>474</v>
      </c>
      <c r="E185" t="s">
        <v>422</v>
      </c>
      <c r="F185" t="s">
        <v>423</v>
      </c>
      <c r="H185" t="s">
        <v>3146</v>
      </c>
      <c r="I185" t="s">
        <v>2890</v>
      </c>
      <c r="J185" t="s">
        <v>1866</v>
      </c>
      <c r="K185" t="s">
        <v>57</v>
      </c>
      <c r="L185">
        <v>272</v>
      </c>
      <c r="P185" t="s">
        <v>2486</v>
      </c>
      <c r="Q185">
        <v>2015</v>
      </c>
      <c r="R185">
        <v>2015</v>
      </c>
      <c r="S185" s="1">
        <v>45507</v>
      </c>
      <c r="T185" s="1">
        <v>45504</v>
      </c>
      <c r="U185" t="s">
        <v>4136</v>
      </c>
      <c r="V185" t="s">
        <v>4114</v>
      </c>
      <c r="W185" t="s">
        <v>4121</v>
      </c>
      <c r="X185" t="s">
        <v>2603</v>
      </c>
      <c r="Y185" t="s">
        <v>4125</v>
      </c>
    </row>
    <row r="186" spans="1:25" x14ac:dyDescent="0.25">
      <c r="A186">
        <v>185</v>
      </c>
      <c r="B186">
        <v>6499374</v>
      </c>
      <c r="C186" t="s">
        <v>3147</v>
      </c>
      <c r="D186" t="s">
        <v>476</v>
      </c>
      <c r="E186" t="s">
        <v>174</v>
      </c>
      <c r="F186" t="s">
        <v>175</v>
      </c>
      <c r="G186" t="s">
        <v>2528</v>
      </c>
      <c r="H186" t="s">
        <v>3148</v>
      </c>
      <c r="I186" t="s">
        <v>2890</v>
      </c>
      <c r="J186" t="s">
        <v>2492</v>
      </c>
      <c r="K186" t="s">
        <v>112</v>
      </c>
      <c r="L186">
        <v>382</v>
      </c>
      <c r="M186">
        <v>0.5756944444444444</v>
      </c>
      <c r="N186">
        <v>13.816666666666666</v>
      </c>
      <c r="O186" t="s">
        <v>3976</v>
      </c>
      <c r="P186" t="s">
        <v>2486</v>
      </c>
      <c r="Q186">
        <v>2018</v>
      </c>
      <c r="R186">
        <v>1989</v>
      </c>
      <c r="S186" s="1">
        <v>45504</v>
      </c>
      <c r="T186" s="1">
        <v>45498</v>
      </c>
      <c r="U186" t="s">
        <v>4120</v>
      </c>
      <c r="V186" t="s">
        <v>4114</v>
      </c>
      <c r="W186" t="s">
        <v>4115</v>
      </c>
      <c r="X186" t="s">
        <v>2603</v>
      </c>
      <c r="Y186" t="s">
        <v>4116</v>
      </c>
    </row>
    <row r="187" spans="1:25" x14ac:dyDescent="0.25">
      <c r="A187">
        <v>186</v>
      </c>
      <c r="B187">
        <v>39752016</v>
      </c>
      <c r="C187" t="s">
        <v>3149</v>
      </c>
      <c r="D187" t="s">
        <v>478</v>
      </c>
      <c r="E187" t="s">
        <v>467</v>
      </c>
      <c r="F187" t="s">
        <v>468</v>
      </c>
      <c r="H187" t="s">
        <v>3150</v>
      </c>
      <c r="I187" t="s">
        <v>2890</v>
      </c>
      <c r="J187" t="s">
        <v>2608</v>
      </c>
      <c r="K187" t="s">
        <v>57</v>
      </c>
      <c r="L187">
        <v>358</v>
      </c>
      <c r="P187" t="s">
        <v>2603</v>
      </c>
      <c r="Q187">
        <v>2017</v>
      </c>
      <c r="R187">
        <v>2018</v>
      </c>
      <c r="S187" s="1">
        <v>45503</v>
      </c>
      <c r="T187" s="1">
        <v>45478</v>
      </c>
      <c r="U187" t="s">
        <v>4113</v>
      </c>
      <c r="V187" t="s">
        <v>4114</v>
      </c>
      <c r="W187" t="s">
        <v>4121</v>
      </c>
      <c r="X187" t="s">
        <v>2603</v>
      </c>
      <c r="Y187" t="s">
        <v>4116</v>
      </c>
    </row>
    <row r="188" spans="1:25" x14ac:dyDescent="0.25">
      <c r="A188">
        <v>187</v>
      </c>
      <c r="B188">
        <v>13206828</v>
      </c>
      <c r="C188" t="s">
        <v>3151</v>
      </c>
      <c r="D188" t="s">
        <v>480</v>
      </c>
      <c r="E188" t="s">
        <v>422</v>
      </c>
      <c r="F188" t="s">
        <v>423</v>
      </c>
      <c r="H188" t="s">
        <v>3152</v>
      </c>
      <c r="I188" t="s">
        <v>2890</v>
      </c>
      <c r="J188" t="s">
        <v>1866</v>
      </c>
      <c r="K188" t="s">
        <v>57</v>
      </c>
      <c r="L188">
        <v>552</v>
      </c>
      <c r="P188" t="s">
        <v>2486</v>
      </c>
      <c r="Q188">
        <v>2014</v>
      </c>
      <c r="R188">
        <v>2014</v>
      </c>
      <c r="S188" s="1">
        <v>45501</v>
      </c>
      <c r="T188" s="1">
        <v>45491</v>
      </c>
      <c r="U188" t="s">
        <v>4136</v>
      </c>
      <c r="V188" t="s">
        <v>4114</v>
      </c>
      <c r="W188" t="s">
        <v>4121</v>
      </c>
      <c r="X188" t="s">
        <v>2603</v>
      </c>
      <c r="Y188" t="s">
        <v>4125</v>
      </c>
    </row>
    <row r="189" spans="1:25" x14ac:dyDescent="0.25">
      <c r="A189">
        <v>188</v>
      </c>
      <c r="B189">
        <v>55304052</v>
      </c>
      <c r="C189" t="s">
        <v>481</v>
      </c>
      <c r="D189" t="s">
        <v>17</v>
      </c>
      <c r="E189" t="s">
        <v>482</v>
      </c>
      <c r="F189" t="s">
        <v>483</v>
      </c>
      <c r="G189" t="s">
        <v>2610</v>
      </c>
      <c r="H189" t="s">
        <v>3153</v>
      </c>
      <c r="I189" t="s">
        <v>2890</v>
      </c>
      <c r="J189" t="s">
        <v>2492</v>
      </c>
      <c r="K189" t="s">
        <v>112</v>
      </c>
      <c r="L189">
        <v>400</v>
      </c>
      <c r="M189">
        <v>0.61597222222222225</v>
      </c>
      <c r="N189">
        <v>14.783333333333335</v>
      </c>
      <c r="O189" t="s">
        <v>3977</v>
      </c>
      <c r="P189" t="s">
        <v>2486</v>
      </c>
      <c r="Q189">
        <v>2021</v>
      </c>
      <c r="R189">
        <v>2020</v>
      </c>
      <c r="S189" s="1">
        <v>45498</v>
      </c>
      <c r="T189" s="1">
        <v>45493</v>
      </c>
      <c r="U189" t="s">
        <v>4129</v>
      </c>
      <c r="V189" t="s">
        <v>4114</v>
      </c>
      <c r="W189" t="s">
        <v>4148</v>
      </c>
      <c r="X189" t="s">
        <v>2486</v>
      </c>
      <c r="Y189" t="s">
        <v>4125</v>
      </c>
    </row>
    <row r="190" spans="1:25" x14ac:dyDescent="0.25">
      <c r="A190">
        <v>189</v>
      </c>
      <c r="B190">
        <v>13206760</v>
      </c>
      <c r="C190" t="s">
        <v>3154</v>
      </c>
      <c r="D190" t="s">
        <v>485</v>
      </c>
      <c r="E190" t="s">
        <v>422</v>
      </c>
      <c r="F190" t="s">
        <v>423</v>
      </c>
      <c r="H190" t="s">
        <v>3155</v>
      </c>
      <c r="I190" t="s">
        <v>2890</v>
      </c>
      <c r="J190" t="s">
        <v>1866</v>
      </c>
      <c r="K190" t="s">
        <v>57</v>
      </c>
      <c r="L190">
        <v>454</v>
      </c>
      <c r="P190" t="s">
        <v>2486</v>
      </c>
      <c r="Q190">
        <v>2013</v>
      </c>
      <c r="R190">
        <v>2013</v>
      </c>
      <c r="S190" s="1">
        <v>45491</v>
      </c>
      <c r="T190" s="1">
        <v>45407</v>
      </c>
      <c r="U190" t="s">
        <v>4136</v>
      </c>
      <c r="V190" t="s">
        <v>4114</v>
      </c>
      <c r="W190" t="s">
        <v>4121</v>
      </c>
      <c r="X190" t="s">
        <v>2603</v>
      </c>
      <c r="Y190" t="s">
        <v>4125</v>
      </c>
    </row>
    <row r="191" spans="1:25" x14ac:dyDescent="0.25">
      <c r="A191">
        <v>190</v>
      </c>
      <c r="B191">
        <v>59431898</v>
      </c>
      <c r="C191" t="s">
        <v>486</v>
      </c>
      <c r="D191" t="s">
        <v>17</v>
      </c>
      <c r="E191" t="s">
        <v>487</v>
      </c>
      <c r="F191" t="s">
        <v>488</v>
      </c>
      <c r="G191" t="s">
        <v>2611</v>
      </c>
      <c r="H191" t="s">
        <v>3156</v>
      </c>
      <c r="I191" t="s">
        <v>2890</v>
      </c>
      <c r="J191" t="s">
        <v>2532</v>
      </c>
      <c r="K191" t="s">
        <v>112</v>
      </c>
      <c r="L191">
        <v>224</v>
      </c>
      <c r="M191">
        <v>0.44861111111111113</v>
      </c>
      <c r="N191">
        <v>10.766666666666667</v>
      </c>
      <c r="O191" t="s">
        <v>3978</v>
      </c>
      <c r="P191" t="s">
        <v>2494</v>
      </c>
      <c r="Q191">
        <v>2020</v>
      </c>
      <c r="R191">
        <v>2020</v>
      </c>
      <c r="S191" s="1">
        <v>45491</v>
      </c>
      <c r="T191" s="1">
        <v>45476</v>
      </c>
      <c r="U191" t="s">
        <v>4155</v>
      </c>
      <c r="V191" t="s">
        <v>4131</v>
      </c>
      <c r="W191" t="s">
        <v>4133</v>
      </c>
      <c r="X191" t="s">
        <v>2494</v>
      </c>
      <c r="Y191" t="s">
        <v>4116</v>
      </c>
    </row>
    <row r="192" spans="1:25" x14ac:dyDescent="0.25">
      <c r="A192">
        <v>191</v>
      </c>
      <c r="B192">
        <v>37458994</v>
      </c>
      <c r="C192" t="s">
        <v>489</v>
      </c>
      <c r="D192" t="s">
        <v>17</v>
      </c>
      <c r="E192" t="s">
        <v>418</v>
      </c>
      <c r="F192" t="s">
        <v>419</v>
      </c>
      <c r="G192" t="s">
        <v>2602</v>
      </c>
      <c r="H192" t="s">
        <v>3157</v>
      </c>
      <c r="I192" t="s">
        <v>2890</v>
      </c>
      <c r="J192" t="s">
        <v>2492</v>
      </c>
      <c r="K192" t="s">
        <v>112</v>
      </c>
      <c r="L192">
        <v>256</v>
      </c>
      <c r="M192">
        <v>0.26597222222222222</v>
      </c>
      <c r="N192">
        <v>6.3833333333333329</v>
      </c>
      <c r="O192" t="s">
        <v>3979</v>
      </c>
      <c r="P192" t="s">
        <v>2486</v>
      </c>
      <c r="Q192">
        <v>2018</v>
      </c>
      <c r="R192">
        <v>2017</v>
      </c>
      <c r="S192" s="1">
        <v>45490</v>
      </c>
      <c r="T192" s="1">
        <v>45487</v>
      </c>
      <c r="U192" t="s">
        <v>4120</v>
      </c>
      <c r="V192" t="s">
        <v>4114</v>
      </c>
      <c r="W192" t="s">
        <v>4115</v>
      </c>
      <c r="X192" t="s">
        <v>2603</v>
      </c>
      <c r="Y192" t="s">
        <v>4116</v>
      </c>
    </row>
    <row r="193" spans="1:25" x14ac:dyDescent="0.25">
      <c r="A193">
        <v>192</v>
      </c>
      <c r="B193">
        <v>55219456</v>
      </c>
      <c r="C193" t="s">
        <v>3158</v>
      </c>
      <c r="D193" t="s">
        <v>491</v>
      </c>
      <c r="E193" t="s">
        <v>459</v>
      </c>
      <c r="F193" t="s">
        <v>460</v>
      </c>
      <c r="H193" t="s">
        <v>3159</v>
      </c>
      <c r="I193" t="s">
        <v>2890</v>
      </c>
      <c r="J193" t="s">
        <v>2612</v>
      </c>
      <c r="K193" t="s">
        <v>2488</v>
      </c>
      <c r="L193">
        <v>268</v>
      </c>
      <c r="P193" t="s">
        <v>2494</v>
      </c>
      <c r="Q193">
        <v>2013</v>
      </c>
      <c r="R193">
        <v>2013</v>
      </c>
      <c r="S193" s="1">
        <v>45484</v>
      </c>
      <c r="T193" s="1">
        <v>45481</v>
      </c>
      <c r="U193" t="s">
        <v>4136</v>
      </c>
      <c r="V193" t="s">
        <v>4114</v>
      </c>
      <c r="W193" t="s">
        <v>4137</v>
      </c>
      <c r="X193" t="s">
        <v>2603</v>
      </c>
      <c r="Y193" t="s">
        <v>4125</v>
      </c>
    </row>
    <row r="194" spans="1:25" x14ac:dyDescent="0.25">
      <c r="A194">
        <v>193</v>
      </c>
      <c r="B194">
        <v>60778179</v>
      </c>
      <c r="C194" t="s">
        <v>492</v>
      </c>
      <c r="D194" t="s">
        <v>17</v>
      </c>
      <c r="E194" t="s">
        <v>493</v>
      </c>
      <c r="F194" t="s">
        <v>494</v>
      </c>
      <c r="G194" t="s">
        <v>2555</v>
      </c>
      <c r="H194" t="s">
        <v>3160</v>
      </c>
      <c r="I194" t="s">
        <v>2890</v>
      </c>
      <c r="J194" t="s">
        <v>1687</v>
      </c>
      <c r="K194" t="s">
        <v>112</v>
      </c>
      <c r="L194">
        <v>352</v>
      </c>
      <c r="M194">
        <v>0.4465277777777778</v>
      </c>
      <c r="N194">
        <v>10.716666666666667</v>
      </c>
      <c r="O194" t="s">
        <v>3895</v>
      </c>
      <c r="P194" t="s">
        <v>2486</v>
      </c>
      <c r="Q194">
        <v>2019</v>
      </c>
      <c r="R194">
        <v>2018</v>
      </c>
      <c r="S194" s="1">
        <v>45483</v>
      </c>
      <c r="T194" s="1">
        <v>45478</v>
      </c>
      <c r="U194" t="s">
        <v>4139</v>
      </c>
      <c r="V194" t="s">
        <v>4131</v>
      </c>
      <c r="W194" t="s">
        <v>4127</v>
      </c>
      <c r="X194" t="s">
        <v>2603</v>
      </c>
      <c r="Y194" t="s">
        <v>4116</v>
      </c>
    </row>
    <row r="195" spans="1:25" x14ac:dyDescent="0.25">
      <c r="A195">
        <v>194</v>
      </c>
      <c r="B195">
        <v>8497627</v>
      </c>
      <c r="C195" t="s">
        <v>495</v>
      </c>
      <c r="D195" t="s">
        <v>2613</v>
      </c>
      <c r="E195" t="s">
        <v>215</v>
      </c>
      <c r="F195" t="s">
        <v>216</v>
      </c>
      <c r="G195" t="s">
        <v>2587</v>
      </c>
      <c r="H195" t="s">
        <v>3161</v>
      </c>
      <c r="I195" t="s">
        <v>2890</v>
      </c>
      <c r="J195" t="s">
        <v>2532</v>
      </c>
      <c r="K195" t="s">
        <v>112</v>
      </c>
      <c r="L195">
        <v>264</v>
      </c>
      <c r="M195">
        <v>0.46527777777777779</v>
      </c>
      <c r="N195">
        <v>11.166666666666668</v>
      </c>
      <c r="O195" t="s">
        <v>3959</v>
      </c>
      <c r="P195" t="s">
        <v>2494</v>
      </c>
      <c r="Q195">
        <v>2017</v>
      </c>
      <c r="R195">
        <v>2007</v>
      </c>
      <c r="S195" s="1">
        <v>45482</v>
      </c>
      <c r="T195" s="1">
        <v>45481</v>
      </c>
      <c r="U195" t="s">
        <v>4117</v>
      </c>
      <c r="V195" t="s">
        <v>4114</v>
      </c>
      <c r="W195" t="s">
        <v>4133</v>
      </c>
      <c r="X195" t="s">
        <v>2494</v>
      </c>
      <c r="Y195" t="s">
        <v>4116</v>
      </c>
    </row>
    <row r="196" spans="1:25" x14ac:dyDescent="0.25">
      <c r="A196">
        <v>195</v>
      </c>
      <c r="B196">
        <v>13544067</v>
      </c>
      <c r="C196" t="s">
        <v>3162</v>
      </c>
      <c r="D196" t="s">
        <v>497</v>
      </c>
      <c r="E196" t="s">
        <v>459</v>
      </c>
      <c r="F196" t="s">
        <v>460</v>
      </c>
      <c r="H196" t="s">
        <v>3163</v>
      </c>
      <c r="I196" t="s">
        <v>2890</v>
      </c>
      <c r="J196" t="s">
        <v>1859</v>
      </c>
      <c r="K196" t="s">
        <v>2488</v>
      </c>
      <c r="L196">
        <v>312</v>
      </c>
      <c r="P196" t="s">
        <v>2494</v>
      </c>
      <c r="Q196">
        <v>2012</v>
      </c>
      <c r="R196">
        <v>2012</v>
      </c>
      <c r="S196" s="1">
        <v>45481</v>
      </c>
      <c r="T196" s="1">
        <v>45479</v>
      </c>
      <c r="U196" t="s">
        <v>4136</v>
      </c>
      <c r="V196" t="s">
        <v>4114</v>
      </c>
      <c r="W196" t="s">
        <v>4137</v>
      </c>
      <c r="X196" t="s">
        <v>2603</v>
      </c>
      <c r="Y196" t="s">
        <v>4125</v>
      </c>
    </row>
    <row r="197" spans="1:25" x14ac:dyDescent="0.25">
      <c r="A197">
        <v>196</v>
      </c>
      <c r="B197">
        <v>10227357</v>
      </c>
      <c r="C197" t="s">
        <v>498</v>
      </c>
      <c r="D197" t="s">
        <v>2614</v>
      </c>
      <c r="E197" t="s">
        <v>215</v>
      </c>
      <c r="F197" t="s">
        <v>216</v>
      </c>
      <c r="G197" t="s">
        <v>2587</v>
      </c>
      <c r="H197" t="s">
        <v>3164</v>
      </c>
      <c r="I197" t="s">
        <v>2901</v>
      </c>
      <c r="J197" t="s">
        <v>2532</v>
      </c>
      <c r="K197" t="s">
        <v>112</v>
      </c>
      <c r="L197">
        <v>320</v>
      </c>
      <c r="M197">
        <v>0.56527777777777777</v>
      </c>
      <c r="N197">
        <v>13.566666666666666</v>
      </c>
      <c r="O197" t="s">
        <v>3980</v>
      </c>
      <c r="P197" t="s">
        <v>2494</v>
      </c>
      <c r="Q197">
        <v>2017</v>
      </c>
      <c r="R197">
        <v>2005</v>
      </c>
      <c r="S197" s="1">
        <v>45480</v>
      </c>
      <c r="T197" s="1">
        <v>45479</v>
      </c>
      <c r="U197" t="s">
        <v>4117</v>
      </c>
      <c r="V197" t="s">
        <v>4114</v>
      </c>
      <c r="W197" t="s">
        <v>4133</v>
      </c>
      <c r="X197" t="s">
        <v>2494</v>
      </c>
      <c r="Y197" t="s">
        <v>4116</v>
      </c>
    </row>
    <row r="198" spans="1:25" x14ac:dyDescent="0.25">
      <c r="A198">
        <v>197</v>
      </c>
      <c r="B198">
        <v>195913987</v>
      </c>
      <c r="C198" t="s">
        <v>499</v>
      </c>
      <c r="D198" t="s">
        <v>17</v>
      </c>
      <c r="E198" t="s">
        <v>500</v>
      </c>
      <c r="F198" t="s">
        <v>501</v>
      </c>
      <c r="H198" t="s">
        <v>3165</v>
      </c>
      <c r="I198" t="s">
        <v>2890</v>
      </c>
      <c r="J198" t="s">
        <v>1898</v>
      </c>
      <c r="K198" t="s">
        <v>2488</v>
      </c>
      <c r="L198">
        <v>384</v>
      </c>
      <c r="P198" t="s">
        <v>2494</v>
      </c>
      <c r="Q198">
        <v>2023</v>
      </c>
      <c r="R198">
        <v>2022</v>
      </c>
      <c r="S198" s="1">
        <v>45476</v>
      </c>
      <c r="T198" s="1">
        <v>45468</v>
      </c>
      <c r="U198" t="s">
        <v>4134</v>
      </c>
      <c r="V198" t="s">
        <v>4114</v>
      </c>
      <c r="W198" t="s">
        <v>4121</v>
      </c>
      <c r="X198" t="s">
        <v>2603</v>
      </c>
      <c r="Y198" t="s">
        <v>4125</v>
      </c>
    </row>
    <row r="199" spans="1:25" x14ac:dyDescent="0.25">
      <c r="A199">
        <v>198</v>
      </c>
      <c r="B199">
        <v>37803101</v>
      </c>
      <c r="C199" t="s">
        <v>502</v>
      </c>
      <c r="D199" t="s">
        <v>17</v>
      </c>
      <c r="E199" t="s">
        <v>503</v>
      </c>
      <c r="F199" t="s">
        <v>504</v>
      </c>
      <c r="G199" t="s">
        <v>2615</v>
      </c>
      <c r="H199" t="s">
        <v>3166</v>
      </c>
      <c r="I199" t="s">
        <v>2917</v>
      </c>
      <c r="J199" t="s">
        <v>2492</v>
      </c>
      <c r="K199" t="s">
        <v>112</v>
      </c>
      <c r="L199">
        <v>90</v>
      </c>
      <c r="M199">
        <v>5.9722222222222225E-2</v>
      </c>
      <c r="N199">
        <v>1.4333333333333333</v>
      </c>
      <c r="O199" t="s">
        <v>3981</v>
      </c>
      <c r="P199" t="s">
        <v>2486</v>
      </c>
      <c r="Q199">
        <v>2018</v>
      </c>
      <c r="R199">
        <v>2015</v>
      </c>
      <c r="S199" s="1">
        <v>45476</v>
      </c>
      <c r="T199" s="1">
        <v>45472</v>
      </c>
      <c r="U199" t="s">
        <v>4134</v>
      </c>
      <c r="V199" t="s">
        <v>4114</v>
      </c>
      <c r="W199" t="s">
        <v>4118</v>
      </c>
      <c r="X199" t="s">
        <v>4119</v>
      </c>
      <c r="Y199" t="s">
        <v>4116</v>
      </c>
    </row>
    <row r="200" spans="1:25" x14ac:dyDescent="0.25">
      <c r="A200">
        <v>199</v>
      </c>
      <c r="B200">
        <v>58243582</v>
      </c>
      <c r="C200" t="s">
        <v>505</v>
      </c>
      <c r="D200" t="s">
        <v>2616</v>
      </c>
      <c r="E200" t="s">
        <v>506</v>
      </c>
      <c r="F200" t="s">
        <v>507</v>
      </c>
      <c r="G200" t="s">
        <v>2518</v>
      </c>
      <c r="H200" t="s">
        <v>3167</v>
      </c>
      <c r="I200" t="s">
        <v>2890</v>
      </c>
      <c r="J200" t="s">
        <v>2532</v>
      </c>
      <c r="K200" t="s">
        <v>112</v>
      </c>
      <c r="L200">
        <v>360</v>
      </c>
      <c r="M200">
        <v>0.53333333333333333</v>
      </c>
      <c r="N200">
        <v>12.8</v>
      </c>
      <c r="O200" t="s">
        <v>3982</v>
      </c>
      <c r="P200" t="s">
        <v>2494</v>
      </c>
      <c r="Q200">
        <v>2022</v>
      </c>
      <c r="R200">
        <v>2020</v>
      </c>
      <c r="S200" s="1">
        <v>45476</v>
      </c>
      <c r="T200" s="1">
        <v>45461</v>
      </c>
      <c r="U200" t="s">
        <v>4117</v>
      </c>
      <c r="V200" t="s">
        <v>4114</v>
      </c>
      <c r="W200" t="s">
        <v>4121</v>
      </c>
      <c r="X200" t="s">
        <v>2603</v>
      </c>
      <c r="Y200" t="s">
        <v>4116</v>
      </c>
    </row>
    <row r="201" spans="1:25" x14ac:dyDescent="0.25">
      <c r="A201">
        <v>200</v>
      </c>
      <c r="B201">
        <v>37877383</v>
      </c>
      <c r="C201" t="s">
        <v>508</v>
      </c>
      <c r="D201" t="s">
        <v>17</v>
      </c>
      <c r="E201" t="s">
        <v>509</v>
      </c>
      <c r="F201" t="s">
        <v>510</v>
      </c>
      <c r="G201" t="s">
        <v>2521</v>
      </c>
      <c r="H201" t="s">
        <v>3168</v>
      </c>
      <c r="I201" t="s">
        <v>2890</v>
      </c>
      <c r="J201" t="s">
        <v>2617</v>
      </c>
      <c r="K201" t="s">
        <v>112</v>
      </c>
      <c r="L201">
        <v>328</v>
      </c>
      <c r="M201">
        <v>0.43263888888888891</v>
      </c>
      <c r="N201">
        <v>10.383333333333333</v>
      </c>
      <c r="O201" t="s">
        <v>3960</v>
      </c>
      <c r="P201" t="s">
        <v>2486</v>
      </c>
      <c r="Q201">
        <v>2023</v>
      </c>
      <c r="R201">
        <v>2014</v>
      </c>
      <c r="S201" s="1">
        <v>45460</v>
      </c>
      <c r="T201" s="1">
        <v>45456</v>
      </c>
      <c r="U201" t="s">
        <v>4132</v>
      </c>
      <c r="V201" t="s">
        <v>4114</v>
      </c>
      <c r="W201" t="s">
        <v>4121</v>
      </c>
      <c r="X201" t="s">
        <v>2603</v>
      </c>
      <c r="Y201" t="s">
        <v>4125</v>
      </c>
    </row>
    <row r="202" spans="1:25" x14ac:dyDescent="0.25">
      <c r="A202">
        <v>201</v>
      </c>
      <c r="B202">
        <v>63375893</v>
      </c>
      <c r="C202" t="s">
        <v>511</v>
      </c>
      <c r="D202" t="s">
        <v>17</v>
      </c>
      <c r="E202" t="s">
        <v>512</v>
      </c>
      <c r="F202" t="s">
        <v>513</v>
      </c>
      <c r="G202" t="s">
        <v>2618</v>
      </c>
      <c r="H202" t="s">
        <v>3169</v>
      </c>
      <c r="I202" t="s">
        <v>2890</v>
      </c>
      <c r="J202" t="s">
        <v>2532</v>
      </c>
      <c r="K202" t="s">
        <v>112</v>
      </c>
      <c r="L202">
        <v>368</v>
      </c>
      <c r="M202">
        <v>0.67083333333333328</v>
      </c>
      <c r="N202">
        <v>16.099999999999998</v>
      </c>
      <c r="O202" t="s">
        <v>3983</v>
      </c>
      <c r="P202" t="s">
        <v>2494</v>
      </c>
      <c r="Q202">
        <v>2024</v>
      </c>
      <c r="R202">
        <v>2022</v>
      </c>
      <c r="S202" s="1">
        <v>45455</v>
      </c>
      <c r="T202" s="1">
        <v>45451</v>
      </c>
      <c r="U202" t="s">
        <v>4135</v>
      </c>
      <c r="V202" t="s">
        <v>4131</v>
      </c>
      <c r="W202" t="s">
        <v>4115</v>
      </c>
      <c r="X202" t="s">
        <v>2603</v>
      </c>
      <c r="Y202" t="s">
        <v>4116</v>
      </c>
    </row>
    <row r="203" spans="1:25" x14ac:dyDescent="0.25">
      <c r="A203">
        <v>202</v>
      </c>
      <c r="B203">
        <v>13596166</v>
      </c>
      <c r="C203" t="s">
        <v>514</v>
      </c>
      <c r="D203" t="s">
        <v>17</v>
      </c>
      <c r="E203" t="s">
        <v>287</v>
      </c>
      <c r="F203" t="s">
        <v>288</v>
      </c>
      <c r="H203" t="s">
        <v>3170</v>
      </c>
      <c r="I203" t="s">
        <v>2890</v>
      </c>
      <c r="J203" t="s">
        <v>1904</v>
      </c>
      <c r="K203" t="s">
        <v>2488</v>
      </c>
      <c r="L203">
        <v>285</v>
      </c>
      <c r="P203" t="s">
        <v>2494</v>
      </c>
      <c r="Q203">
        <v>2013</v>
      </c>
      <c r="R203">
        <v>2013</v>
      </c>
      <c r="S203" s="1">
        <v>45453</v>
      </c>
      <c r="T203" s="1">
        <v>45439</v>
      </c>
      <c r="U203" t="s">
        <v>4132</v>
      </c>
      <c r="V203" t="s">
        <v>4114</v>
      </c>
      <c r="W203" t="s">
        <v>4121</v>
      </c>
      <c r="X203" t="s">
        <v>2603</v>
      </c>
      <c r="Y203" t="s">
        <v>4116</v>
      </c>
    </row>
    <row r="204" spans="1:25" x14ac:dyDescent="0.25">
      <c r="A204">
        <v>203</v>
      </c>
      <c r="B204">
        <v>50888947</v>
      </c>
      <c r="C204" t="s">
        <v>2619</v>
      </c>
      <c r="D204" t="s">
        <v>515</v>
      </c>
      <c r="E204" t="s">
        <v>516</v>
      </c>
      <c r="F204" t="s">
        <v>517</v>
      </c>
      <c r="H204" t="s">
        <v>3171</v>
      </c>
      <c r="I204" t="s">
        <v>2890</v>
      </c>
      <c r="J204" t="s">
        <v>1770</v>
      </c>
      <c r="K204" t="s">
        <v>2488</v>
      </c>
      <c r="L204">
        <v>302</v>
      </c>
      <c r="P204" t="s">
        <v>2494</v>
      </c>
      <c r="Q204">
        <v>2023</v>
      </c>
      <c r="R204">
        <v>2020</v>
      </c>
      <c r="S204" s="1">
        <v>45448</v>
      </c>
      <c r="T204" s="1">
        <v>45444</v>
      </c>
      <c r="U204" t="s">
        <v>4117</v>
      </c>
      <c r="V204" t="s">
        <v>4114</v>
      </c>
      <c r="W204" t="s">
        <v>4115</v>
      </c>
      <c r="X204" t="s">
        <v>2603</v>
      </c>
      <c r="Y204" t="s">
        <v>4145</v>
      </c>
    </row>
    <row r="205" spans="1:25" x14ac:dyDescent="0.25">
      <c r="A205">
        <v>204</v>
      </c>
      <c r="B205">
        <v>24763063</v>
      </c>
      <c r="C205" t="s">
        <v>3172</v>
      </c>
      <c r="D205" t="s">
        <v>519</v>
      </c>
      <c r="E205" t="s">
        <v>280</v>
      </c>
      <c r="F205" t="s">
        <v>281</v>
      </c>
      <c r="G205" t="s">
        <v>2620</v>
      </c>
      <c r="H205" t="s">
        <v>3173</v>
      </c>
      <c r="I205" t="s">
        <v>2917</v>
      </c>
      <c r="J205" t="s">
        <v>2492</v>
      </c>
      <c r="K205" t="s">
        <v>112</v>
      </c>
      <c r="L205">
        <v>440</v>
      </c>
      <c r="M205">
        <v>0.47638888888888886</v>
      </c>
      <c r="N205">
        <v>11.433333333333334</v>
      </c>
      <c r="O205" t="s">
        <v>3984</v>
      </c>
      <c r="P205" t="s">
        <v>2486</v>
      </c>
      <c r="Q205">
        <v>2015</v>
      </c>
      <c r="R205">
        <v>1999</v>
      </c>
      <c r="S205" s="1">
        <v>45446</v>
      </c>
      <c r="T205" s="1">
        <v>45439</v>
      </c>
      <c r="U205" t="s">
        <v>4117</v>
      </c>
      <c r="V205" t="s">
        <v>4114</v>
      </c>
      <c r="W205" t="s">
        <v>4115</v>
      </c>
      <c r="X205" t="s">
        <v>2603</v>
      </c>
      <c r="Y205" t="s">
        <v>4116</v>
      </c>
    </row>
    <row r="206" spans="1:25" x14ac:dyDescent="0.25">
      <c r="A206">
        <v>205</v>
      </c>
      <c r="B206">
        <v>60628432</v>
      </c>
      <c r="C206" t="s">
        <v>3174</v>
      </c>
      <c r="D206" t="s">
        <v>521</v>
      </c>
      <c r="E206" t="s">
        <v>522</v>
      </c>
      <c r="F206" t="s">
        <v>523</v>
      </c>
      <c r="G206" t="s">
        <v>2621</v>
      </c>
      <c r="H206" t="s">
        <v>3175</v>
      </c>
      <c r="I206" t="s">
        <v>2890</v>
      </c>
      <c r="J206" t="s">
        <v>2492</v>
      </c>
      <c r="K206" t="s">
        <v>112</v>
      </c>
      <c r="L206">
        <v>432</v>
      </c>
      <c r="M206">
        <v>0.5708333333333333</v>
      </c>
      <c r="N206">
        <v>13.7</v>
      </c>
      <c r="O206" t="s">
        <v>3985</v>
      </c>
      <c r="P206" t="s">
        <v>2486</v>
      </c>
      <c r="Q206">
        <v>2023</v>
      </c>
      <c r="R206">
        <v>2018</v>
      </c>
      <c r="S206" s="1">
        <v>45437</v>
      </c>
      <c r="T206" s="1">
        <v>45435</v>
      </c>
      <c r="U206" t="s">
        <v>4117</v>
      </c>
      <c r="V206" t="s">
        <v>4114</v>
      </c>
      <c r="W206" t="s">
        <v>4162</v>
      </c>
      <c r="X206" t="s">
        <v>4163</v>
      </c>
      <c r="Y206" t="s">
        <v>4125</v>
      </c>
    </row>
    <row r="207" spans="1:25" x14ac:dyDescent="0.25">
      <c r="A207">
        <v>206</v>
      </c>
      <c r="B207">
        <v>61671048</v>
      </c>
      <c r="C207" t="s">
        <v>524</v>
      </c>
      <c r="D207" t="s">
        <v>17</v>
      </c>
      <c r="E207" t="s">
        <v>335</v>
      </c>
      <c r="F207" t="s">
        <v>2563</v>
      </c>
      <c r="G207" t="s">
        <v>2564</v>
      </c>
      <c r="H207" t="s">
        <v>3176</v>
      </c>
      <c r="I207" t="s">
        <v>2890</v>
      </c>
      <c r="J207" t="s">
        <v>2532</v>
      </c>
      <c r="K207" t="s">
        <v>112</v>
      </c>
      <c r="L207">
        <v>230</v>
      </c>
      <c r="M207">
        <v>0.21805555555555556</v>
      </c>
      <c r="N207">
        <v>5.2333333333333334</v>
      </c>
      <c r="O207" t="s">
        <v>3986</v>
      </c>
      <c r="P207" t="s">
        <v>2494</v>
      </c>
      <c r="Q207">
        <v>2022</v>
      </c>
      <c r="R207">
        <v>2022</v>
      </c>
      <c r="S207" s="1">
        <v>45435</v>
      </c>
      <c r="T207" s="1">
        <v>45432</v>
      </c>
      <c r="U207" t="s">
        <v>4157</v>
      </c>
      <c r="V207" t="s">
        <v>4131</v>
      </c>
      <c r="W207" t="s">
        <v>4133</v>
      </c>
      <c r="X207" t="s">
        <v>2494</v>
      </c>
      <c r="Y207" t="s">
        <v>4116</v>
      </c>
    </row>
    <row r="208" spans="1:25" x14ac:dyDescent="0.25">
      <c r="A208">
        <v>207</v>
      </c>
      <c r="B208">
        <v>18144052</v>
      </c>
      <c r="C208" t="s">
        <v>525</v>
      </c>
      <c r="D208" t="s">
        <v>17</v>
      </c>
      <c r="E208" t="s">
        <v>526</v>
      </c>
      <c r="F208" t="s">
        <v>527</v>
      </c>
      <c r="H208" t="s">
        <v>3177</v>
      </c>
      <c r="I208" t="s">
        <v>2890</v>
      </c>
      <c r="J208" t="s">
        <v>1910</v>
      </c>
      <c r="K208" t="s">
        <v>2488</v>
      </c>
      <c r="L208">
        <v>611</v>
      </c>
      <c r="P208" t="s">
        <v>2486</v>
      </c>
      <c r="Q208">
        <v>2012</v>
      </c>
      <c r="R208">
        <v>2006</v>
      </c>
      <c r="S208" s="1">
        <v>45432</v>
      </c>
      <c r="T208" s="1">
        <v>45418</v>
      </c>
      <c r="U208" t="s">
        <v>4140</v>
      </c>
      <c r="V208" t="s">
        <v>4131</v>
      </c>
      <c r="W208" t="s">
        <v>4121</v>
      </c>
      <c r="X208" t="s">
        <v>2603</v>
      </c>
      <c r="Y208" t="s">
        <v>4116</v>
      </c>
    </row>
    <row r="209" spans="1:25" x14ac:dyDescent="0.25">
      <c r="A209">
        <v>208</v>
      </c>
      <c r="B209">
        <v>156756628</v>
      </c>
      <c r="C209" t="s">
        <v>3178</v>
      </c>
      <c r="D209" t="s">
        <v>529</v>
      </c>
      <c r="E209" t="s">
        <v>530</v>
      </c>
      <c r="F209" t="s">
        <v>531</v>
      </c>
      <c r="H209" t="s">
        <v>3179</v>
      </c>
      <c r="I209" t="s">
        <v>2933</v>
      </c>
      <c r="J209" t="s">
        <v>1759</v>
      </c>
      <c r="K209" t="s">
        <v>2488</v>
      </c>
      <c r="L209">
        <v>400</v>
      </c>
      <c r="P209" t="s">
        <v>2494</v>
      </c>
      <c r="Q209">
        <v>2023</v>
      </c>
      <c r="R209">
        <v>2022</v>
      </c>
      <c r="S209" s="1">
        <v>45430</v>
      </c>
      <c r="T209" s="1">
        <v>45423</v>
      </c>
      <c r="U209" t="s">
        <v>4136</v>
      </c>
      <c r="V209" t="s">
        <v>4114</v>
      </c>
      <c r="W209" t="s">
        <v>4121</v>
      </c>
      <c r="X209" t="s">
        <v>2603</v>
      </c>
      <c r="Y209" t="s">
        <v>4116</v>
      </c>
    </row>
    <row r="210" spans="1:25" x14ac:dyDescent="0.25">
      <c r="A210">
        <v>209</v>
      </c>
      <c r="B210">
        <v>203417829</v>
      </c>
      <c r="C210" t="s">
        <v>3180</v>
      </c>
      <c r="D210" t="s">
        <v>533</v>
      </c>
      <c r="E210" t="s">
        <v>269</v>
      </c>
      <c r="F210" t="s">
        <v>270</v>
      </c>
      <c r="G210" t="s">
        <v>2622</v>
      </c>
      <c r="H210" t="s">
        <v>3181</v>
      </c>
      <c r="I210" t="s">
        <v>2890</v>
      </c>
      <c r="J210" t="s">
        <v>2545</v>
      </c>
      <c r="K210" t="s">
        <v>112</v>
      </c>
      <c r="L210">
        <v>312</v>
      </c>
      <c r="M210">
        <v>0.42916666666666664</v>
      </c>
      <c r="N210">
        <v>10.299999999999999</v>
      </c>
      <c r="O210" t="s">
        <v>3987</v>
      </c>
      <c r="P210" t="s">
        <v>2486</v>
      </c>
      <c r="Q210">
        <v>2023</v>
      </c>
      <c r="R210">
        <v>2023</v>
      </c>
      <c r="S210" s="1">
        <v>45430</v>
      </c>
      <c r="T210" s="1">
        <v>45430</v>
      </c>
      <c r="U210" t="s">
        <v>4120</v>
      </c>
      <c r="V210" t="s">
        <v>4114</v>
      </c>
      <c r="W210" t="s">
        <v>4121</v>
      </c>
      <c r="X210" t="s">
        <v>2603</v>
      </c>
      <c r="Y210" t="s">
        <v>4116</v>
      </c>
    </row>
    <row r="211" spans="1:25" x14ac:dyDescent="0.25">
      <c r="A211">
        <v>210</v>
      </c>
      <c r="B211">
        <v>156702380</v>
      </c>
      <c r="C211" t="s">
        <v>3182</v>
      </c>
      <c r="D211" t="s">
        <v>535</v>
      </c>
      <c r="E211" t="s">
        <v>536</v>
      </c>
      <c r="F211" t="s">
        <v>537</v>
      </c>
      <c r="H211" t="s">
        <v>3183</v>
      </c>
      <c r="I211" t="s">
        <v>2890</v>
      </c>
      <c r="J211" t="s">
        <v>1668</v>
      </c>
      <c r="K211" t="s">
        <v>2488</v>
      </c>
      <c r="L211">
        <v>296</v>
      </c>
      <c r="P211" t="s">
        <v>2494</v>
      </c>
      <c r="Q211">
        <v>2023</v>
      </c>
      <c r="R211">
        <v>2022</v>
      </c>
      <c r="S211" s="1">
        <v>45423</v>
      </c>
      <c r="T211" s="1">
        <v>45417</v>
      </c>
      <c r="U211" t="s">
        <v>4149</v>
      </c>
      <c r="V211" t="s">
        <v>4114</v>
      </c>
      <c r="W211" t="s">
        <v>4121</v>
      </c>
      <c r="X211" t="s">
        <v>2603</v>
      </c>
      <c r="Y211" t="s">
        <v>4125</v>
      </c>
    </row>
    <row r="212" spans="1:25" x14ac:dyDescent="0.25">
      <c r="A212">
        <v>211</v>
      </c>
      <c r="B212">
        <v>53479929</v>
      </c>
      <c r="C212" t="s">
        <v>3184</v>
      </c>
      <c r="D212" t="s">
        <v>539</v>
      </c>
      <c r="E212" t="s">
        <v>184</v>
      </c>
      <c r="F212" t="s">
        <v>185</v>
      </c>
      <c r="G212" t="s">
        <v>2527</v>
      </c>
      <c r="H212" t="s">
        <v>3185</v>
      </c>
      <c r="I212" t="s">
        <v>2933</v>
      </c>
      <c r="J212" t="s">
        <v>2492</v>
      </c>
      <c r="K212" t="s">
        <v>112</v>
      </c>
      <c r="L212">
        <v>720</v>
      </c>
      <c r="M212">
        <v>0.82222222222222219</v>
      </c>
      <c r="N212">
        <v>19.733333333333334</v>
      </c>
      <c r="O212" t="s">
        <v>3988</v>
      </c>
      <c r="P212" t="s">
        <v>2486</v>
      </c>
      <c r="Q212">
        <v>2018</v>
      </c>
      <c r="R212">
        <v>2018</v>
      </c>
      <c r="S212" s="1">
        <v>45428</v>
      </c>
      <c r="T212" s="1">
        <v>45418</v>
      </c>
      <c r="U212" t="s">
        <v>4117</v>
      </c>
      <c r="V212" t="s">
        <v>4114</v>
      </c>
      <c r="W212" t="s">
        <v>4118</v>
      </c>
      <c r="X212" t="s">
        <v>4119</v>
      </c>
      <c r="Y212" t="s">
        <v>4145</v>
      </c>
    </row>
    <row r="213" spans="1:25" x14ac:dyDescent="0.25">
      <c r="A213">
        <v>212</v>
      </c>
      <c r="B213">
        <v>56588018</v>
      </c>
      <c r="C213" t="s">
        <v>540</v>
      </c>
      <c r="D213" t="s">
        <v>17</v>
      </c>
      <c r="E213" t="s">
        <v>541</v>
      </c>
      <c r="F213" t="s">
        <v>542</v>
      </c>
      <c r="H213" t="s">
        <v>3186</v>
      </c>
      <c r="I213" t="s">
        <v>2901</v>
      </c>
      <c r="J213" t="s">
        <v>1668</v>
      </c>
      <c r="K213" t="s">
        <v>2488</v>
      </c>
      <c r="L213">
        <v>472</v>
      </c>
      <c r="P213" t="s">
        <v>2494</v>
      </c>
      <c r="Q213">
        <v>2021</v>
      </c>
      <c r="R213">
        <v>2019</v>
      </c>
      <c r="S213" s="1">
        <v>45416</v>
      </c>
      <c r="T213" s="1">
        <v>45415</v>
      </c>
      <c r="U213" t="s">
        <v>4138</v>
      </c>
      <c r="V213" t="s">
        <v>4114</v>
      </c>
      <c r="W213" t="s">
        <v>4121</v>
      </c>
      <c r="X213" t="s">
        <v>2603</v>
      </c>
      <c r="Y213" t="s">
        <v>4125</v>
      </c>
    </row>
    <row r="214" spans="1:25" x14ac:dyDescent="0.25">
      <c r="A214">
        <v>213</v>
      </c>
      <c r="B214">
        <v>61163588</v>
      </c>
      <c r="C214" t="s">
        <v>543</v>
      </c>
      <c r="D214" t="s">
        <v>17</v>
      </c>
      <c r="E214" t="s">
        <v>163</v>
      </c>
      <c r="F214" t="s">
        <v>164</v>
      </c>
      <c r="G214" t="s">
        <v>2623</v>
      </c>
      <c r="H214" t="s">
        <v>3187</v>
      </c>
      <c r="I214" t="s">
        <v>2901</v>
      </c>
      <c r="J214" t="s">
        <v>2532</v>
      </c>
      <c r="K214" t="s">
        <v>112</v>
      </c>
      <c r="L214">
        <v>328</v>
      </c>
      <c r="M214">
        <v>0.62638888888888888</v>
      </c>
      <c r="N214">
        <v>15.033333333333333</v>
      </c>
      <c r="O214" t="s">
        <v>3989</v>
      </c>
      <c r="P214" t="s">
        <v>2494</v>
      </c>
      <c r="Q214">
        <v>2022</v>
      </c>
      <c r="R214">
        <v>2022</v>
      </c>
      <c r="S214" s="1">
        <v>45416</v>
      </c>
      <c r="T214" s="1">
        <v>45413</v>
      </c>
      <c r="U214" t="s">
        <v>4138</v>
      </c>
      <c r="V214" t="s">
        <v>4114</v>
      </c>
      <c r="W214" t="s">
        <v>4141</v>
      </c>
      <c r="X214" t="s">
        <v>2603</v>
      </c>
      <c r="Y214" t="s">
        <v>4125</v>
      </c>
    </row>
    <row r="215" spans="1:25" x14ac:dyDescent="0.25">
      <c r="A215">
        <v>214</v>
      </c>
      <c r="B215">
        <v>59970454</v>
      </c>
      <c r="C215" t="s">
        <v>544</v>
      </c>
      <c r="D215" t="s">
        <v>17</v>
      </c>
      <c r="E215" t="s">
        <v>2624</v>
      </c>
      <c r="F215" t="s">
        <v>545</v>
      </c>
      <c r="G215" t="s">
        <v>546</v>
      </c>
      <c r="H215" t="s">
        <v>3188</v>
      </c>
      <c r="I215" t="s">
        <v>2890</v>
      </c>
      <c r="J215" t="s">
        <v>1919</v>
      </c>
      <c r="K215" t="s">
        <v>112</v>
      </c>
      <c r="L215">
        <v>256</v>
      </c>
      <c r="M215">
        <v>0.49722222222222223</v>
      </c>
      <c r="N215">
        <v>11.933333333333334</v>
      </c>
      <c r="O215" t="s">
        <v>3990</v>
      </c>
      <c r="P215" t="s">
        <v>2486</v>
      </c>
      <c r="Q215">
        <v>2021</v>
      </c>
      <c r="R215">
        <v>2010</v>
      </c>
      <c r="S215" s="1">
        <v>45410</v>
      </c>
      <c r="T215" s="1">
        <v>45355</v>
      </c>
      <c r="U215" t="s">
        <v>4126</v>
      </c>
      <c r="V215" t="s">
        <v>4114</v>
      </c>
      <c r="W215" t="s">
        <v>4121</v>
      </c>
      <c r="X215" t="s">
        <v>2603</v>
      </c>
      <c r="Y215" t="s">
        <v>4116</v>
      </c>
    </row>
    <row r="216" spans="1:25" x14ac:dyDescent="0.25">
      <c r="A216">
        <v>215</v>
      </c>
      <c r="B216">
        <v>29339869</v>
      </c>
      <c r="C216" t="s">
        <v>3189</v>
      </c>
      <c r="D216" t="s">
        <v>548</v>
      </c>
      <c r="E216" t="s">
        <v>184</v>
      </c>
      <c r="F216" t="s">
        <v>185</v>
      </c>
      <c r="G216" t="s">
        <v>2625</v>
      </c>
      <c r="H216" t="s">
        <v>3190</v>
      </c>
      <c r="I216" t="s">
        <v>2890</v>
      </c>
      <c r="J216" t="s">
        <v>2492</v>
      </c>
      <c r="K216" t="s">
        <v>112</v>
      </c>
      <c r="L216">
        <v>400</v>
      </c>
      <c r="M216">
        <v>0.5131944444444444</v>
      </c>
      <c r="N216">
        <v>12.316666666666666</v>
      </c>
      <c r="O216" t="s">
        <v>3991</v>
      </c>
      <c r="P216" t="s">
        <v>2486</v>
      </c>
      <c r="Q216">
        <v>2017</v>
      </c>
      <c r="R216">
        <v>2015</v>
      </c>
      <c r="S216" s="1">
        <v>45409</v>
      </c>
      <c r="T216" s="1">
        <v>45407</v>
      </c>
      <c r="U216" t="s">
        <v>4117</v>
      </c>
      <c r="V216" t="s">
        <v>4114</v>
      </c>
      <c r="W216" t="s">
        <v>4118</v>
      </c>
      <c r="X216" t="s">
        <v>4119</v>
      </c>
      <c r="Y216" t="s">
        <v>4145</v>
      </c>
    </row>
    <row r="217" spans="1:25" x14ac:dyDescent="0.25">
      <c r="A217">
        <v>216</v>
      </c>
      <c r="B217">
        <v>32307358</v>
      </c>
      <c r="C217" t="s">
        <v>2543</v>
      </c>
      <c r="D217" t="s">
        <v>248</v>
      </c>
      <c r="E217" t="s">
        <v>2626</v>
      </c>
      <c r="F217" t="s">
        <v>126</v>
      </c>
      <c r="H217" t="s">
        <v>3191</v>
      </c>
      <c r="I217" t="s">
        <v>2933</v>
      </c>
      <c r="J217" t="s">
        <v>1668</v>
      </c>
      <c r="K217" t="s">
        <v>2488</v>
      </c>
      <c r="L217">
        <v>480</v>
      </c>
      <c r="P217" t="s">
        <v>2494</v>
      </c>
      <c r="Q217">
        <v>2018</v>
      </c>
      <c r="R217">
        <v>2018</v>
      </c>
      <c r="S217" s="1">
        <v>45407</v>
      </c>
      <c r="T217" s="1">
        <v>45402</v>
      </c>
      <c r="U217" t="s">
        <v>4129</v>
      </c>
      <c r="V217" t="s">
        <v>4114</v>
      </c>
      <c r="W217" t="s">
        <v>4121</v>
      </c>
      <c r="X217" t="s">
        <v>2603</v>
      </c>
      <c r="Y217" t="s">
        <v>4116</v>
      </c>
    </row>
    <row r="218" spans="1:25" x14ac:dyDescent="0.25">
      <c r="A218">
        <v>217</v>
      </c>
      <c r="B218">
        <v>35382707</v>
      </c>
      <c r="C218" t="s">
        <v>3192</v>
      </c>
      <c r="D218" t="s">
        <v>550</v>
      </c>
      <c r="E218" t="s">
        <v>184</v>
      </c>
      <c r="F218" t="s">
        <v>185</v>
      </c>
      <c r="G218" t="s">
        <v>2527</v>
      </c>
      <c r="H218" t="s">
        <v>3193</v>
      </c>
      <c r="I218" t="s">
        <v>2890</v>
      </c>
      <c r="J218" t="s">
        <v>2492</v>
      </c>
      <c r="K218" t="s">
        <v>112</v>
      </c>
      <c r="L218">
        <v>512</v>
      </c>
      <c r="M218">
        <v>0.86319444444444449</v>
      </c>
      <c r="N218">
        <v>20.716666666666669</v>
      </c>
      <c r="O218" t="s">
        <v>3992</v>
      </c>
      <c r="P218" t="s">
        <v>2486</v>
      </c>
      <c r="Q218">
        <v>2017</v>
      </c>
      <c r="R218">
        <v>2016</v>
      </c>
      <c r="S218" s="1">
        <v>45403</v>
      </c>
      <c r="T218" s="1">
        <v>45401</v>
      </c>
      <c r="U218" t="s">
        <v>4117</v>
      </c>
      <c r="V218" t="s">
        <v>4114</v>
      </c>
      <c r="W218" t="s">
        <v>4118</v>
      </c>
      <c r="X218" t="s">
        <v>4119</v>
      </c>
      <c r="Y218" t="s">
        <v>4145</v>
      </c>
    </row>
    <row r="219" spans="1:25" x14ac:dyDescent="0.25">
      <c r="A219">
        <v>218</v>
      </c>
      <c r="B219">
        <v>199136685</v>
      </c>
      <c r="C219" t="s">
        <v>551</v>
      </c>
      <c r="D219" t="s">
        <v>2628</v>
      </c>
      <c r="E219" t="s">
        <v>552</v>
      </c>
      <c r="F219" t="s">
        <v>553</v>
      </c>
      <c r="G219" t="s">
        <v>2629</v>
      </c>
      <c r="H219" t="s">
        <v>3194</v>
      </c>
      <c r="I219" t="s">
        <v>2901</v>
      </c>
      <c r="J219" t="s">
        <v>2545</v>
      </c>
      <c r="K219" t="s">
        <v>112</v>
      </c>
      <c r="L219">
        <v>416</v>
      </c>
      <c r="M219">
        <v>0.52638888888888891</v>
      </c>
      <c r="N219">
        <v>12.633333333333333</v>
      </c>
      <c r="O219" t="s">
        <v>3993</v>
      </c>
      <c r="P219" t="s">
        <v>2486</v>
      </c>
      <c r="Q219">
        <v>2023</v>
      </c>
      <c r="R219">
        <v>2023</v>
      </c>
      <c r="S219" s="1">
        <v>45402</v>
      </c>
      <c r="T219" s="1">
        <v>45395</v>
      </c>
      <c r="U219" t="s">
        <v>4117</v>
      </c>
      <c r="V219" t="s">
        <v>4114</v>
      </c>
      <c r="W219" t="s">
        <v>4127</v>
      </c>
      <c r="X219" t="s">
        <v>4128</v>
      </c>
      <c r="Y219" t="s">
        <v>4116</v>
      </c>
    </row>
    <row r="220" spans="1:25" x14ac:dyDescent="0.25">
      <c r="A220">
        <v>219</v>
      </c>
      <c r="B220">
        <v>40524050</v>
      </c>
      <c r="C220" t="s">
        <v>3195</v>
      </c>
      <c r="D220" t="s">
        <v>555</v>
      </c>
      <c r="E220" t="s">
        <v>556</v>
      </c>
      <c r="F220" t="s">
        <v>557</v>
      </c>
      <c r="G220" t="s">
        <v>2630</v>
      </c>
      <c r="H220" t="s">
        <v>3196</v>
      </c>
      <c r="I220" t="s">
        <v>2917</v>
      </c>
      <c r="J220" t="s">
        <v>2627</v>
      </c>
      <c r="K220" t="s">
        <v>112</v>
      </c>
      <c r="L220">
        <v>752</v>
      </c>
      <c r="M220">
        <v>1.1055555555555556</v>
      </c>
      <c r="N220">
        <v>26.533333333333335</v>
      </c>
      <c r="O220" t="s">
        <v>3994</v>
      </c>
      <c r="P220" t="s">
        <v>2486</v>
      </c>
      <c r="Q220">
        <v>2019</v>
      </c>
      <c r="R220">
        <v>2010</v>
      </c>
      <c r="S220" s="1">
        <v>45397</v>
      </c>
      <c r="T220" s="1">
        <v>45388</v>
      </c>
      <c r="U220" t="s">
        <v>4113</v>
      </c>
      <c r="V220" t="s">
        <v>4114</v>
      </c>
      <c r="W220" t="s">
        <v>4164</v>
      </c>
      <c r="X220" t="s">
        <v>4165</v>
      </c>
      <c r="Y220" t="s">
        <v>4116</v>
      </c>
    </row>
    <row r="221" spans="1:25" x14ac:dyDescent="0.25">
      <c r="A221">
        <v>220</v>
      </c>
      <c r="B221">
        <v>157153179</v>
      </c>
      <c r="C221" t="s">
        <v>3197</v>
      </c>
      <c r="D221" t="s">
        <v>559</v>
      </c>
      <c r="E221" t="s">
        <v>133</v>
      </c>
      <c r="F221" t="s">
        <v>134</v>
      </c>
      <c r="H221" t="s">
        <v>3198</v>
      </c>
      <c r="I221" t="s">
        <v>2901</v>
      </c>
      <c r="J221" t="s">
        <v>1668</v>
      </c>
      <c r="K221" t="s">
        <v>2488</v>
      </c>
      <c r="L221">
        <v>416</v>
      </c>
      <c r="P221" t="s">
        <v>2494</v>
      </c>
      <c r="Q221">
        <v>2023</v>
      </c>
      <c r="R221">
        <v>2023</v>
      </c>
      <c r="S221" s="1">
        <v>45392</v>
      </c>
      <c r="T221" s="1">
        <v>45386</v>
      </c>
      <c r="U221" t="s">
        <v>4120</v>
      </c>
      <c r="V221" t="s">
        <v>4114</v>
      </c>
      <c r="W221" t="s">
        <v>4115</v>
      </c>
      <c r="X221" t="s">
        <v>2603</v>
      </c>
      <c r="Y221" t="s">
        <v>4125</v>
      </c>
    </row>
    <row r="222" spans="1:25" x14ac:dyDescent="0.25">
      <c r="A222">
        <v>221</v>
      </c>
      <c r="B222">
        <v>35155766</v>
      </c>
      <c r="C222" t="s">
        <v>3199</v>
      </c>
      <c r="D222" t="s">
        <v>561</v>
      </c>
      <c r="E222" t="s">
        <v>556</v>
      </c>
      <c r="F222" t="s">
        <v>557</v>
      </c>
      <c r="G222" t="s">
        <v>2630</v>
      </c>
      <c r="H222" t="s">
        <v>3200</v>
      </c>
      <c r="I222" t="s">
        <v>2890</v>
      </c>
      <c r="J222" t="s">
        <v>2627</v>
      </c>
      <c r="K222" t="s">
        <v>112</v>
      </c>
      <c r="L222">
        <v>600</v>
      </c>
      <c r="M222">
        <v>0.91874999999999996</v>
      </c>
      <c r="N222">
        <v>22.049999999999997</v>
      </c>
      <c r="O222" t="s">
        <v>3995</v>
      </c>
      <c r="P222" t="s">
        <v>2486</v>
      </c>
      <c r="Q222">
        <v>2018</v>
      </c>
      <c r="R222">
        <v>2008</v>
      </c>
      <c r="S222" s="1">
        <v>45388</v>
      </c>
      <c r="T222" s="1">
        <v>45379</v>
      </c>
      <c r="U222" t="s">
        <v>4113</v>
      </c>
      <c r="V222" t="s">
        <v>4114</v>
      </c>
      <c r="W222" t="s">
        <v>4164</v>
      </c>
      <c r="X222" t="s">
        <v>4165</v>
      </c>
      <c r="Y222" t="s">
        <v>4116</v>
      </c>
    </row>
    <row r="223" spans="1:25" x14ac:dyDescent="0.25">
      <c r="A223">
        <v>222</v>
      </c>
      <c r="B223">
        <v>58328656</v>
      </c>
      <c r="C223" t="s">
        <v>562</v>
      </c>
      <c r="D223" t="s">
        <v>17</v>
      </c>
      <c r="E223" t="s">
        <v>563</v>
      </c>
      <c r="F223" t="s">
        <v>564</v>
      </c>
      <c r="H223" t="s">
        <v>3201</v>
      </c>
      <c r="I223" t="s">
        <v>2901</v>
      </c>
      <c r="J223" t="s">
        <v>1927</v>
      </c>
      <c r="K223" t="s">
        <v>57</v>
      </c>
      <c r="L223">
        <v>536</v>
      </c>
      <c r="P223" t="s">
        <v>2486</v>
      </c>
      <c r="Q223">
        <v>2021</v>
      </c>
      <c r="R223">
        <v>2020</v>
      </c>
      <c r="S223" s="1">
        <v>45384</v>
      </c>
      <c r="T223" s="1">
        <v>45378</v>
      </c>
      <c r="U223" t="s">
        <v>4120</v>
      </c>
      <c r="V223" t="s">
        <v>4114</v>
      </c>
      <c r="W223" t="s">
        <v>4121</v>
      </c>
      <c r="X223" t="s">
        <v>2603</v>
      </c>
      <c r="Y223" t="s">
        <v>4125</v>
      </c>
    </row>
    <row r="224" spans="1:25" x14ac:dyDescent="0.25">
      <c r="A224">
        <v>223</v>
      </c>
      <c r="B224">
        <v>33819718</v>
      </c>
      <c r="C224" t="s">
        <v>3202</v>
      </c>
      <c r="D224" t="s">
        <v>566</v>
      </c>
      <c r="E224" t="s">
        <v>556</v>
      </c>
      <c r="F224" t="s">
        <v>557</v>
      </c>
      <c r="G224" t="s">
        <v>2630</v>
      </c>
      <c r="H224" t="s">
        <v>3203</v>
      </c>
      <c r="I224" t="s">
        <v>2890</v>
      </c>
      <c r="J224" t="s">
        <v>2627</v>
      </c>
      <c r="K224" t="s">
        <v>112</v>
      </c>
      <c r="L224">
        <v>447</v>
      </c>
      <c r="M224">
        <v>0.58958333333333335</v>
      </c>
      <c r="N224">
        <v>14.15</v>
      </c>
      <c r="O224" t="s">
        <v>3996</v>
      </c>
      <c r="P224" t="s">
        <v>2486</v>
      </c>
      <c r="Q224">
        <v>2017</v>
      </c>
      <c r="R224">
        <v>2006</v>
      </c>
      <c r="S224" s="1">
        <v>45379</v>
      </c>
      <c r="T224" s="1">
        <v>45375</v>
      </c>
      <c r="U224" t="s">
        <v>4113</v>
      </c>
      <c r="V224" t="s">
        <v>4114</v>
      </c>
      <c r="W224" t="s">
        <v>4164</v>
      </c>
      <c r="X224" t="s">
        <v>4165</v>
      </c>
      <c r="Y224" t="s">
        <v>4116</v>
      </c>
    </row>
    <row r="225" spans="1:25" x14ac:dyDescent="0.25">
      <c r="A225">
        <v>224</v>
      </c>
      <c r="B225">
        <v>27137615</v>
      </c>
      <c r="C225" t="s">
        <v>567</v>
      </c>
      <c r="D225" t="s">
        <v>17</v>
      </c>
      <c r="E225" t="s">
        <v>568</v>
      </c>
      <c r="F225" t="s">
        <v>569</v>
      </c>
      <c r="H225" t="s">
        <v>3204</v>
      </c>
      <c r="I225" t="s">
        <v>2901</v>
      </c>
      <c r="J225" t="s">
        <v>1930</v>
      </c>
      <c r="K225" t="s">
        <v>2488</v>
      </c>
      <c r="L225">
        <v>504</v>
      </c>
      <c r="P225" t="s">
        <v>2494</v>
      </c>
      <c r="Q225">
        <v>2015</v>
      </c>
      <c r="R225">
        <v>2015</v>
      </c>
      <c r="S225" s="1">
        <v>45376</v>
      </c>
      <c r="T225" s="1">
        <v>45371</v>
      </c>
      <c r="U225" t="s">
        <v>4113</v>
      </c>
      <c r="V225" t="s">
        <v>4114</v>
      </c>
      <c r="W225" t="s">
        <v>4133</v>
      </c>
      <c r="X225" t="s">
        <v>2494</v>
      </c>
      <c r="Y225" t="s">
        <v>4116</v>
      </c>
    </row>
    <row r="226" spans="1:25" x14ac:dyDescent="0.25">
      <c r="A226">
        <v>225</v>
      </c>
      <c r="B226">
        <v>18655716</v>
      </c>
      <c r="C226" t="s">
        <v>3205</v>
      </c>
      <c r="D226" t="s">
        <v>571</v>
      </c>
      <c r="E226" t="s">
        <v>184</v>
      </c>
      <c r="F226" t="s">
        <v>185</v>
      </c>
      <c r="G226" t="s">
        <v>2527</v>
      </c>
      <c r="H226" t="s">
        <v>3206</v>
      </c>
      <c r="I226" t="s">
        <v>2890</v>
      </c>
      <c r="J226" t="s">
        <v>2492</v>
      </c>
      <c r="K226" t="s">
        <v>112</v>
      </c>
      <c r="L226">
        <v>495</v>
      </c>
      <c r="M226">
        <v>0.49513888888888891</v>
      </c>
      <c r="N226">
        <v>11.883333333333333</v>
      </c>
      <c r="O226" t="s">
        <v>3997</v>
      </c>
      <c r="P226" t="s">
        <v>2486</v>
      </c>
      <c r="Q226">
        <v>2013</v>
      </c>
      <c r="R226">
        <v>2012</v>
      </c>
      <c r="S226" s="1">
        <v>45376</v>
      </c>
      <c r="T226" s="1">
        <v>45374</v>
      </c>
      <c r="U226" t="s">
        <v>4117</v>
      </c>
      <c r="V226" t="s">
        <v>4114</v>
      </c>
      <c r="W226" t="s">
        <v>4118</v>
      </c>
      <c r="X226" t="s">
        <v>4119</v>
      </c>
      <c r="Y226" t="s">
        <v>4145</v>
      </c>
    </row>
    <row r="227" spans="1:25" x14ac:dyDescent="0.25">
      <c r="A227">
        <v>226</v>
      </c>
      <c r="B227">
        <v>54965511</v>
      </c>
      <c r="C227" t="s">
        <v>572</v>
      </c>
      <c r="D227" t="s">
        <v>17</v>
      </c>
      <c r="E227" t="s">
        <v>573</v>
      </c>
      <c r="F227" t="s">
        <v>574</v>
      </c>
      <c r="H227" t="s">
        <v>3207</v>
      </c>
      <c r="I227" t="s">
        <v>2890</v>
      </c>
      <c r="J227" t="s">
        <v>1829</v>
      </c>
      <c r="K227" t="s">
        <v>2488</v>
      </c>
      <c r="L227">
        <v>336</v>
      </c>
      <c r="P227" t="s">
        <v>2494</v>
      </c>
      <c r="Q227">
        <v>2020</v>
      </c>
      <c r="R227">
        <v>2017</v>
      </c>
      <c r="S227" s="1">
        <v>45373</v>
      </c>
      <c r="T227" s="1">
        <v>45364</v>
      </c>
      <c r="U227" t="s">
        <v>4126</v>
      </c>
      <c r="V227" t="s">
        <v>4114</v>
      </c>
      <c r="W227" t="s">
        <v>4159</v>
      </c>
      <c r="X227" t="s">
        <v>4160</v>
      </c>
      <c r="Y227" t="s">
        <v>4125</v>
      </c>
    </row>
    <row r="228" spans="1:25" x14ac:dyDescent="0.25">
      <c r="A228">
        <v>227</v>
      </c>
      <c r="B228">
        <v>9200869</v>
      </c>
      <c r="C228" t="s">
        <v>2631</v>
      </c>
      <c r="D228" t="s">
        <v>575</v>
      </c>
      <c r="E228" t="s">
        <v>184</v>
      </c>
      <c r="F228" t="s">
        <v>185</v>
      </c>
      <c r="G228" t="s">
        <v>2527</v>
      </c>
      <c r="H228" t="s">
        <v>3208</v>
      </c>
      <c r="I228" t="s">
        <v>2917</v>
      </c>
      <c r="J228" t="s">
        <v>2492</v>
      </c>
      <c r="K228" t="s">
        <v>112</v>
      </c>
      <c r="L228">
        <v>561</v>
      </c>
      <c r="M228">
        <v>0.48888888888888887</v>
      </c>
      <c r="N228">
        <v>11.733333333333333</v>
      </c>
      <c r="O228" t="s">
        <v>3931</v>
      </c>
      <c r="P228" t="s">
        <v>2486</v>
      </c>
      <c r="Q228">
        <v>2015</v>
      </c>
      <c r="R228">
        <v>2010</v>
      </c>
      <c r="S228" s="1">
        <v>45372</v>
      </c>
      <c r="T228" s="1">
        <v>45371</v>
      </c>
      <c r="U228" t="s">
        <v>4117</v>
      </c>
      <c r="V228" t="s">
        <v>4114</v>
      </c>
      <c r="W228" t="s">
        <v>4118</v>
      </c>
      <c r="X228" t="s">
        <v>4119</v>
      </c>
      <c r="Y228" t="s">
        <v>4145</v>
      </c>
    </row>
    <row r="229" spans="1:25" x14ac:dyDescent="0.25">
      <c r="A229">
        <v>228</v>
      </c>
      <c r="B229">
        <v>52518016</v>
      </c>
      <c r="C229" t="s">
        <v>576</v>
      </c>
      <c r="D229" t="s">
        <v>17</v>
      </c>
      <c r="E229" t="s">
        <v>577</v>
      </c>
      <c r="F229" t="s">
        <v>578</v>
      </c>
      <c r="H229" t="s">
        <v>3209</v>
      </c>
      <c r="I229" t="s">
        <v>2917</v>
      </c>
      <c r="J229" t="s">
        <v>1723</v>
      </c>
      <c r="K229" t="s">
        <v>57</v>
      </c>
      <c r="L229">
        <v>296</v>
      </c>
      <c r="P229" t="s">
        <v>2486</v>
      </c>
      <c r="Q229">
        <v>2019</v>
      </c>
      <c r="R229">
        <v>2018</v>
      </c>
      <c r="S229" s="1">
        <v>45371</v>
      </c>
      <c r="T229" s="1">
        <v>45365</v>
      </c>
      <c r="U229" t="s">
        <v>4130</v>
      </c>
      <c r="V229" t="s">
        <v>4131</v>
      </c>
      <c r="W229" t="s">
        <v>4121</v>
      </c>
      <c r="X229" t="s">
        <v>2603</v>
      </c>
      <c r="Y229" t="s">
        <v>4116</v>
      </c>
    </row>
    <row r="230" spans="1:25" x14ac:dyDescent="0.25">
      <c r="A230">
        <v>229</v>
      </c>
      <c r="B230">
        <v>10057190</v>
      </c>
      <c r="C230" t="s">
        <v>3210</v>
      </c>
      <c r="D230" t="s">
        <v>580</v>
      </c>
      <c r="E230" t="s">
        <v>184</v>
      </c>
      <c r="F230" t="s">
        <v>185</v>
      </c>
      <c r="G230" t="s">
        <v>2527</v>
      </c>
      <c r="H230" t="s">
        <v>3211</v>
      </c>
      <c r="I230" t="s">
        <v>2890</v>
      </c>
      <c r="J230" t="s">
        <v>2492</v>
      </c>
      <c r="K230" t="s">
        <v>112</v>
      </c>
      <c r="L230">
        <v>534</v>
      </c>
      <c r="M230">
        <v>0.6875</v>
      </c>
      <c r="N230">
        <v>16.5</v>
      </c>
      <c r="O230" t="s">
        <v>3998</v>
      </c>
      <c r="P230" t="s">
        <v>2486</v>
      </c>
      <c r="Q230">
        <v>2013</v>
      </c>
      <c r="R230">
        <v>2009</v>
      </c>
      <c r="S230" s="1">
        <v>45365</v>
      </c>
      <c r="T230" s="1">
        <v>45360</v>
      </c>
      <c r="U230" t="s">
        <v>4117</v>
      </c>
      <c r="V230" t="s">
        <v>4114</v>
      </c>
      <c r="W230" t="s">
        <v>4118</v>
      </c>
      <c r="X230" t="s">
        <v>4119</v>
      </c>
      <c r="Y230" t="s">
        <v>4145</v>
      </c>
    </row>
    <row r="231" spans="1:25" x14ac:dyDescent="0.25">
      <c r="A231">
        <v>230</v>
      </c>
      <c r="B231">
        <v>58516913</v>
      </c>
      <c r="C231" t="s">
        <v>581</v>
      </c>
      <c r="D231" t="s">
        <v>17</v>
      </c>
      <c r="E231" t="s">
        <v>582</v>
      </c>
      <c r="F231" t="s">
        <v>583</v>
      </c>
      <c r="H231" t="s">
        <v>3212</v>
      </c>
      <c r="I231" t="s">
        <v>2890</v>
      </c>
      <c r="J231" t="s">
        <v>1937</v>
      </c>
      <c r="K231" t="s">
        <v>57</v>
      </c>
      <c r="L231">
        <v>264</v>
      </c>
      <c r="P231" t="s">
        <v>2486</v>
      </c>
      <c r="Q231">
        <v>2021</v>
      </c>
      <c r="R231">
        <v>1994</v>
      </c>
      <c r="S231" s="1">
        <v>45359</v>
      </c>
      <c r="T231" s="1">
        <v>45353</v>
      </c>
      <c r="U231" t="s">
        <v>4126</v>
      </c>
      <c r="V231" t="s">
        <v>4114</v>
      </c>
      <c r="W231" t="s">
        <v>4166</v>
      </c>
      <c r="X231" t="s">
        <v>4167</v>
      </c>
      <c r="Y231" t="s">
        <v>4125</v>
      </c>
    </row>
    <row r="232" spans="1:25" x14ac:dyDescent="0.25">
      <c r="A232">
        <v>231</v>
      </c>
      <c r="B232">
        <v>53831127</v>
      </c>
      <c r="C232" t="s">
        <v>584</v>
      </c>
      <c r="D232" t="s">
        <v>2632</v>
      </c>
      <c r="E232" t="s">
        <v>585</v>
      </c>
      <c r="F232" t="s">
        <v>586</v>
      </c>
      <c r="G232" t="s">
        <v>2633</v>
      </c>
      <c r="H232" t="s">
        <v>3213</v>
      </c>
      <c r="I232" t="s">
        <v>3006</v>
      </c>
      <c r="J232" t="s">
        <v>1939</v>
      </c>
      <c r="K232" t="s">
        <v>112</v>
      </c>
      <c r="L232">
        <v>552</v>
      </c>
      <c r="M232">
        <v>0.5493055555555556</v>
      </c>
      <c r="N232">
        <v>13.183333333333334</v>
      </c>
      <c r="O232" t="s">
        <v>3927</v>
      </c>
      <c r="P232" t="s">
        <v>2486</v>
      </c>
      <c r="Q232">
        <v>2022</v>
      </c>
      <c r="R232">
        <v>2020</v>
      </c>
      <c r="S232" s="1">
        <v>45353</v>
      </c>
      <c r="T232" s="1">
        <v>45348</v>
      </c>
      <c r="U232" t="s">
        <v>4113</v>
      </c>
      <c r="V232" t="s">
        <v>4114</v>
      </c>
      <c r="W232" t="s">
        <v>4148</v>
      </c>
      <c r="X232" t="s">
        <v>2486</v>
      </c>
      <c r="Y232" t="s">
        <v>4125</v>
      </c>
    </row>
    <row r="233" spans="1:25" x14ac:dyDescent="0.25">
      <c r="A233">
        <v>232</v>
      </c>
      <c r="B233">
        <v>50571356</v>
      </c>
      <c r="C233" t="s">
        <v>587</v>
      </c>
      <c r="D233" t="s">
        <v>17</v>
      </c>
      <c r="E233" t="s">
        <v>588</v>
      </c>
      <c r="F233" t="s">
        <v>589</v>
      </c>
      <c r="G233" t="s">
        <v>2634</v>
      </c>
      <c r="H233" t="s">
        <v>3214</v>
      </c>
      <c r="I233" t="s">
        <v>2890</v>
      </c>
      <c r="J233" t="s">
        <v>2492</v>
      </c>
      <c r="K233" t="s">
        <v>112</v>
      </c>
      <c r="L233">
        <v>248</v>
      </c>
      <c r="M233">
        <v>0.30416666666666664</v>
      </c>
      <c r="N233">
        <v>7.2999999999999989</v>
      </c>
      <c r="O233" t="s">
        <v>3999</v>
      </c>
      <c r="P233" t="s">
        <v>2486</v>
      </c>
      <c r="Q233">
        <v>2020</v>
      </c>
      <c r="R233">
        <v>2018</v>
      </c>
      <c r="S233" s="1">
        <v>45350</v>
      </c>
      <c r="T233" s="1">
        <v>45345</v>
      </c>
      <c r="U233" t="s">
        <v>4126</v>
      </c>
      <c r="V233" t="s">
        <v>4114</v>
      </c>
      <c r="W233" t="s">
        <v>4141</v>
      </c>
      <c r="X233" t="s">
        <v>2603</v>
      </c>
      <c r="Y233" t="s">
        <v>4125</v>
      </c>
    </row>
    <row r="234" spans="1:25" x14ac:dyDescent="0.25">
      <c r="A234">
        <v>233</v>
      </c>
      <c r="B234">
        <v>63038153</v>
      </c>
      <c r="C234" t="s">
        <v>590</v>
      </c>
      <c r="D234" t="s">
        <v>17</v>
      </c>
      <c r="E234" t="s">
        <v>591</v>
      </c>
      <c r="F234" t="s">
        <v>592</v>
      </c>
      <c r="H234" t="s">
        <v>3215</v>
      </c>
      <c r="I234" t="s">
        <v>2890</v>
      </c>
      <c r="J234" t="s">
        <v>1668</v>
      </c>
      <c r="K234" t="s">
        <v>2488</v>
      </c>
      <c r="L234">
        <v>256</v>
      </c>
      <c r="P234" t="s">
        <v>2494</v>
      </c>
      <c r="Q234">
        <v>2022</v>
      </c>
      <c r="R234">
        <v>2018</v>
      </c>
      <c r="S234" s="1">
        <v>45350</v>
      </c>
      <c r="T234" s="1">
        <v>45306</v>
      </c>
      <c r="U234" t="s">
        <v>4140</v>
      </c>
      <c r="V234" t="s">
        <v>4131</v>
      </c>
      <c r="W234" t="s">
        <v>4115</v>
      </c>
      <c r="X234" t="s">
        <v>2603</v>
      </c>
      <c r="Y234" t="s">
        <v>4125</v>
      </c>
    </row>
    <row r="235" spans="1:25" x14ac:dyDescent="0.25">
      <c r="A235">
        <v>234</v>
      </c>
      <c r="B235">
        <v>89572639</v>
      </c>
      <c r="C235" t="s">
        <v>593</v>
      </c>
      <c r="D235" t="s">
        <v>17</v>
      </c>
      <c r="E235" t="s">
        <v>329</v>
      </c>
      <c r="F235" t="s">
        <v>330</v>
      </c>
      <c r="G235" t="s">
        <v>2635</v>
      </c>
      <c r="H235" t="s">
        <v>3216</v>
      </c>
      <c r="I235" t="s">
        <v>2901</v>
      </c>
      <c r="J235" t="s">
        <v>2492</v>
      </c>
      <c r="K235" t="s">
        <v>112</v>
      </c>
      <c r="L235">
        <v>304</v>
      </c>
      <c r="M235">
        <v>0.36388888888888887</v>
      </c>
      <c r="N235">
        <v>8.7333333333333325</v>
      </c>
      <c r="O235" t="s">
        <v>4000</v>
      </c>
      <c r="P235" t="s">
        <v>2486</v>
      </c>
      <c r="Q235">
        <v>2023</v>
      </c>
      <c r="R235">
        <v>2023</v>
      </c>
      <c r="S235" s="1">
        <v>45350</v>
      </c>
      <c r="T235" s="1">
        <v>45346</v>
      </c>
      <c r="U235" t="s">
        <v>4126</v>
      </c>
      <c r="V235" t="s">
        <v>4114</v>
      </c>
      <c r="W235" t="s">
        <v>4148</v>
      </c>
      <c r="X235" t="s">
        <v>2486</v>
      </c>
      <c r="Y235" t="s">
        <v>4125</v>
      </c>
    </row>
    <row r="236" spans="1:25" x14ac:dyDescent="0.25">
      <c r="A236">
        <v>235</v>
      </c>
      <c r="B236">
        <v>54353369</v>
      </c>
      <c r="C236" t="s">
        <v>594</v>
      </c>
      <c r="D236" t="s">
        <v>17</v>
      </c>
      <c r="E236" t="s">
        <v>595</v>
      </c>
      <c r="F236" t="s">
        <v>596</v>
      </c>
      <c r="H236" t="s">
        <v>3217</v>
      </c>
      <c r="I236" t="s">
        <v>3006</v>
      </c>
      <c r="J236" t="s">
        <v>1944</v>
      </c>
      <c r="K236" t="s">
        <v>2488</v>
      </c>
      <c r="L236">
        <v>192</v>
      </c>
      <c r="P236" t="s">
        <v>2494</v>
      </c>
      <c r="Q236">
        <v>2020</v>
      </c>
      <c r="R236">
        <v>2020</v>
      </c>
      <c r="S236" s="1">
        <v>45348</v>
      </c>
      <c r="T236" s="1">
        <v>45338</v>
      </c>
      <c r="U236" t="s">
        <v>4168</v>
      </c>
      <c r="V236" t="s">
        <v>4131</v>
      </c>
      <c r="W236" t="s">
        <v>4123</v>
      </c>
      <c r="X236" t="s">
        <v>4124</v>
      </c>
      <c r="Y236" t="s">
        <v>4125</v>
      </c>
    </row>
    <row r="237" spans="1:25" x14ac:dyDescent="0.25">
      <c r="A237">
        <v>236</v>
      </c>
      <c r="B237">
        <v>50399402</v>
      </c>
      <c r="C237" t="s">
        <v>3218</v>
      </c>
      <c r="D237" t="s">
        <v>598</v>
      </c>
      <c r="E237" t="s">
        <v>599</v>
      </c>
      <c r="F237" t="s">
        <v>600</v>
      </c>
      <c r="G237" t="s">
        <v>2636</v>
      </c>
      <c r="H237" t="s">
        <v>3219</v>
      </c>
      <c r="I237" t="s">
        <v>2917</v>
      </c>
      <c r="J237" t="s">
        <v>2637</v>
      </c>
      <c r="K237" t="s">
        <v>112</v>
      </c>
      <c r="L237">
        <v>384</v>
      </c>
      <c r="M237">
        <v>0.61805555555555558</v>
      </c>
      <c r="N237">
        <v>14.833333333333334</v>
      </c>
      <c r="O237" t="s">
        <v>4001</v>
      </c>
      <c r="P237" t="s">
        <v>2486</v>
      </c>
      <c r="Q237">
        <v>2022</v>
      </c>
      <c r="R237">
        <v>2020</v>
      </c>
      <c r="S237" s="1">
        <v>45347</v>
      </c>
      <c r="T237" s="1">
        <v>45340</v>
      </c>
      <c r="U237" t="s">
        <v>4120</v>
      </c>
      <c r="V237" t="s">
        <v>4114</v>
      </c>
      <c r="W237" t="s">
        <v>4148</v>
      </c>
      <c r="X237" t="s">
        <v>2486</v>
      </c>
      <c r="Y237" t="s">
        <v>4125</v>
      </c>
    </row>
    <row r="238" spans="1:25" x14ac:dyDescent="0.25">
      <c r="A238">
        <v>237</v>
      </c>
      <c r="B238">
        <v>62678905</v>
      </c>
      <c r="C238" t="s">
        <v>601</v>
      </c>
      <c r="D238" t="s">
        <v>2638</v>
      </c>
      <c r="E238" t="s">
        <v>602</v>
      </c>
      <c r="F238" t="s">
        <v>603</v>
      </c>
      <c r="G238" t="s">
        <v>2639</v>
      </c>
      <c r="H238" t="s">
        <v>3220</v>
      </c>
      <c r="I238" t="s">
        <v>2901</v>
      </c>
      <c r="J238" t="s">
        <v>2499</v>
      </c>
      <c r="K238" t="s">
        <v>112</v>
      </c>
      <c r="L238">
        <v>331</v>
      </c>
      <c r="M238">
        <v>0.49652777777777779</v>
      </c>
      <c r="N238">
        <v>11.916666666666668</v>
      </c>
      <c r="O238" t="s">
        <v>4002</v>
      </c>
      <c r="P238" t="s">
        <v>2486</v>
      </c>
      <c r="Q238">
        <v>2022</v>
      </c>
      <c r="R238">
        <v>2022</v>
      </c>
      <c r="S238" s="1">
        <v>45346</v>
      </c>
      <c r="T238" s="1">
        <v>45344</v>
      </c>
      <c r="U238" t="s">
        <v>4117</v>
      </c>
      <c r="V238" t="s">
        <v>4114</v>
      </c>
      <c r="W238" t="s">
        <v>4137</v>
      </c>
      <c r="X238" t="s">
        <v>2603</v>
      </c>
      <c r="Y238" t="s">
        <v>4125</v>
      </c>
    </row>
    <row r="239" spans="1:25" x14ac:dyDescent="0.25">
      <c r="A239">
        <v>238</v>
      </c>
      <c r="B239">
        <v>37533587</v>
      </c>
      <c r="C239" t="s">
        <v>604</v>
      </c>
      <c r="D239" t="s">
        <v>17</v>
      </c>
      <c r="E239" t="s">
        <v>605</v>
      </c>
      <c r="F239" t="s">
        <v>606</v>
      </c>
      <c r="H239" t="s">
        <v>3221</v>
      </c>
      <c r="I239" t="s">
        <v>2890</v>
      </c>
      <c r="J239" t="s">
        <v>1809</v>
      </c>
      <c r="K239" t="s">
        <v>2488</v>
      </c>
      <c r="L239">
        <v>204</v>
      </c>
      <c r="P239" t="s">
        <v>2494</v>
      </c>
      <c r="Q239">
        <v>2021</v>
      </c>
      <c r="R239">
        <v>2018</v>
      </c>
      <c r="S239" s="1">
        <v>45344</v>
      </c>
      <c r="T239" s="1">
        <v>45344</v>
      </c>
      <c r="U239" t="s">
        <v>4158</v>
      </c>
      <c r="V239" t="s">
        <v>4114</v>
      </c>
      <c r="W239" t="s">
        <v>4121</v>
      </c>
      <c r="X239" t="s">
        <v>2603</v>
      </c>
      <c r="Y239" t="s">
        <v>4116</v>
      </c>
    </row>
    <row r="240" spans="1:25" x14ac:dyDescent="0.25">
      <c r="A240">
        <v>239</v>
      </c>
      <c r="B240">
        <v>55845655</v>
      </c>
      <c r="C240" t="s">
        <v>607</v>
      </c>
      <c r="D240" t="s">
        <v>17</v>
      </c>
      <c r="E240" t="s">
        <v>608</v>
      </c>
      <c r="F240" t="s">
        <v>609</v>
      </c>
      <c r="G240" t="s">
        <v>2640</v>
      </c>
      <c r="H240" t="s">
        <v>3222</v>
      </c>
      <c r="I240" t="s">
        <v>2917</v>
      </c>
      <c r="J240" t="s">
        <v>1939</v>
      </c>
      <c r="K240" t="s">
        <v>112</v>
      </c>
      <c r="L240">
        <v>166</v>
      </c>
      <c r="M240">
        <v>0.38680555555555557</v>
      </c>
      <c r="N240">
        <v>9.2833333333333332</v>
      </c>
      <c r="O240" t="s">
        <v>4003</v>
      </c>
      <c r="P240" t="s">
        <v>2486</v>
      </c>
      <c r="Q240">
        <v>2021</v>
      </c>
      <c r="R240">
        <v>2020</v>
      </c>
      <c r="S240" s="1">
        <v>45344</v>
      </c>
      <c r="T240" s="1">
        <v>45337</v>
      </c>
      <c r="U240" t="s">
        <v>4113</v>
      </c>
      <c r="V240" t="s">
        <v>4114</v>
      </c>
      <c r="W240" t="s">
        <v>4148</v>
      </c>
      <c r="X240" t="s">
        <v>2486</v>
      </c>
      <c r="Y240" t="s">
        <v>4116</v>
      </c>
    </row>
    <row r="241" spans="1:25" x14ac:dyDescent="0.25">
      <c r="A241">
        <v>240</v>
      </c>
      <c r="B241">
        <v>23290629</v>
      </c>
      <c r="C241" t="s">
        <v>3223</v>
      </c>
      <c r="D241" t="s">
        <v>611</v>
      </c>
      <c r="E241" t="s">
        <v>612</v>
      </c>
      <c r="F241" t="s">
        <v>613</v>
      </c>
      <c r="H241" t="s">
        <v>3224</v>
      </c>
      <c r="I241" t="s">
        <v>2890</v>
      </c>
      <c r="J241" t="s">
        <v>1950</v>
      </c>
      <c r="K241" t="s">
        <v>2488</v>
      </c>
      <c r="L241">
        <v>272</v>
      </c>
      <c r="P241" t="s">
        <v>2494</v>
      </c>
      <c r="Q241">
        <v>2014</v>
      </c>
      <c r="R241">
        <v>2014</v>
      </c>
      <c r="S241" s="1">
        <v>45344</v>
      </c>
      <c r="T241" s="1">
        <v>45338</v>
      </c>
      <c r="U241" t="s">
        <v>4113</v>
      </c>
      <c r="V241" t="s">
        <v>4114</v>
      </c>
      <c r="W241" t="s">
        <v>4133</v>
      </c>
      <c r="X241" t="s">
        <v>2494</v>
      </c>
      <c r="Y241" t="s">
        <v>4116</v>
      </c>
    </row>
    <row r="242" spans="1:25" x14ac:dyDescent="0.25">
      <c r="A242">
        <v>241</v>
      </c>
      <c r="B242">
        <v>123254125</v>
      </c>
      <c r="C242" t="s">
        <v>3225</v>
      </c>
      <c r="D242" t="s">
        <v>615</v>
      </c>
      <c r="E242" t="s">
        <v>616</v>
      </c>
      <c r="F242" t="s">
        <v>617</v>
      </c>
      <c r="H242" t="s">
        <v>3226</v>
      </c>
      <c r="I242" t="s">
        <v>2890</v>
      </c>
      <c r="J242" t="s">
        <v>1723</v>
      </c>
      <c r="K242" t="s">
        <v>2488</v>
      </c>
      <c r="L242">
        <v>368</v>
      </c>
      <c r="P242" t="s">
        <v>2494</v>
      </c>
      <c r="Q242">
        <v>2023</v>
      </c>
      <c r="R242">
        <v>2022</v>
      </c>
      <c r="S242" s="1">
        <v>45337</v>
      </c>
      <c r="T242" s="1">
        <v>45327</v>
      </c>
      <c r="U242" t="s">
        <v>4129</v>
      </c>
      <c r="V242" t="s">
        <v>4114</v>
      </c>
      <c r="W242" t="s">
        <v>4115</v>
      </c>
      <c r="X242" t="s">
        <v>2603</v>
      </c>
      <c r="Y242" t="s">
        <v>4125</v>
      </c>
    </row>
    <row r="243" spans="1:25" x14ac:dyDescent="0.25">
      <c r="A243">
        <v>242</v>
      </c>
      <c r="B243">
        <v>17935138</v>
      </c>
      <c r="C243" t="s">
        <v>618</v>
      </c>
      <c r="D243" t="s">
        <v>17</v>
      </c>
      <c r="E243" t="s">
        <v>155</v>
      </c>
      <c r="F243" t="s">
        <v>156</v>
      </c>
      <c r="G243" t="s">
        <v>2641</v>
      </c>
      <c r="H243" t="s">
        <v>3227</v>
      </c>
      <c r="I243" t="s">
        <v>2901</v>
      </c>
      <c r="J243" t="s">
        <v>1687</v>
      </c>
      <c r="K243" t="s">
        <v>112</v>
      </c>
      <c r="L243">
        <v>272</v>
      </c>
      <c r="M243">
        <v>0.14652777777777778</v>
      </c>
      <c r="N243">
        <v>3.5166666666666666</v>
      </c>
      <c r="O243" t="s">
        <v>4004</v>
      </c>
      <c r="P243" t="s">
        <v>2486</v>
      </c>
      <c r="Q243">
        <v>2025</v>
      </c>
      <c r="R243">
        <v>2013</v>
      </c>
      <c r="S243" s="1">
        <v>45335</v>
      </c>
      <c r="T243" s="1">
        <v>45335</v>
      </c>
      <c r="U243" t="s">
        <v>4130</v>
      </c>
      <c r="V243" t="s">
        <v>4131</v>
      </c>
      <c r="W243" t="s">
        <v>4148</v>
      </c>
      <c r="X243" t="s">
        <v>2486</v>
      </c>
      <c r="Y243" t="s">
        <v>4116</v>
      </c>
    </row>
    <row r="244" spans="1:25" x14ac:dyDescent="0.25">
      <c r="A244">
        <v>243</v>
      </c>
      <c r="B244">
        <v>44646576</v>
      </c>
      <c r="C244" t="s">
        <v>3228</v>
      </c>
      <c r="D244" t="s">
        <v>620</v>
      </c>
      <c r="E244" t="s">
        <v>621</v>
      </c>
      <c r="F244" t="s">
        <v>622</v>
      </c>
      <c r="G244" t="s">
        <v>2496</v>
      </c>
      <c r="H244" t="s">
        <v>3229</v>
      </c>
      <c r="I244" t="s">
        <v>2901</v>
      </c>
      <c r="J244" t="s">
        <v>2617</v>
      </c>
      <c r="K244" t="s">
        <v>112</v>
      </c>
      <c r="L244">
        <v>272</v>
      </c>
      <c r="M244">
        <v>0.3347222222222222</v>
      </c>
      <c r="N244">
        <v>8.0333333333333332</v>
      </c>
      <c r="O244" t="s">
        <v>4005</v>
      </c>
      <c r="P244" t="s">
        <v>2486</v>
      </c>
      <c r="Q244">
        <v>2023</v>
      </c>
      <c r="R244">
        <v>2014</v>
      </c>
      <c r="S244" s="1">
        <v>45334</v>
      </c>
      <c r="T244" s="1">
        <v>45328</v>
      </c>
      <c r="U244" t="s">
        <v>4132</v>
      </c>
      <c r="V244" t="s">
        <v>4114</v>
      </c>
      <c r="W244" t="s">
        <v>4121</v>
      </c>
      <c r="X244" t="s">
        <v>2603</v>
      </c>
      <c r="Y244" t="s">
        <v>4116</v>
      </c>
    </row>
    <row r="245" spans="1:25" x14ac:dyDescent="0.25">
      <c r="A245">
        <v>244</v>
      </c>
      <c r="B245">
        <v>199133310</v>
      </c>
      <c r="C245" t="s">
        <v>623</v>
      </c>
      <c r="D245" t="s">
        <v>17</v>
      </c>
      <c r="E245" t="s">
        <v>624</v>
      </c>
      <c r="F245" t="s">
        <v>625</v>
      </c>
      <c r="H245" t="s">
        <v>3230</v>
      </c>
      <c r="I245" t="s">
        <v>2933</v>
      </c>
      <c r="J245" t="s">
        <v>1668</v>
      </c>
      <c r="K245" t="s">
        <v>2488</v>
      </c>
      <c r="L245">
        <v>648</v>
      </c>
      <c r="P245" t="s">
        <v>2494</v>
      </c>
      <c r="Q245">
        <v>2023</v>
      </c>
      <c r="R245">
        <v>2021</v>
      </c>
      <c r="S245" s="1">
        <v>45333</v>
      </c>
      <c r="T245" s="1">
        <v>45322</v>
      </c>
      <c r="U245" t="s">
        <v>4138</v>
      </c>
      <c r="V245" t="s">
        <v>4114</v>
      </c>
      <c r="W245" t="s">
        <v>4121</v>
      </c>
      <c r="X245" t="s">
        <v>2603</v>
      </c>
      <c r="Y245" t="s">
        <v>4116</v>
      </c>
    </row>
    <row r="246" spans="1:25" x14ac:dyDescent="0.25">
      <c r="A246">
        <v>245</v>
      </c>
      <c r="B246">
        <v>62079699</v>
      </c>
      <c r="C246" t="s">
        <v>626</v>
      </c>
      <c r="D246" t="s">
        <v>17</v>
      </c>
      <c r="E246" t="s">
        <v>106</v>
      </c>
      <c r="F246" t="s">
        <v>107</v>
      </c>
      <c r="G246" t="s">
        <v>2491</v>
      </c>
      <c r="H246" t="s">
        <v>3231</v>
      </c>
      <c r="I246" t="s">
        <v>2901</v>
      </c>
      <c r="J246" t="s">
        <v>2492</v>
      </c>
      <c r="K246" t="s">
        <v>112</v>
      </c>
      <c r="L246">
        <v>376</v>
      </c>
      <c r="M246">
        <v>0.41249999999999998</v>
      </c>
      <c r="N246">
        <v>9.8999999999999986</v>
      </c>
      <c r="O246" t="s">
        <v>4006</v>
      </c>
      <c r="P246" t="s">
        <v>2486</v>
      </c>
      <c r="Q246">
        <v>2022</v>
      </c>
      <c r="R246">
        <v>2021</v>
      </c>
      <c r="S246" s="1">
        <v>45330</v>
      </c>
      <c r="T246" s="1">
        <v>45322</v>
      </c>
      <c r="U246" t="s">
        <v>4126</v>
      </c>
      <c r="V246" t="s">
        <v>4114</v>
      </c>
      <c r="W246" t="s">
        <v>4115</v>
      </c>
      <c r="X246" t="s">
        <v>2603</v>
      </c>
      <c r="Y246" t="s">
        <v>4116</v>
      </c>
    </row>
    <row r="247" spans="1:25" x14ac:dyDescent="0.25">
      <c r="A247">
        <v>246</v>
      </c>
      <c r="B247">
        <v>62706864</v>
      </c>
      <c r="C247" t="s">
        <v>627</v>
      </c>
      <c r="D247" t="s">
        <v>17</v>
      </c>
      <c r="E247" t="s">
        <v>628</v>
      </c>
      <c r="F247" t="s">
        <v>629</v>
      </c>
      <c r="G247" t="s">
        <v>2564</v>
      </c>
      <c r="H247" t="s">
        <v>3232</v>
      </c>
      <c r="I247" t="s">
        <v>2901</v>
      </c>
      <c r="J247" t="s">
        <v>2532</v>
      </c>
      <c r="K247" t="s">
        <v>112</v>
      </c>
      <c r="L247">
        <v>224</v>
      </c>
      <c r="M247">
        <v>0.30416666666666664</v>
      </c>
      <c r="N247">
        <v>7.2999999999999989</v>
      </c>
      <c r="O247" t="s">
        <v>3999</v>
      </c>
      <c r="P247" t="s">
        <v>2494</v>
      </c>
      <c r="Q247">
        <v>2023</v>
      </c>
      <c r="R247">
        <v>2022</v>
      </c>
      <c r="S247" s="1">
        <v>45325</v>
      </c>
      <c r="T247" s="1">
        <v>45320</v>
      </c>
      <c r="U247" t="s">
        <v>4139</v>
      </c>
      <c r="V247" t="s">
        <v>4131</v>
      </c>
      <c r="W247" t="s">
        <v>4123</v>
      </c>
      <c r="X247" t="s">
        <v>4124</v>
      </c>
      <c r="Y247" t="s">
        <v>4116</v>
      </c>
    </row>
    <row r="248" spans="1:25" x14ac:dyDescent="0.25">
      <c r="A248">
        <v>247</v>
      </c>
      <c r="B248">
        <v>18186644</v>
      </c>
      <c r="C248" t="s">
        <v>3233</v>
      </c>
      <c r="D248" t="s">
        <v>631</v>
      </c>
      <c r="E248" t="s">
        <v>632</v>
      </c>
      <c r="F248" t="s">
        <v>633</v>
      </c>
      <c r="G248" t="s">
        <v>2642</v>
      </c>
      <c r="H248" t="s">
        <v>3234</v>
      </c>
      <c r="I248" t="s">
        <v>2917</v>
      </c>
      <c r="J248" t="s">
        <v>2492</v>
      </c>
      <c r="K248" t="s">
        <v>112</v>
      </c>
      <c r="L248">
        <v>332</v>
      </c>
      <c r="M248">
        <v>0.68819444444444444</v>
      </c>
      <c r="N248">
        <v>16.516666666666666</v>
      </c>
      <c r="O248" t="s">
        <v>4007</v>
      </c>
      <c r="P248" t="s">
        <v>2486</v>
      </c>
      <c r="Q248">
        <v>2015</v>
      </c>
      <c r="R248">
        <v>2013</v>
      </c>
      <c r="S248" s="1">
        <v>45318</v>
      </c>
      <c r="T248" s="1">
        <v>45309</v>
      </c>
      <c r="U248" t="s">
        <v>4113</v>
      </c>
      <c r="V248" t="s">
        <v>4114</v>
      </c>
      <c r="W248" t="s">
        <v>4148</v>
      </c>
      <c r="X248" t="s">
        <v>2486</v>
      </c>
      <c r="Y248" t="s">
        <v>4125</v>
      </c>
    </row>
    <row r="249" spans="1:25" x14ac:dyDescent="0.25">
      <c r="A249">
        <v>248</v>
      </c>
      <c r="B249">
        <v>61813107</v>
      </c>
      <c r="C249" t="s">
        <v>2643</v>
      </c>
      <c r="D249" t="s">
        <v>17</v>
      </c>
      <c r="E249" t="s">
        <v>634</v>
      </c>
      <c r="F249" t="s">
        <v>635</v>
      </c>
      <c r="H249" t="s">
        <v>3235</v>
      </c>
      <c r="I249" t="s">
        <v>2901</v>
      </c>
      <c r="J249" t="s">
        <v>1962</v>
      </c>
      <c r="K249" t="s">
        <v>2488</v>
      </c>
      <c r="L249">
        <v>344</v>
      </c>
      <c r="P249" t="s">
        <v>2486</v>
      </c>
      <c r="Q249">
        <v>2023</v>
      </c>
      <c r="R249">
        <v>2023</v>
      </c>
      <c r="S249" s="1">
        <v>45310</v>
      </c>
      <c r="T249" s="1">
        <v>45272</v>
      </c>
      <c r="U249" t="s">
        <v>4113</v>
      </c>
      <c r="V249" t="s">
        <v>4114</v>
      </c>
      <c r="W249" t="s">
        <v>4115</v>
      </c>
      <c r="X249" t="s">
        <v>2603</v>
      </c>
      <c r="Y249" t="s">
        <v>4116</v>
      </c>
    </row>
    <row r="250" spans="1:25" x14ac:dyDescent="0.25">
      <c r="A250">
        <v>249</v>
      </c>
      <c r="B250">
        <v>36355792</v>
      </c>
      <c r="C250" t="s">
        <v>3236</v>
      </c>
      <c r="D250" t="s">
        <v>637</v>
      </c>
      <c r="E250" t="s">
        <v>467</v>
      </c>
      <c r="F250" t="s">
        <v>468</v>
      </c>
      <c r="H250" t="s">
        <v>3237</v>
      </c>
      <c r="I250" t="s">
        <v>2890</v>
      </c>
      <c r="J250" t="s">
        <v>2608</v>
      </c>
      <c r="K250" t="s">
        <v>57</v>
      </c>
      <c r="L250">
        <v>337</v>
      </c>
      <c r="P250" t="s">
        <v>2603</v>
      </c>
      <c r="Q250">
        <v>2017</v>
      </c>
      <c r="R250">
        <v>2017</v>
      </c>
      <c r="S250" s="1">
        <v>45304</v>
      </c>
      <c r="T250" s="1">
        <v>45274</v>
      </c>
      <c r="U250" t="s">
        <v>4113</v>
      </c>
      <c r="V250" t="s">
        <v>4114</v>
      </c>
      <c r="W250" t="s">
        <v>4121</v>
      </c>
      <c r="X250" t="s">
        <v>2603</v>
      </c>
      <c r="Y250" t="s">
        <v>4116</v>
      </c>
    </row>
    <row r="251" spans="1:25" x14ac:dyDescent="0.25">
      <c r="A251">
        <v>250</v>
      </c>
      <c r="B251">
        <v>17886604</v>
      </c>
      <c r="C251" t="s">
        <v>3238</v>
      </c>
      <c r="D251" t="s">
        <v>639</v>
      </c>
      <c r="E251" t="s">
        <v>632</v>
      </c>
      <c r="F251" t="s">
        <v>633</v>
      </c>
      <c r="G251" t="s">
        <v>2644</v>
      </c>
      <c r="H251" t="s">
        <v>3239</v>
      </c>
      <c r="I251" t="s">
        <v>2890</v>
      </c>
      <c r="J251" t="s">
        <v>2492</v>
      </c>
      <c r="K251" t="s">
        <v>112</v>
      </c>
      <c r="L251">
        <v>324</v>
      </c>
      <c r="M251">
        <v>0.53749999999999998</v>
      </c>
      <c r="N251">
        <v>12.899999999999999</v>
      </c>
      <c r="O251" t="s">
        <v>4008</v>
      </c>
      <c r="P251" t="s">
        <v>2486</v>
      </c>
      <c r="Q251">
        <v>2014</v>
      </c>
      <c r="R251">
        <v>2013</v>
      </c>
      <c r="S251" s="1">
        <v>45304</v>
      </c>
      <c r="T251" s="1">
        <v>45301</v>
      </c>
      <c r="U251" t="s">
        <v>4113</v>
      </c>
      <c r="V251" t="s">
        <v>4114</v>
      </c>
      <c r="W251" t="s">
        <v>4148</v>
      </c>
      <c r="X251" t="s">
        <v>2486</v>
      </c>
      <c r="Y251" t="s">
        <v>4125</v>
      </c>
    </row>
    <row r="252" spans="1:25" x14ac:dyDescent="0.25">
      <c r="A252">
        <v>251</v>
      </c>
      <c r="B252">
        <v>199814368</v>
      </c>
      <c r="C252" t="s">
        <v>3240</v>
      </c>
      <c r="D252" t="s">
        <v>641</v>
      </c>
      <c r="E252" t="s">
        <v>642</v>
      </c>
      <c r="F252" t="s">
        <v>643</v>
      </c>
      <c r="G252" t="s">
        <v>2645</v>
      </c>
      <c r="H252" t="s">
        <v>3241</v>
      </c>
      <c r="I252" t="s">
        <v>2901</v>
      </c>
      <c r="J252" t="s">
        <v>2617</v>
      </c>
      <c r="K252" t="s">
        <v>112</v>
      </c>
      <c r="L252">
        <v>264</v>
      </c>
      <c r="M252">
        <v>0.35833333333333334</v>
      </c>
      <c r="N252">
        <v>8.6</v>
      </c>
      <c r="O252" t="s">
        <v>4009</v>
      </c>
      <c r="P252" t="s">
        <v>2486</v>
      </c>
      <c r="Q252">
        <v>2023</v>
      </c>
      <c r="R252">
        <v>2021</v>
      </c>
      <c r="S252" s="1">
        <v>45298</v>
      </c>
      <c r="T252" s="1">
        <v>45298</v>
      </c>
      <c r="U252" t="s">
        <v>4113</v>
      </c>
      <c r="V252" t="s">
        <v>4114</v>
      </c>
      <c r="W252" t="s">
        <v>4121</v>
      </c>
      <c r="X252" t="s">
        <v>2603</v>
      </c>
      <c r="Y252" t="s">
        <v>4116</v>
      </c>
    </row>
    <row r="253" spans="1:25" x14ac:dyDescent="0.25">
      <c r="A253">
        <v>252</v>
      </c>
      <c r="B253">
        <v>55882657</v>
      </c>
      <c r="C253" t="s">
        <v>644</v>
      </c>
      <c r="D253" t="s">
        <v>17</v>
      </c>
      <c r="E253" t="s">
        <v>645</v>
      </c>
      <c r="F253" t="s">
        <v>646</v>
      </c>
      <c r="G253" t="s">
        <v>2646</v>
      </c>
      <c r="H253" t="s">
        <v>15</v>
      </c>
      <c r="I253" t="s">
        <v>2890</v>
      </c>
      <c r="J253" t="s">
        <v>2532</v>
      </c>
      <c r="K253" t="s">
        <v>112</v>
      </c>
      <c r="L253">
        <v>252</v>
      </c>
      <c r="M253">
        <v>0.34375</v>
      </c>
      <c r="N253">
        <v>8.25</v>
      </c>
      <c r="O253" t="s">
        <v>4010</v>
      </c>
      <c r="P253" t="s">
        <v>2494</v>
      </c>
      <c r="Q253">
        <v>2023</v>
      </c>
      <c r="R253">
        <v>2020</v>
      </c>
      <c r="S253" s="1">
        <v>45291</v>
      </c>
      <c r="T253" s="1">
        <v>45290</v>
      </c>
      <c r="U253" t="s">
        <v>4135</v>
      </c>
      <c r="V253" t="s">
        <v>4131</v>
      </c>
      <c r="W253" t="s">
        <v>4133</v>
      </c>
      <c r="X253" t="s">
        <v>2494</v>
      </c>
      <c r="Y253" t="s">
        <v>4125</v>
      </c>
    </row>
    <row r="254" spans="1:25" x14ac:dyDescent="0.25">
      <c r="A254">
        <v>253</v>
      </c>
      <c r="B254">
        <v>50255267</v>
      </c>
      <c r="C254" t="s">
        <v>647</v>
      </c>
      <c r="D254" t="s">
        <v>17</v>
      </c>
      <c r="E254" t="s">
        <v>648</v>
      </c>
      <c r="F254" t="s">
        <v>649</v>
      </c>
      <c r="H254" t="s">
        <v>3242</v>
      </c>
      <c r="I254" t="s">
        <v>2901</v>
      </c>
      <c r="J254" t="s">
        <v>1964</v>
      </c>
      <c r="K254" t="s">
        <v>2488</v>
      </c>
      <c r="L254">
        <v>144</v>
      </c>
      <c r="P254" t="s">
        <v>2494</v>
      </c>
      <c r="Q254">
        <v>2018</v>
      </c>
      <c r="R254">
        <v>2018</v>
      </c>
      <c r="S254" s="1">
        <v>45286</v>
      </c>
      <c r="T254" s="1">
        <v>45286</v>
      </c>
      <c r="U254" t="s">
        <v>4130</v>
      </c>
      <c r="V254" t="s">
        <v>4131</v>
      </c>
      <c r="W254" t="s">
        <v>4133</v>
      </c>
      <c r="X254" t="s">
        <v>2494</v>
      </c>
      <c r="Y254" t="s">
        <v>4116</v>
      </c>
    </row>
    <row r="255" spans="1:25" x14ac:dyDescent="0.25">
      <c r="A255">
        <v>254</v>
      </c>
      <c r="B255">
        <v>45913099</v>
      </c>
      <c r="C255" t="s">
        <v>650</v>
      </c>
      <c r="D255" t="s">
        <v>17</v>
      </c>
      <c r="E255" t="s">
        <v>651</v>
      </c>
      <c r="F255" t="s">
        <v>652</v>
      </c>
      <c r="H255" t="s">
        <v>3243</v>
      </c>
      <c r="I255" t="s">
        <v>2890</v>
      </c>
      <c r="J255" t="s">
        <v>1668</v>
      </c>
      <c r="K255" t="s">
        <v>2488</v>
      </c>
      <c r="L255">
        <v>280</v>
      </c>
      <c r="P255" t="s">
        <v>2494</v>
      </c>
      <c r="Q255">
        <v>2018</v>
      </c>
      <c r="R255">
        <v>2015</v>
      </c>
      <c r="S255" s="1">
        <v>45286</v>
      </c>
      <c r="T255" s="1">
        <v>45283</v>
      </c>
      <c r="U255" t="s">
        <v>4134</v>
      </c>
      <c r="V255" t="s">
        <v>4114</v>
      </c>
      <c r="W255" t="s">
        <v>4121</v>
      </c>
      <c r="X255" t="s">
        <v>2603</v>
      </c>
      <c r="Y255" t="s">
        <v>4125</v>
      </c>
    </row>
    <row r="256" spans="1:25" x14ac:dyDescent="0.25">
      <c r="A256">
        <v>255</v>
      </c>
      <c r="B256">
        <v>48816301</v>
      </c>
      <c r="C256" t="s">
        <v>653</v>
      </c>
      <c r="D256" t="s">
        <v>17</v>
      </c>
      <c r="E256" t="s">
        <v>654</v>
      </c>
      <c r="F256" t="s">
        <v>655</v>
      </c>
      <c r="G256" t="s">
        <v>2647</v>
      </c>
      <c r="H256" t="s">
        <v>3244</v>
      </c>
      <c r="I256" t="s">
        <v>2901</v>
      </c>
      <c r="J256" t="s">
        <v>2637</v>
      </c>
      <c r="K256" t="s">
        <v>112</v>
      </c>
      <c r="L256">
        <v>480</v>
      </c>
      <c r="M256">
        <v>0.49652777777777779</v>
      </c>
      <c r="N256">
        <v>11.916666666666668</v>
      </c>
      <c r="O256" t="s">
        <v>4002</v>
      </c>
      <c r="P256" t="s">
        <v>2486</v>
      </c>
      <c r="Q256">
        <v>2021</v>
      </c>
      <c r="R256">
        <v>2018</v>
      </c>
      <c r="S256" s="1">
        <v>45283</v>
      </c>
      <c r="T256" s="1">
        <v>45280</v>
      </c>
      <c r="U256" t="s">
        <v>4132</v>
      </c>
      <c r="V256" t="s">
        <v>4114</v>
      </c>
      <c r="W256" t="s">
        <v>4118</v>
      </c>
      <c r="X256" t="s">
        <v>4119</v>
      </c>
      <c r="Y256" t="s">
        <v>4116</v>
      </c>
    </row>
    <row r="257" spans="1:25" x14ac:dyDescent="0.25">
      <c r="A257">
        <v>256</v>
      </c>
      <c r="B257">
        <v>45913081</v>
      </c>
      <c r="C257" t="s">
        <v>656</v>
      </c>
      <c r="D257" t="s">
        <v>17</v>
      </c>
      <c r="E257" t="s">
        <v>651</v>
      </c>
      <c r="F257" t="s">
        <v>652</v>
      </c>
      <c r="H257" t="s">
        <v>3245</v>
      </c>
      <c r="I257" t="s">
        <v>2890</v>
      </c>
      <c r="J257" t="s">
        <v>1668</v>
      </c>
      <c r="K257" t="s">
        <v>2488</v>
      </c>
      <c r="L257">
        <v>272</v>
      </c>
      <c r="P257" t="s">
        <v>2494</v>
      </c>
      <c r="Q257">
        <v>2018</v>
      </c>
      <c r="R257">
        <v>2017</v>
      </c>
      <c r="S257" s="1">
        <v>45280</v>
      </c>
      <c r="T257" s="1">
        <v>45276</v>
      </c>
      <c r="U257" t="s">
        <v>4134</v>
      </c>
      <c r="V257" t="s">
        <v>4114</v>
      </c>
      <c r="W257" t="s">
        <v>4121</v>
      </c>
      <c r="X257" t="s">
        <v>2603</v>
      </c>
      <c r="Y257" t="s">
        <v>4125</v>
      </c>
    </row>
    <row r="258" spans="1:25" x14ac:dyDescent="0.25">
      <c r="A258">
        <v>257</v>
      </c>
      <c r="B258">
        <v>58140664</v>
      </c>
      <c r="C258" t="s">
        <v>657</v>
      </c>
      <c r="D258" t="s">
        <v>17</v>
      </c>
      <c r="E258" t="s">
        <v>658</v>
      </c>
      <c r="F258" t="s">
        <v>659</v>
      </c>
      <c r="H258" t="s">
        <v>3246</v>
      </c>
      <c r="I258" t="s">
        <v>2890</v>
      </c>
      <c r="J258" t="s">
        <v>1723</v>
      </c>
      <c r="K258" t="s">
        <v>2488</v>
      </c>
      <c r="L258">
        <v>256</v>
      </c>
      <c r="P258" t="s">
        <v>2494</v>
      </c>
      <c r="Q258">
        <v>2021</v>
      </c>
      <c r="R258">
        <v>2020</v>
      </c>
      <c r="S258" s="1">
        <v>45274</v>
      </c>
      <c r="T258" s="1">
        <v>45269</v>
      </c>
      <c r="U258" t="s">
        <v>4117</v>
      </c>
      <c r="V258" t="s">
        <v>4114</v>
      </c>
      <c r="W258" t="s">
        <v>4115</v>
      </c>
      <c r="X258" t="s">
        <v>2603</v>
      </c>
      <c r="Y258" t="s">
        <v>4125</v>
      </c>
    </row>
    <row r="259" spans="1:25" x14ac:dyDescent="0.25">
      <c r="A259">
        <v>258</v>
      </c>
      <c r="B259">
        <v>45989722</v>
      </c>
      <c r="C259" t="s">
        <v>3247</v>
      </c>
      <c r="D259" t="s">
        <v>661</v>
      </c>
      <c r="E259" t="s">
        <v>662</v>
      </c>
      <c r="F259" t="s">
        <v>663</v>
      </c>
      <c r="H259" t="s">
        <v>3248</v>
      </c>
      <c r="I259" t="s">
        <v>2933</v>
      </c>
      <c r="J259" t="s">
        <v>1811</v>
      </c>
      <c r="K259" t="s">
        <v>57</v>
      </c>
      <c r="L259">
        <v>501</v>
      </c>
      <c r="P259" t="s">
        <v>2486</v>
      </c>
      <c r="Q259">
        <v>2022</v>
      </c>
      <c r="R259">
        <v>2021</v>
      </c>
      <c r="S259" s="1">
        <v>45271</v>
      </c>
      <c r="T259" s="1">
        <v>45267</v>
      </c>
      <c r="U259" t="s">
        <v>4120</v>
      </c>
      <c r="V259" t="s">
        <v>4114</v>
      </c>
      <c r="W259" t="s">
        <v>4148</v>
      </c>
      <c r="X259" t="s">
        <v>2486</v>
      </c>
      <c r="Y259" t="s">
        <v>4125</v>
      </c>
    </row>
    <row r="260" spans="1:25" x14ac:dyDescent="0.25">
      <c r="A260">
        <v>259</v>
      </c>
      <c r="B260">
        <v>35170506</v>
      </c>
      <c r="C260" t="s">
        <v>3249</v>
      </c>
      <c r="D260" t="s">
        <v>665</v>
      </c>
      <c r="E260" t="s">
        <v>662</v>
      </c>
      <c r="F260" t="s">
        <v>663</v>
      </c>
      <c r="H260" t="s">
        <v>3250</v>
      </c>
      <c r="I260" t="s">
        <v>2933</v>
      </c>
      <c r="J260" t="s">
        <v>1811</v>
      </c>
      <c r="K260" t="s">
        <v>57</v>
      </c>
      <c r="L260">
        <v>440</v>
      </c>
      <c r="P260" t="s">
        <v>2486</v>
      </c>
      <c r="Q260">
        <v>2017</v>
      </c>
      <c r="R260">
        <v>2017</v>
      </c>
      <c r="S260" s="1">
        <v>45264</v>
      </c>
      <c r="T260" s="1">
        <v>45260</v>
      </c>
      <c r="U260" t="s">
        <v>4120</v>
      </c>
      <c r="V260" t="s">
        <v>4114</v>
      </c>
      <c r="W260" t="s">
        <v>4148</v>
      </c>
      <c r="X260" t="s">
        <v>2486</v>
      </c>
      <c r="Y260" t="s">
        <v>4125</v>
      </c>
    </row>
    <row r="261" spans="1:25" x14ac:dyDescent="0.25">
      <c r="A261">
        <v>260</v>
      </c>
      <c r="B261">
        <v>54450063</v>
      </c>
      <c r="C261" t="s">
        <v>3251</v>
      </c>
      <c r="D261" t="s">
        <v>667</v>
      </c>
      <c r="E261" t="s">
        <v>668</v>
      </c>
      <c r="F261" t="s">
        <v>669</v>
      </c>
      <c r="G261" t="s">
        <v>2648</v>
      </c>
      <c r="H261" t="s">
        <v>3252</v>
      </c>
      <c r="I261" t="s">
        <v>2890</v>
      </c>
      <c r="J261" t="s">
        <v>2545</v>
      </c>
      <c r="K261" t="s">
        <v>112</v>
      </c>
      <c r="L261">
        <v>504</v>
      </c>
      <c r="M261">
        <v>0.76249999999999996</v>
      </c>
      <c r="N261">
        <v>18.299999999999997</v>
      </c>
      <c r="O261" t="s">
        <v>4011</v>
      </c>
      <c r="P261" t="s">
        <v>2486</v>
      </c>
      <c r="Q261">
        <v>2021</v>
      </c>
      <c r="R261">
        <v>2020</v>
      </c>
      <c r="S261" s="1">
        <v>45264</v>
      </c>
      <c r="T261" s="1">
        <v>45257</v>
      </c>
      <c r="U261" t="s">
        <v>4136</v>
      </c>
      <c r="V261" t="s">
        <v>4114</v>
      </c>
      <c r="W261" t="s">
        <v>4121</v>
      </c>
      <c r="X261" t="s">
        <v>2603</v>
      </c>
      <c r="Y261" t="s">
        <v>4125</v>
      </c>
    </row>
    <row r="262" spans="1:25" x14ac:dyDescent="0.25">
      <c r="A262">
        <v>261</v>
      </c>
      <c r="B262">
        <v>29737249</v>
      </c>
      <c r="C262" t="s">
        <v>3253</v>
      </c>
      <c r="D262" t="s">
        <v>671</v>
      </c>
      <c r="E262" t="s">
        <v>662</v>
      </c>
      <c r="F262" t="s">
        <v>663</v>
      </c>
      <c r="H262" t="s">
        <v>3254</v>
      </c>
      <c r="I262" t="s">
        <v>2933</v>
      </c>
      <c r="J262" t="s">
        <v>1811</v>
      </c>
      <c r="K262" t="s">
        <v>57</v>
      </c>
      <c r="L262">
        <v>374</v>
      </c>
      <c r="P262" t="s">
        <v>2486</v>
      </c>
      <c r="Q262">
        <v>2016</v>
      </c>
      <c r="R262">
        <v>2016</v>
      </c>
      <c r="S262" s="1">
        <v>45257</v>
      </c>
      <c r="T262" s="1">
        <v>45186</v>
      </c>
      <c r="U262" t="s">
        <v>4120</v>
      </c>
      <c r="V262" t="s">
        <v>4114</v>
      </c>
      <c r="W262" t="s">
        <v>4148</v>
      </c>
      <c r="X262" t="s">
        <v>2486</v>
      </c>
      <c r="Y262" t="s">
        <v>4125</v>
      </c>
    </row>
    <row r="263" spans="1:25" x14ac:dyDescent="0.25">
      <c r="A263">
        <v>262</v>
      </c>
      <c r="B263">
        <v>38369252</v>
      </c>
      <c r="C263" t="s">
        <v>3255</v>
      </c>
      <c r="D263" t="s">
        <v>673</v>
      </c>
      <c r="E263" t="s">
        <v>536</v>
      </c>
      <c r="F263" t="s">
        <v>537</v>
      </c>
      <c r="G263" t="s">
        <v>2496</v>
      </c>
      <c r="H263" t="s">
        <v>3256</v>
      </c>
      <c r="I263" t="s">
        <v>2901</v>
      </c>
      <c r="J263" t="s">
        <v>2499</v>
      </c>
      <c r="K263" t="s">
        <v>112</v>
      </c>
      <c r="L263">
        <v>320</v>
      </c>
      <c r="M263">
        <v>0.45902777777777776</v>
      </c>
      <c r="N263">
        <v>11.016666666666666</v>
      </c>
      <c r="O263" t="s">
        <v>4012</v>
      </c>
      <c r="P263" t="s">
        <v>2486</v>
      </c>
      <c r="Q263">
        <v>2022</v>
      </c>
      <c r="R263">
        <v>2016</v>
      </c>
      <c r="S263" s="1">
        <v>45255</v>
      </c>
      <c r="T263" s="1">
        <v>45234</v>
      </c>
      <c r="U263" t="s">
        <v>4149</v>
      </c>
      <c r="V263" t="s">
        <v>4114</v>
      </c>
      <c r="W263" t="s">
        <v>4121</v>
      </c>
      <c r="X263" t="s">
        <v>2603</v>
      </c>
      <c r="Y263" t="s">
        <v>4125</v>
      </c>
    </row>
    <row r="264" spans="1:25" x14ac:dyDescent="0.25">
      <c r="A264">
        <v>263</v>
      </c>
      <c r="B264">
        <v>58302426</v>
      </c>
      <c r="C264" t="s">
        <v>674</v>
      </c>
      <c r="D264" t="s">
        <v>17</v>
      </c>
      <c r="E264" t="s">
        <v>675</v>
      </c>
      <c r="F264" t="s">
        <v>676</v>
      </c>
      <c r="H264" t="s">
        <v>3257</v>
      </c>
      <c r="I264" t="s">
        <v>3006</v>
      </c>
      <c r="J264" t="s">
        <v>1668</v>
      </c>
      <c r="K264" t="s">
        <v>2488</v>
      </c>
      <c r="L264">
        <v>256</v>
      </c>
      <c r="P264" t="s">
        <v>2494</v>
      </c>
      <c r="Q264">
        <v>2021</v>
      </c>
      <c r="R264">
        <v>2017</v>
      </c>
      <c r="S264" s="1">
        <v>45254</v>
      </c>
      <c r="T264" s="1">
        <v>45250</v>
      </c>
      <c r="U264" t="s">
        <v>4169</v>
      </c>
      <c r="V264" t="s">
        <v>4131</v>
      </c>
      <c r="W264" t="s">
        <v>4118</v>
      </c>
      <c r="X264" t="s">
        <v>4119</v>
      </c>
      <c r="Y264" t="s">
        <v>4125</v>
      </c>
    </row>
    <row r="265" spans="1:25" x14ac:dyDescent="0.25">
      <c r="A265">
        <v>264</v>
      </c>
      <c r="B265">
        <v>134744448</v>
      </c>
      <c r="C265" t="s">
        <v>677</v>
      </c>
      <c r="D265" t="s">
        <v>17</v>
      </c>
      <c r="E265" t="s">
        <v>678</v>
      </c>
      <c r="F265" t="s">
        <v>679</v>
      </c>
      <c r="H265" t="s">
        <v>3258</v>
      </c>
      <c r="I265" t="s">
        <v>2933</v>
      </c>
      <c r="J265" t="s">
        <v>1974</v>
      </c>
      <c r="K265" t="s">
        <v>2488</v>
      </c>
      <c r="L265">
        <v>366</v>
      </c>
      <c r="P265" t="s">
        <v>2494</v>
      </c>
      <c r="Q265">
        <v>2023</v>
      </c>
      <c r="R265">
        <v>2022</v>
      </c>
      <c r="S265" s="1">
        <v>45249</v>
      </c>
      <c r="T265" s="1">
        <v>45248</v>
      </c>
      <c r="U265" t="s">
        <v>4155</v>
      </c>
      <c r="V265" t="s">
        <v>4131</v>
      </c>
      <c r="W265" t="s">
        <v>4127</v>
      </c>
      <c r="X265" t="s">
        <v>2603</v>
      </c>
      <c r="Y265" t="s">
        <v>4125</v>
      </c>
    </row>
    <row r="266" spans="1:25" x14ac:dyDescent="0.25">
      <c r="A266">
        <v>265</v>
      </c>
      <c r="B266">
        <v>63038379</v>
      </c>
      <c r="C266" t="s">
        <v>680</v>
      </c>
      <c r="D266" t="s">
        <v>2649</v>
      </c>
      <c r="E266" t="s">
        <v>681</v>
      </c>
      <c r="F266" t="s">
        <v>682</v>
      </c>
      <c r="G266" t="s">
        <v>2650</v>
      </c>
      <c r="H266" t="s">
        <v>3259</v>
      </c>
      <c r="I266" t="s">
        <v>2890</v>
      </c>
      <c r="J266" t="s">
        <v>2532</v>
      </c>
      <c r="K266" t="s">
        <v>112</v>
      </c>
      <c r="L266">
        <v>328</v>
      </c>
      <c r="M266">
        <v>0.42222222222222222</v>
      </c>
      <c r="N266">
        <v>10.133333333333333</v>
      </c>
      <c r="O266" t="s">
        <v>4013</v>
      </c>
      <c r="P266" t="s">
        <v>2494</v>
      </c>
      <c r="Q266">
        <v>2023</v>
      </c>
      <c r="R266">
        <v>2020</v>
      </c>
      <c r="S266" s="1">
        <v>45244</v>
      </c>
      <c r="T266" s="1">
        <v>45240</v>
      </c>
      <c r="U266" t="s">
        <v>4117</v>
      </c>
      <c r="V266" t="s">
        <v>4114</v>
      </c>
      <c r="W266" t="s">
        <v>4123</v>
      </c>
      <c r="X266" t="s">
        <v>4124</v>
      </c>
      <c r="Y266" t="s">
        <v>4116</v>
      </c>
    </row>
    <row r="267" spans="1:25" x14ac:dyDescent="0.25">
      <c r="A267">
        <v>266</v>
      </c>
      <c r="B267">
        <v>52960533</v>
      </c>
      <c r="C267" t="s">
        <v>683</v>
      </c>
      <c r="D267" t="s">
        <v>17</v>
      </c>
      <c r="E267" t="s">
        <v>684</v>
      </c>
      <c r="F267" t="s">
        <v>685</v>
      </c>
      <c r="H267" t="s">
        <v>3260</v>
      </c>
      <c r="I267" t="s">
        <v>2901</v>
      </c>
      <c r="J267" t="s">
        <v>1673</v>
      </c>
      <c r="K267" t="s">
        <v>2488</v>
      </c>
      <c r="L267">
        <v>400</v>
      </c>
      <c r="P267" t="s">
        <v>2494</v>
      </c>
      <c r="Q267">
        <v>2019</v>
      </c>
      <c r="R267">
        <v>2017</v>
      </c>
      <c r="S267" s="1">
        <v>45244</v>
      </c>
      <c r="T267" s="1">
        <v>45235</v>
      </c>
      <c r="U267" t="s">
        <v>4134</v>
      </c>
      <c r="V267" t="s">
        <v>4114</v>
      </c>
      <c r="W267" t="s">
        <v>4121</v>
      </c>
      <c r="X267" t="s">
        <v>2603</v>
      </c>
      <c r="Y267" t="s">
        <v>4125</v>
      </c>
    </row>
    <row r="268" spans="1:25" x14ac:dyDescent="0.25">
      <c r="A268">
        <v>267</v>
      </c>
      <c r="B268">
        <v>60464188</v>
      </c>
      <c r="C268" t="s">
        <v>686</v>
      </c>
      <c r="D268" t="s">
        <v>2651</v>
      </c>
      <c r="E268" t="s">
        <v>681</v>
      </c>
      <c r="F268" t="s">
        <v>682</v>
      </c>
      <c r="G268" t="s">
        <v>2650</v>
      </c>
      <c r="H268" t="s">
        <v>3261</v>
      </c>
      <c r="I268" t="s">
        <v>2901</v>
      </c>
      <c r="J268" t="s">
        <v>2532</v>
      </c>
      <c r="K268" t="s">
        <v>112</v>
      </c>
      <c r="L268">
        <v>304</v>
      </c>
      <c r="M268">
        <v>0.38124999999999998</v>
      </c>
      <c r="N268">
        <v>9.1499999999999986</v>
      </c>
      <c r="O268" t="s">
        <v>4014</v>
      </c>
      <c r="P268" t="s">
        <v>2494</v>
      </c>
      <c r="Q268">
        <v>2022</v>
      </c>
      <c r="R268">
        <v>2019</v>
      </c>
      <c r="S268" s="1">
        <v>45237</v>
      </c>
      <c r="T268" s="1">
        <v>45234</v>
      </c>
      <c r="U268" t="s">
        <v>4117</v>
      </c>
      <c r="V268" t="s">
        <v>4114</v>
      </c>
      <c r="W268" t="s">
        <v>4123</v>
      </c>
      <c r="X268" t="s">
        <v>4124</v>
      </c>
      <c r="Y268" t="s">
        <v>4116</v>
      </c>
    </row>
    <row r="269" spans="1:25" x14ac:dyDescent="0.25">
      <c r="A269">
        <v>268</v>
      </c>
      <c r="B269">
        <v>75634325</v>
      </c>
      <c r="C269" t="s">
        <v>687</v>
      </c>
      <c r="D269" t="s">
        <v>17</v>
      </c>
      <c r="E269" t="s">
        <v>18</v>
      </c>
      <c r="F269" t="s">
        <v>19</v>
      </c>
      <c r="H269" t="s">
        <v>3262</v>
      </c>
      <c r="I269" t="s">
        <v>2901</v>
      </c>
      <c r="J269" t="s">
        <v>1979</v>
      </c>
      <c r="K269" t="s">
        <v>2488</v>
      </c>
      <c r="L269">
        <v>230</v>
      </c>
      <c r="P269" t="s">
        <v>2494</v>
      </c>
      <c r="Q269">
        <v>2022</v>
      </c>
      <c r="R269">
        <v>2022</v>
      </c>
      <c r="S269" s="1">
        <v>45234</v>
      </c>
      <c r="T269" s="1">
        <v>45215</v>
      </c>
      <c r="U269" t="s">
        <v>4130</v>
      </c>
      <c r="V269" t="s">
        <v>4131</v>
      </c>
      <c r="W269" t="s">
        <v>4133</v>
      </c>
      <c r="X269" t="s">
        <v>2494</v>
      </c>
      <c r="Y269" t="s">
        <v>4116</v>
      </c>
    </row>
    <row r="270" spans="1:25" x14ac:dyDescent="0.25">
      <c r="A270">
        <v>269</v>
      </c>
      <c r="B270">
        <v>235869</v>
      </c>
      <c r="C270" t="s">
        <v>2652</v>
      </c>
      <c r="D270" t="s">
        <v>17</v>
      </c>
      <c r="E270" t="s">
        <v>688</v>
      </c>
      <c r="F270" t="s">
        <v>689</v>
      </c>
      <c r="H270" t="s">
        <v>3263</v>
      </c>
      <c r="I270" t="s">
        <v>2901</v>
      </c>
      <c r="J270" t="s">
        <v>1780</v>
      </c>
      <c r="K270" t="s">
        <v>2488</v>
      </c>
      <c r="L270">
        <v>284</v>
      </c>
      <c r="P270" t="s">
        <v>2494</v>
      </c>
      <c r="Q270">
        <v>2022</v>
      </c>
      <c r="R270">
        <v>1995</v>
      </c>
      <c r="S270" s="1">
        <v>45233</v>
      </c>
      <c r="T270" s="1">
        <v>45179</v>
      </c>
      <c r="U270" t="s">
        <v>4155</v>
      </c>
      <c r="V270" t="s">
        <v>4131</v>
      </c>
      <c r="W270" t="s">
        <v>4121</v>
      </c>
      <c r="X270" t="s">
        <v>2603</v>
      </c>
      <c r="Y270" t="s">
        <v>4125</v>
      </c>
    </row>
    <row r="271" spans="1:25" x14ac:dyDescent="0.25">
      <c r="A271">
        <v>270</v>
      </c>
      <c r="B271">
        <v>7878203</v>
      </c>
      <c r="C271" t="s">
        <v>690</v>
      </c>
      <c r="D271" t="s">
        <v>17</v>
      </c>
      <c r="E271" t="s">
        <v>691</v>
      </c>
      <c r="F271" t="s">
        <v>692</v>
      </c>
      <c r="H271" t="s">
        <v>3264</v>
      </c>
      <c r="I271" t="s">
        <v>2917</v>
      </c>
      <c r="J271" t="s">
        <v>1982</v>
      </c>
      <c r="K271" t="s">
        <v>57</v>
      </c>
      <c r="L271">
        <v>399</v>
      </c>
      <c r="P271" t="s">
        <v>2486</v>
      </c>
      <c r="Q271">
        <v>2003</v>
      </c>
      <c r="R271">
        <v>2003</v>
      </c>
      <c r="S271" s="1">
        <v>45232</v>
      </c>
      <c r="T271" s="1">
        <v>45214</v>
      </c>
      <c r="U271" t="s">
        <v>4113</v>
      </c>
      <c r="V271" t="s">
        <v>4114</v>
      </c>
      <c r="W271" t="s">
        <v>4148</v>
      </c>
      <c r="X271" t="s">
        <v>2486</v>
      </c>
      <c r="Y271" t="s">
        <v>4116</v>
      </c>
    </row>
    <row r="272" spans="1:25" x14ac:dyDescent="0.25">
      <c r="A272">
        <v>271</v>
      </c>
      <c r="B272">
        <v>60849800</v>
      </c>
      <c r="C272" t="s">
        <v>3265</v>
      </c>
      <c r="D272" t="s">
        <v>694</v>
      </c>
      <c r="E272" t="s">
        <v>197</v>
      </c>
      <c r="F272" t="s">
        <v>198</v>
      </c>
      <c r="G272" t="s">
        <v>2653</v>
      </c>
      <c r="H272" t="s">
        <v>3266</v>
      </c>
      <c r="I272" t="s">
        <v>2890</v>
      </c>
      <c r="J272" t="s">
        <v>2532</v>
      </c>
      <c r="K272" t="s">
        <v>112</v>
      </c>
      <c r="L272">
        <v>392</v>
      </c>
      <c r="M272">
        <v>0.55000000000000004</v>
      </c>
      <c r="N272">
        <v>13.200000000000001</v>
      </c>
      <c r="O272" t="s">
        <v>4015</v>
      </c>
      <c r="P272" t="s">
        <v>2494</v>
      </c>
      <c r="Q272">
        <v>2022</v>
      </c>
      <c r="R272">
        <v>2021</v>
      </c>
      <c r="S272" s="1">
        <v>45231</v>
      </c>
      <c r="T272" s="1">
        <v>45226</v>
      </c>
      <c r="U272" t="s">
        <v>4117</v>
      </c>
      <c r="V272" t="s">
        <v>4114</v>
      </c>
      <c r="W272" t="s">
        <v>4115</v>
      </c>
      <c r="X272" t="s">
        <v>2603</v>
      </c>
      <c r="Y272" t="s">
        <v>4116</v>
      </c>
    </row>
    <row r="273" spans="1:25" x14ac:dyDescent="0.25">
      <c r="A273">
        <v>272</v>
      </c>
      <c r="B273">
        <v>63204852</v>
      </c>
      <c r="C273" t="s">
        <v>695</v>
      </c>
      <c r="D273" t="s">
        <v>17</v>
      </c>
      <c r="E273" t="s">
        <v>568</v>
      </c>
      <c r="F273" t="s">
        <v>569</v>
      </c>
      <c r="H273" t="s">
        <v>3267</v>
      </c>
      <c r="I273" t="s">
        <v>2933</v>
      </c>
      <c r="J273" t="s">
        <v>1930</v>
      </c>
      <c r="K273" t="s">
        <v>2488</v>
      </c>
      <c r="L273">
        <v>224</v>
      </c>
      <c r="P273" t="s">
        <v>2494</v>
      </c>
      <c r="Q273">
        <v>2022</v>
      </c>
      <c r="R273">
        <v>2022</v>
      </c>
      <c r="S273" s="1">
        <v>45231</v>
      </c>
      <c r="T273" s="1">
        <v>45228</v>
      </c>
      <c r="U273" t="s">
        <v>4113</v>
      </c>
      <c r="V273" t="s">
        <v>4114</v>
      </c>
      <c r="W273" t="s">
        <v>4133</v>
      </c>
      <c r="X273" t="s">
        <v>2494</v>
      </c>
      <c r="Y273" t="s">
        <v>4116</v>
      </c>
    </row>
    <row r="274" spans="1:25" x14ac:dyDescent="0.25">
      <c r="A274">
        <v>273</v>
      </c>
      <c r="B274">
        <v>60671570</v>
      </c>
      <c r="C274" t="s">
        <v>696</v>
      </c>
      <c r="D274" t="s">
        <v>17</v>
      </c>
      <c r="E274" t="s">
        <v>573</v>
      </c>
      <c r="F274" t="s">
        <v>574</v>
      </c>
      <c r="H274" t="s">
        <v>3268</v>
      </c>
      <c r="I274" t="s">
        <v>2933</v>
      </c>
      <c r="J274" t="s">
        <v>1829</v>
      </c>
      <c r="K274" t="s">
        <v>2488</v>
      </c>
      <c r="L274">
        <v>424</v>
      </c>
      <c r="P274" t="s">
        <v>2494</v>
      </c>
      <c r="Q274">
        <v>2022</v>
      </c>
      <c r="R274">
        <v>2020</v>
      </c>
      <c r="S274" s="1">
        <v>45226</v>
      </c>
      <c r="T274" s="1">
        <v>45213</v>
      </c>
      <c r="U274" t="s">
        <v>4126</v>
      </c>
      <c r="V274" t="s">
        <v>4114</v>
      </c>
      <c r="W274" t="s">
        <v>4159</v>
      </c>
      <c r="X274" t="s">
        <v>4160</v>
      </c>
      <c r="Y274" t="s">
        <v>4125</v>
      </c>
    </row>
    <row r="275" spans="1:25" x14ac:dyDescent="0.25">
      <c r="A275">
        <v>274</v>
      </c>
      <c r="B275">
        <v>58187216</v>
      </c>
      <c r="C275" t="s">
        <v>3269</v>
      </c>
      <c r="D275" t="s">
        <v>698</v>
      </c>
      <c r="E275" t="s">
        <v>197</v>
      </c>
      <c r="F275" t="s">
        <v>198</v>
      </c>
      <c r="G275" t="s">
        <v>2654</v>
      </c>
      <c r="H275" t="s">
        <v>3270</v>
      </c>
      <c r="I275" t="s">
        <v>2890</v>
      </c>
      <c r="J275" t="s">
        <v>2532</v>
      </c>
      <c r="K275" t="s">
        <v>112</v>
      </c>
      <c r="L275">
        <v>392</v>
      </c>
      <c r="M275">
        <v>0.47986111111111113</v>
      </c>
      <c r="N275">
        <v>11.516666666666667</v>
      </c>
      <c r="O275" t="s">
        <v>4016</v>
      </c>
      <c r="P275" t="s">
        <v>2494</v>
      </c>
      <c r="Q275">
        <v>2021</v>
      </c>
      <c r="R275">
        <v>2020</v>
      </c>
      <c r="S275" s="1">
        <v>45220</v>
      </c>
      <c r="T275" s="1">
        <v>45214</v>
      </c>
      <c r="U275" t="s">
        <v>4117</v>
      </c>
      <c r="V275" t="s">
        <v>4114</v>
      </c>
      <c r="W275" t="s">
        <v>4115</v>
      </c>
      <c r="X275" t="s">
        <v>2603</v>
      </c>
      <c r="Y275" t="s">
        <v>4116</v>
      </c>
    </row>
    <row r="276" spans="1:25" x14ac:dyDescent="0.25">
      <c r="A276">
        <v>275</v>
      </c>
      <c r="B276">
        <v>48611215</v>
      </c>
      <c r="C276" t="s">
        <v>699</v>
      </c>
      <c r="D276" t="s">
        <v>17</v>
      </c>
      <c r="E276" t="s">
        <v>700</v>
      </c>
      <c r="F276" t="s">
        <v>701</v>
      </c>
      <c r="H276" t="s">
        <v>3271</v>
      </c>
      <c r="I276" t="s">
        <v>2890</v>
      </c>
      <c r="J276" t="s">
        <v>1730</v>
      </c>
      <c r="K276" t="s">
        <v>57</v>
      </c>
      <c r="L276">
        <v>280</v>
      </c>
      <c r="P276" t="s">
        <v>2486</v>
      </c>
      <c r="Q276">
        <v>2019</v>
      </c>
      <c r="R276">
        <v>2014</v>
      </c>
      <c r="S276" s="1">
        <v>45213</v>
      </c>
      <c r="T276" s="1">
        <v>45209</v>
      </c>
      <c r="U276" t="s">
        <v>4140</v>
      </c>
      <c r="V276" t="s">
        <v>4131</v>
      </c>
      <c r="W276" t="s">
        <v>4118</v>
      </c>
      <c r="X276" t="s">
        <v>4119</v>
      </c>
      <c r="Y276" t="s">
        <v>4116</v>
      </c>
    </row>
    <row r="277" spans="1:25" x14ac:dyDescent="0.25">
      <c r="A277">
        <v>276</v>
      </c>
      <c r="B277">
        <v>63375691</v>
      </c>
      <c r="C277" t="s">
        <v>3272</v>
      </c>
      <c r="D277" t="s">
        <v>703</v>
      </c>
      <c r="E277" t="s">
        <v>359</v>
      </c>
      <c r="F277" t="s">
        <v>360</v>
      </c>
      <c r="G277" t="s">
        <v>2655</v>
      </c>
      <c r="H277" t="s">
        <v>3273</v>
      </c>
      <c r="I277" t="s">
        <v>2901</v>
      </c>
      <c r="J277" t="s">
        <v>2532</v>
      </c>
      <c r="K277" t="s">
        <v>112</v>
      </c>
      <c r="L277">
        <v>520</v>
      </c>
      <c r="M277">
        <v>0.73333333333333328</v>
      </c>
      <c r="N277">
        <v>17.599999999999998</v>
      </c>
      <c r="O277" t="s">
        <v>4017</v>
      </c>
      <c r="P277" t="s">
        <v>2494</v>
      </c>
      <c r="Q277">
        <v>2023</v>
      </c>
      <c r="R277">
        <v>2022</v>
      </c>
      <c r="S277" s="1">
        <v>45213</v>
      </c>
      <c r="T277" s="1">
        <v>45206</v>
      </c>
      <c r="U277" t="s">
        <v>4117</v>
      </c>
      <c r="V277" t="s">
        <v>4114</v>
      </c>
      <c r="W277" t="s">
        <v>4142</v>
      </c>
      <c r="X277" t="s">
        <v>4143</v>
      </c>
      <c r="Y277" t="s">
        <v>4116</v>
      </c>
    </row>
    <row r="278" spans="1:25" x14ac:dyDescent="0.25">
      <c r="A278">
        <v>277</v>
      </c>
      <c r="B278">
        <v>56486546</v>
      </c>
      <c r="C278" t="s">
        <v>704</v>
      </c>
      <c r="D278" t="s">
        <v>17</v>
      </c>
      <c r="E278" t="s">
        <v>705</v>
      </c>
      <c r="F278" t="s">
        <v>706</v>
      </c>
      <c r="H278" t="s">
        <v>3274</v>
      </c>
      <c r="I278" t="s">
        <v>2890</v>
      </c>
      <c r="J278" t="s">
        <v>1990</v>
      </c>
      <c r="K278" t="s">
        <v>2488</v>
      </c>
      <c r="L278">
        <v>424</v>
      </c>
      <c r="P278" t="s">
        <v>2494</v>
      </c>
      <c r="Q278">
        <v>2020</v>
      </c>
      <c r="R278">
        <v>2018</v>
      </c>
      <c r="S278" s="1">
        <v>45210</v>
      </c>
      <c r="T278" s="1">
        <v>45197</v>
      </c>
      <c r="U278" t="s">
        <v>4117</v>
      </c>
      <c r="V278" t="s">
        <v>4114</v>
      </c>
      <c r="W278" t="s">
        <v>4115</v>
      </c>
      <c r="X278" t="s">
        <v>2603</v>
      </c>
      <c r="Y278" t="s">
        <v>4116</v>
      </c>
    </row>
    <row r="279" spans="1:25" x14ac:dyDescent="0.25">
      <c r="A279">
        <v>278</v>
      </c>
      <c r="B279">
        <v>78983</v>
      </c>
      <c r="C279" t="s">
        <v>3275</v>
      </c>
      <c r="D279" t="s">
        <v>708</v>
      </c>
      <c r="E279" t="s">
        <v>90</v>
      </c>
      <c r="F279" t="s">
        <v>91</v>
      </c>
      <c r="G279" t="s">
        <v>2656</v>
      </c>
      <c r="H279" t="s">
        <v>3276</v>
      </c>
      <c r="I279" t="s">
        <v>2933</v>
      </c>
      <c r="J279" t="s">
        <v>2657</v>
      </c>
      <c r="K279" t="s">
        <v>112</v>
      </c>
      <c r="L279">
        <v>592</v>
      </c>
      <c r="M279">
        <v>0.8618055555555556</v>
      </c>
      <c r="N279">
        <v>20.683333333333334</v>
      </c>
      <c r="O279" t="s">
        <v>4018</v>
      </c>
      <c r="P279" t="s">
        <v>2486</v>
      </c>
      <c r="Q279">
        <v>2021</v>
      </c>
      <c r="R279">
        <v>1979</v>
      </c>
      <c r="S279" s="1">
        <v>45197</v>
      </c>
      <c r="T279" s="1">
        <v>45192</v>
      </c>
      <c r="U279" t="s">
        <v>4129</v>
      </c>
      <c r="V279" t="s">
        <v>4114</v>
      </c>
      <c r="W279" t="s">
        <v>4115</v>
      </c>
      <c r="X279" t="s">
        <v>2603</v>
      </c>
      <c r="Y279" t="s">
        <v>4116</v>
      </c>
    </row>
    <row r="280" spans="1:25" x14ac:dyDescent="0.25">
      <c r="A280">
        <v>279</v>
      </c>
      <c r="B280">
        <v>56916132</v>
      </c>
      <c r="C280" t="s">
        <v>709</v>
      </c>
      <c r="D280" t="s">
        <v>17</v>
      </c>
      <c r="E280" t="s">
        <v>710</v>
      </c>
      <c r="F280" t="s">
        <v>711</v>
      </c>
      <c r="H280" t="s">
        <v>3277</v>
      </c>
      <c r="I280" t="s">
        <v>2901</v>
      </c>
      <c r="J280" t="s">
        <v>1811</v>
      </c>
      <c r="K280" t="s">
        <v>57</v>
      </c>
      <c r="L280">
        <v>381</v>
      </c>
      <c r="P280" t="s">
        <v>2486</v>
      </c>
      <c r="Q280">
        <v>2021</v>
      </c>
      <c r="R280">
        <v>2019</v>
      </c>
      <c r="S280" s="1">
        <v>45185</v>
      </c>
      <c r="T280" s="1">
        <v>45179</v>
      </c>
      <c r="U280" t="s">
        <v>4113</v>
      </c>
      <c r="V280" t="s">
        <v>4114</v>
      </c>
      <c r="W280" t="s">
        <v>4121</v>
      </c>
      <c r="X280" t="s">
        <v>2603</v>
      </c>
      <c r="Y280" t="s">
        <v>4116</v>
      </c>
    </row>
    <row r="281" spans="1:25" x14ac:dyDescent="0.25">
      <c r="A281">
        <v>280</v>
      </c>
      <c r="B281">
        <v>12311577</v>
      </c>
      <c r="C281" t="s">
        <v>712</v>
      </c>
      <c r="D281" t="s">
        <v>17</v>
      </c>
      <c r="E281" t="s">
        <v>713</v>
      </c>
      <c r="F281" t="s">
        <v>714</v>
      </c>
      <c r="G281" t="s">
        <v>2618</v>
      </c>
      <c r="H281" t="s">
        <v>3278</v>
      </c>
      <c r="I281" t="s">
        <v>3006</v>
      </c>
      <c r="J281" t="s">
        <v>2532</v>
      </c>
      <c r="K281" t="s">
        <v>112</v>
      </c>
      <c r="L281">
        <v>312</v>
      </c>
      <c r="M281">
        <v>0.75208333333333333</v>
      </c>
      <c r="N281">
        <v>18.05</v>
      </c>
      <c r="O281" t="s">
        <v>4019</v>
      </c>
      <c r="P281" t="s">
        <v>2494</v>
      </c>
      <c r="Q281">
        <v>2022</v>
      </c>
      <c r="R281">
        <v>1967</v>
      </c>
      <c r="S281" s="1">
        <v>45184</v>
      </c>
      <c r="T281" s="1">
        <v>45179</v>
      </c>
      <c r="U281" t="s">
        <v>4126</v>
      </c>
      <c r="V281" t="s">
        <v>4114</v>
      </c>
      <c r="W281" t="s">
        <v>4170</v>
      </c>
      <c r="X281" t="s">
        <v>4171</v>
      </c>
      <c r="Y281" t="s">
        <v>4116</v>
      </c>
    </row>
    <row r="282" spans="1:25" x14ac:dyDescent="0.25">
      <c r="A282">
        <v>281</v>
      </c>
      <c r="B282">
        <v>57513427</v>
      </c>
      <c r="C282" t="s">
        <v>715</v>
      </c>
      <c r="D282" t="s">
        <v>17</v>
      </c>
      <c r="E282" t="s">
        <v>716</v>
      </c>
      <c r="F282" t="s">
        <v>717</v>
      </c>
      <c r="H282" t="s">
        <v>3279</v>
      </c>
      <c r="I282" t="s">
        <v>2917</v>
      </c>
      <c r="J282" t="s">
        <v>1770</v>
      </c>
      <c r="K282" t="s">
        <v>2488</v>
      </c>
      <c r="L282">
        <v>392</v>
      </c>
      <c r="P282" t="s">
        <v>2494</v>
      </c>
      <c r="Q282">
        <v>2021</v>
      </c>
      <c r="R282">
        <v>2021</v>
      </c>
      <c r="S282" s="1">
        <v>45178</v>
      </c>
      <c r="T282" s="1">
        <v>45169</v>
      </c>
      <c r="U282" t="s">
        <v>4117</v>
      </c>
      <c r="V282" t="s">
        <v>4114</v>
      </c>
      <c r="W282" t="s">
        <v>4133</v>
      </c>
      <c r="X282" t="s">
        <v>2494</v>
      </c>
      <c r="Y282" t="s">
        <v>4116</v>
      </c>
    </row>
    <row r="283" spans="1:25" x14ac:dyDescent="0.25">
      <c r="A283">
        <v>282</v>
      </c>
      <c r="B283">
        <v>123540575</v>
      </c>
      <c r="C283" t="s">
        <v>718</v>
      </c>
      <c r="D283" t="s">
        <v>17</v>
      </c>
      <c r="E283" t="s">
        <v>332</v>
      </c>
      <c r="F283" t="s">
        <v>333</v>
      </c>
      <c r="G283" t="s">
        <v>2655</v>
      </c>
      <c r="H283" t="s">
        <v>3280</v>
      </c>
      <c r="I283" t="s">
        <v>2890</v>
      </c>
      <c r="J283" t="s">
        <v>2532</v>
      </c>
      <c r="K283" t="s">
        <v>112</v>
      </c>
      <c r="L283">
        <v>296</v>
      </c>
      <c r="M283">
        <v>0.37638888888888888</v>
      </c>
      <c r="N283">
        <v>9.0333333333333332</v>
      </c>
      <c r="O283" t="s">
        <v>3940</v>
      </c>
      <c r="P283" t="s">
        <v>2486</v>
      </c>
      <c r="Q283">
        <v>2023</v>
      </c>
      <c r="R283">
        <v>2022</v>
      </c>
      <c r="S283" s="1">
        <v>45177</v>
      </c>
      <c r="T283" s="1">
        <v>45176</v>
      </c>
      <c r="U283" t="s">
        <v>4129</v>
      </c>
      <c r="V283" t="s">
        <v>4114</v>
      </c>
      <c r="W283" t="s">
        <v>4123</v>
      </c>
      <c r="X283" t="s">
        <v>4124</v>
      </c>
      <c r="Y283" t="s">
        <v>4116</v>
      </c>
    </row>
    <row r="284" spans="1:25" x14ac:dyDescent="0.25">
      <c r="A284">
        <v>283</v>
      </c>
      <c r="B284">
        <v>36381037</v>
      </c>
      <c r="C284" t="s">
        <v>3281</v>
      </c>
      <c r="D284" t="s">
        <v>720</v>
      </c>
      <c r="E284" t="s">
        <v>422</v>
      </c>
      <c r="F284" t="s">
        <v>423</v>
      </c>
      <c r="H284" t="s">
        <v>3282</v>
      </c>
      <c r="I284" t="s">
        <v>2933</v>
      </c>
      <c r="J284" t="s">
        <v>1780</v>
      </c>
      <c r="K284" t="s">
        <v>57</v>
      </c>
      <c r="L284">
        <v>400</v>
      </c>
      <c r="P284" t="s">
        <v>2486</v>
      </c>
      <c r="Q284">
        <v>2020</v>
      </c>
      <c r="R284">
        <v>2012</v>
      </c>
      <c r="S284" s="1">
        <v>45172</v>
      </c>
      <c r="T284" s="1">
        <v>45163</v>
      </c>
      <c r="U284" t="s">
        <v>4136</v>
      </c>
      <c r="V284" t="s">
        <v>4114</v>
      </c>
      <c r="W284" t="s">
        <v>4121</v>
      </c>
      <c r="X284" t="s">
        <v>2603</v>
      </c>
      <c r="Y284" t="s">
        <v>4125</v>
      </c>
    </row>
    <row r="285" spans="1:25" x14ac:dyDescent="0.25">
      <c r="A285">
        <v>284</v>
      </c>
      <c r="B285">
        <v>13557241</v>
      </c>
      <c r="C285" t="s">
        <v>721</v>
      </c>
      <c r="D285" t="s">
        <v>17</v>
      </c>
      <c r="E285" t="s">
        <v>722</v>
      </c>
      <c r="F285" t="s">
        <v>723</v>
      </c>
      <c r="G285" t="s">
        <v>2515</v>
      </c>
      <c r="H285" t="s">
        <v>3283</v>
      </c>
      <c r="I285" t="s">
        <v>2901</v>
      </c>
      <c r="J285" t="s">
        <v>2658</v>
      </c>
      <c r="K285" t="s">
        <v>112</v>
      </c>
      <c r="L285">
        <v>255</v>
      </c>
      <c r="M285">
        <v>0.36319444444444443</v>
      </c>
      <c r="N285">
        <v>8.7166666666666668</v>
      </c>
      <c r="O285" t="s">
        <v>4020</v>
      </c>
      <c r="P285" t="s">
        <v>2486</v>
      </c>
      <c r="Q285">
        <v>2017</v>
      </c>
      <c r="R285">
        <v>1957</v>
      </c>
      <c r="S285" s="1">
        <v>45170</v>
      </c>
      <c r="T285" s="1">
        <v>45161</v>
      </c>
      <c r="U285" t="s">
        <v>4113</v>
      </c>
      <c r="V285" t="s">
        <v>4114</v>
      </c>
      <c r="W285" t="s">
        <v>4121</v>
      </c>
      <c r="X285" t="s">
        <v>2603</v>
      </c>
      <c r="Y285" t="s">
        <v>4116</v>
      </c>
    </row>
    <row r="286" spans="1:25" x14ac:dyDescent="0.25">
      <c r="A286">
        <v>285</v>
      </c>
      <c r="B286">
        <v>53379341</v>
      </c>
      <c r="C286" t="s">
        <v>724</v>
      </c>
      <c r="D286" t="s">
        <v>17</v>
      </c>
      <c r="E286" t="s">
        <v>163</v>
      </c>
      <c r="F286" t="s">
        <v>164</v>
      </c>
      <c r="H286" t="s">
        <v>3284</v>
      </c>
      <c r="I286" t="s">
        <v>2901</v>
      </c>
      <c r="J286" t="s">
        <v>1723</v>
      </c>
      <c r="K286" t="s">
        <v>2488</v>
      </c>
      <c r="L286">
        <v>424</v>
      </c>
      <c r="P286" t="s">
        <v>2494</v>
      </c>
      <c r="Q286">
        <v>2023</v>
      </c>
      <c r="R286">
        <v>2019</v>
      </c>
      <c r="S286" s="1">
        <v>45167</v>
      </c>
      <c r="T286" s="1">
        <v>45165</v>
      </c>
      <c r="U286" t="s">
        <v>4138</v>
      </c>
      <c r="V286" t="s">
        <v>4114</v>
      </c>
      <c r="W286" t="s">
        <v>4141</v>
      </c>
      <c r="X286" t="s">
        <v>2603</v>
      </c>
      <c r="Y286" t="s">
        <v>4125</v>
      </c>
    </row>
    <row r="287" spans="1:25" x14ac:dyDescent="0.25">
      <c r="A287">
        <v>286</v>
      </c>
      <c r="B287">
        <v>55663549</v>
      </c>
      <c r="C287" t="s">
        <v>725</v>
      </c>
      <c r="D287" t="s">
        <v>17</v>
      </c>
      <c r="E287" t="s">
        <v>726</v>
      </c>
      <c r="F287" t="s">
        <v>727</v>
      </c>
      <c r="G287" t="s">
        <v>2659</v>
      </c>
      <c r="H287" t="s">
        <v>3285</v>
      </c>
      <c r="I287" t="s">
        <v>2933</v>
      </c>
      <c r="J287" t="s">
        <v>2660</v>
      </c>
      <c r="K287" t="s">
        <v>112</v>
      </c>
      <c r="L287">
        <v>247</v>
      </c>
      <c r="M287">
        <v>0.43263888888888891</v>
      </c>
      <c r="N287">
        <v>10.383333333333333</v>
      </c>
      <c r="O287" t="s">
        <v>3960</v>
      </c>
      <c r="P287" t="s">
        <v>2486</v>
      </c>
      <c r="Q287">
        <v>2021</v>
      </c>
      <c r="R287">
        <v>2020</v>
      </c>
      <c r="S287" s="1">
        <v>45164</v>
      </c>
      <c r="T287" s="1">
        <v>45162</v>
      </c>
      <c r="U287" t="s">
        <v>4172</v>
      </c>
      <c r="V287" t="s">
        <v>4131</v>
      </c>
      <c r="W287" t="s">
        <v>4148</v>
      </c>
      <c r="X287" t="s">
        <v>2486</v>
      </c>
      <c r="Y287" t="s">
        <v>4116</v>
      </c>
    </row>
    <row r="288" spans="1:25" x14ac:dyDescent="0.25">
      <c r="A288">
        <v>287</v>
      </c>
      <c r="B288">
        <v>56528347</v>
      </c>
      <c r="C288" t="s">
        <v>3286</v>
      </c>
      <c r="D288" t="s">
        <v>729</v>
      </c>
      <c r="E288" t="s">
        <v>730</v>
      </c>
      <c r="F288" t="s">
        <v>731</v>
      </c>
      <c r="H288" t="s">
        <v>3287</v>
      </c>
      <c r="I288" t="s">
        <v>2933</v>
      </c>
      <c r="J288" t="s">
        <v>1668</v>
      </c>
      <c r="K288" t="s">
        <v>2488</v>
      </c>
      <c r="L288">
        <v>336</v>
      </c>
      <c r="P288" t="s">
        <v>2494</v>
      </c>
      <c r="Q288">
        <v>2021</v>
      </c>
      <c r="R288">
        <v>2010</v>
      </c>
      <c r="S288" s="1">
        <v>45163</v>
      </c>
      <c r="T288" s="1">
        <v>45158</v>
      </c>
      <c r="U288" t="s">
        <v>4136</v>
      </c>
      <c r="V288" t="s">
        <v>4114</v>
      </c>
      <c r="W288" t="s">
        <v>4121</v>
      </c>
      <c r="X288" t="s">
        <v>2603</v>
      </c>
      <c r="Y288" t="s">
        <v>4125</v>
      </c>
    </row>
    <row r="289" spans="1:25" x14ac:dyDescent="0.25">
      <c r="A289">
        <v>288</v>
      </c>
      <c r="B289">
        <v>48711897</v>
      </c>
      <c r="C289" t="s">
        <v>732</v>
      </c>
      <c r="D289" t="s">
        <v>17</v>
      </c>
      <c r="E289" t="s">
        <v>733</v>
      </c>
      <c r="F289" t="s">
        <v>734</v>
      </c>
      <c r="H289" t="s">
        <v>3288</v>
      </c>
      <c r="I289" t="s">
        <v>2917</v>
      </c>
      <c r="J289" t="s">
        <v>1759</v>
      </c>
      <c r="K289" t="s">
        <v>2488</v>
      </c>
      <c r="L289">
        <v>64</v>
      </c>
      <c r="P289" t="s">
        <v>2494</v>
      </c>
      <c r="Q289">
        <v>2010</v>
      </c>
      <c r="R289">
        <v>2010</v>
      </c>
      <c r="S289" s="1">
        <v>45160</v>
      </c>
      <c r="T289" s="1">
        <v>45160</v>
      </c>
      <c r="U289" t="s">
        <v>4158</v>
      </c>
      <c r="V289" t="s">
        <v>4114</v>
      </c>
      <c r="W289" t="s">
        <v>4123</v>
      </c>
      <c r="X289" t="s">
        <v>4124</v>
      </c>
      <c r="Y289" t="s">
        <v>4116</v>
      </c>
    </row>
    <row r="290" spans="1:25" x14ac:dyDescent="0.25">
      <c r="A290">
        <v>289</v>
      </c>
      <c r="B290">
        <v>12086369</v>
      </c>
      <c r="C290" t="s">
        <v>735</v>
      </c>
      <c r="D290" t="s">
        <v>17</v>
      </c>
      <c r="E290" t="s">
        <v>736</v>
      </c>
      <c r="F290" t="s">
        <v>737</v>
      </c>
      <c r="G290" t="s">
        <v>2661</v>
      </c>
      <c r="H290" t="s">
        <v>3289</v>
      </c>
      <c r="I290" t="s">
        <v>2933</v>
      </c>
      <c r="J290" t="s">
        <v>2492</v>
      </c>
      <c r="K290" t="s">
        <v>112</v>
      </c>
      <c r="L290">
        <v>320</v>
      </c>
      <c r="M290">
        <v>0.46875</v>
      </c>
      <c r="N290">
        <v>11.25</v>
      </c>
      <c r="O290" t="s">
        <v>4021</v>
      </c>
      <c r="P290" t="s">
        <v>2486</v>
      </c>
      <c r="Q290">
        <v>2023</v>
      </c>
      <c r="R290">
        <v>1980</v>
      </c>
      <c r="S290" s="1">
        <v>45160</v>
      </c>
      <c r="T290" s="1">
        <v>45151</v>
      </c>
      <c r="U290" t="s">
        <v>4126</v>
      </c>
      <c r="V290" t="s">
        <v>4114</v>
      </c>
      <c r="W290" t="s">
        <v>4121</v>
      </c>
      <c r="X290" t="s">
        <v>2603</v>
      </c>
      <c r="Y290" t="s">
        <v>4116</v>
      </c>
    </row>
    <row r="291" spans="1:25" x14ac:dyDescent="0.25">
      <c r="A291">
        <v>290</v>
      </c>
      <c r="B291">
        <v>62079451</v>
      </c>
      <c r="C291" t="s">
        <v>3290</v>
      </c>
      <c r="D291" t="s">
        <v>739</v>
      </c>
      <c r="E291" t="s">
        <v>133</v>
      </c>
      <c r="F291" t="s">
        <v>134</v>
      </c>
      <c r="H291" t="s">
        <v>3291</v>
      </c>
      <c r="I291" t="s">
        <v>2933</v>
      </c>
      <c r="J291" t="s">
        <v>1668</v>
      </c>
      <c r="K291" t="s">
        <v>2488</v>
      </c>
      <c r="L291">
        <v>376</v>
      </c>
      <c r="P291" t="s">
        <v>2494</v>
      </c>
      <c r="Q291">
        <v>2022</v>
      </c>
      <c r="R291">
        <v>2022</v>
      </c>
      <c r="S291" s="1">
        <v>45159</v>
      </c>
      <c r="T291" s="1">
        <v>45156</v>
      </c>
      <c r="U291" t="s">
        <v>4120</v>
      </c>
      <c r="V291" t="s">
        <v>4114</v>
      </c>
      <c r="W291" t="s">
        <v>4115</v>
      </c>
      <c r="X291" t="s">
        <v>2603</v>
      </c>
      <c r="Y291" t="s">
        <v>4125</v>
      </c>
    </row>
    <row r="292" spans="1:25" x14ac:dyDescent="0.25">
      <c r="A292">
        <v>291</v>
      </c>
      <c r="B292">
        <v>58410441</v>
      </c>
      <c r="C292" t="s">
        <v>740</v>
      </c>
      <c r="D292" t="s">
        <v>17</v>
      </c>
      <c r="E292" t="s">
        <v>741</v>
      </c>
      <c r="F292" t="s">
        <v>742</v>
      </c>
      <c r="H292" t="s">
        <v>3292</v>
      </c>
      <c r="I292" t="s">
        <v>2901</v>
      </c>
      <c r="J292" t="s">
        <v>1697</v>
      </c>
      <c r="K292" t="s">
        <v>2488</v>
      </c>
      <c r="L292">
        <v>352</v>
      </c>
      <c r="P292" t="s">
        <v>2494</v>
      </c>
      <c r="Q292">
        <v>2021</v>
      </c>
      <c r="R292">
        <v>2021</v>
      </c>
      <c r="S292" s="1">
        <v>45155</v>
      </c>
      <c r="T292" s="1">
        <v>45153</v>
      </c>
      <c r="U292" t="s">
        <v>4155</v>
      </c>
      <c r="V292" t="s">
        <v>4131</v>
      </c>
      <c r="W292" t="s">
        <v>4115</v>
      </c>
      <c r="X292" t="s">
        <v>2603</v>
      </c>
      <c r="Y292" t="s">
        <v>4116</v>
      </c>
    </row>
    <row r="293" spans="1:25" x14ac:dyDescent="0.25">
      <c r="A293">
        <v>292</v>
      </c>
      <c r="B293">
        <v>61353440</v>
      </c>
      <c r="C293" t="s">
        <v>743</v>
      </c>
      <c r="D293" t="s">
        <v>17</v>
      </c>
      <c r="E293" t="s">
        <v>744</v>
      </c>
      <c r="F293" t="s">
        <v>745</v>
      </c>
      <c r="H293" t="s">
        <v>3293</v>
      </c>
      <c r="I293" t="s">
        <v>2901</v>
      </c>
      <c r="J293" t="s">
        <v>1822</v>
      </c>
      <c r="K293" t="s">
        <v>2488</v>
      </c>
      <c r="L293">
        <v>248</v>
      </c>
      <c r="P293" t="s">
        <v>2494</v>
      </c>
      <c r="Q293">
        <v>2022</v>
      </c>
      <c r="R293">
        <v>2013</v>
      </c>
      <c r="S293" s="1">
        <v>45152</v>
      </c>
      <c r="T293" s="1">
        <v>45152</v>
      </c>
      <c r="U293" t="s">
        <v>4158</v>
      </c>
      <c r="V293" t="s">
        <v>4114</v>
      </c>
      <c r="W293" t="s">
        <v>4115</v>
      </c>
      <c r="X293" t="s">
        <v>2603</v>
      </c>
      <c r="Y293" t="s">
        <v>4116</v>
      </c>
    </row>
    <row r="294" spans="1:25" x14ac:dyDescent="0.25">
      <c r="A294">
        <v>293</v>
      </c>
      <c r="B294">
        <v>61231235</v>
      </c>
      <c r="C294" t="s">
        <v>746</v>
      </c>
      <c r="D294" t="s">
        <v>17</v>
      </c>
      <c r="E294" t="s">
        <v>747</v>
      </c>
      <c r="F294" t="s">
        <v>748</v>
      </c>
      <c r="H294" t="s">
        <v>3294</v>
      </c>
      <c r="I294" t="s">
        <v>2917</v>
      </c>
      <c r="J294" t="s">
        <v>1809</v>
      </c>
      <c r="K294" t="s">
        <v>2488</v>
      </c>
      <c r="L294">
        <v>128</v>
      </c>
      <c r="P294" t="s">
        <v>2494</v>
      </c>
      <c r="Q294">
        <v>2022</v>
      </c>
      <c r="R294">
        <v>2018</v>
      </c>
      <c r="S294" s="1">
        <v>45152</v>
      </c>
      <c r="T294" s="1">
        <v>45152</v>
      </c>
      <c r="U294" t="s">
        <v>4158</v>
      </c>
      <c r="V294" t="s">
        <v>4114</v>
      </c>
      <c r="W294" t="s">
        <v>4123</v>
      </c>
      <c r="X294" t="s">
        <v>4124</v>
      </c>
      <c r="Y294" t="s">
        <v>4116</v>
      </c>
    </row>
    <row r="295" spans="1:25" x14ac:dyDescent="0.25">
      <c r="A295">
        <v>294</v>
      </c>
      <c r="B295">
        <v>53356462</v>
      </c>
      <c r="C295" t="s">
        <v>749</v>
      </c>
      <c r="D295" t="s">
        <v>17</v>
      </c>
      <c r="E295" t="s">
        <v>750</v>
      </c>
      <c r="F295" t="s">
        <v>751</v>
      </c>
      <c r="H295" t="s">
        <v>3295</v>
      </c>
      <c r="I295" t="s">
        <v>2933</v>
      </c>
      <c r="J295" t="s">
        <v>1712</v>
      </c>
      <c r="K295" t="s">
        <v>2488</v>
      </c>
      <c r="L295">
        <v>304</v>
      </c>
      <c r="P295" t="s">
        <v>2486</v>
      </c>
      <c r="Q295">
        <v>2020</v>
      </c>
      <c r="R295">
        <v>2019</v>
      </c>
      <c r="S295" s="1">
        <v>45151</v>
      </c>
      <c r="T295" s="1">
        <v>45143</v>
      </c>
      <c r="U295" t="s">
        <v>4113</v>
      </c>
      <c r="V295" t="s">
        <v>4114</v>
      </c>
      <c r="W295" t="s">
        <v>4121</v>
      </c>
      <c r="X295" t="s">
        <v>2603</v>
      </c>
      <c r="Y295" t="s">
        <v>4116</v>
      </c>
    </row>
    <row r="296" spans="1:25" x14ac:dyDescent="0.25">
      <c r="A296">
        <v>295</v>
      </c>
      <c r="B296">
        <v>33952851</v>
      </c>
      <c r="C296" t="s">
        <v>752</v>
      </c>
      <c r="D296" t="s">
        <v>17</v>
      </c>
      <c r="E296" t="s">
        <v>359</v>
      </c>
      <c r="F296" t="s">
        <v>360</v>
      </c>
      <c r="G296" t="s">
        <v>2662</v>
      </c>
      <c r="H296" t="s">
        <v>3296</v>
      </c>
      <c r="I296" t="s">
        <v>2890</v>
      </c>
      <c r="J296" t="s">
        <v>2663</v>
      </c>
      <c r="K296" t="s">
        <v>112</v>
      </c>
      <c r="L296">
        <v>512</v>
      </c>
      <c r="M296">
        <v>0.72847222222222219</v>
      </c>
      <c r="N296">
        <v>17.483333333333334</v>
      </c>
      <c r="O296" t="s">
        <v>4022</v>
      </c>
      <c r="P296" t="s">
        <v>2486</v>
      </c>
      <c r="Q296">
        <v>2018</v>
      </c>
      <c r="R296">
        <v>2018</v>
      </c>
      <c r="S296" s="1">
        <v>45151</v>
      </c>
      <c r="T296" s="1">
        <v>45146</v>
      </c>
      <c r="U296" t="s">
        <v>4117</v>
      </c>
      <c r="V296" t="s">
        <v>4114</v>
      </c>
      <c r="W296" t="s">
        <v>4142</v>
      </c>
      <c r="X296" t="s">
        <v>4143</v>
      </c>
      <c r="Y296" t="s">
        <v>4116</v>
      </c>
    </row>
    <row r="297" spans="1:25" x14ac:dyDescent="0.25">
      <c r="A297">
        <v>296</v>
      </c>
      <c r="B297">
        <v>21459917</v>
      </c>
      <c r="C297" t="s">
        <v>753</v>
      </c>
      <c r="D297" t="s">
        <v>17</v>
      </c>
      <c r="E297" t="s">
        <v>754</v>
      </c>
      <c r="F297" t="s">
        <v>755</v>
      </c>
      <c r="H297" t="s">
        <v>3297</v>
      </c>
      <c r="I297" t="s">
        <v>2890</v>
      </c>
      <c r="J297" t="s">
        <v>2007</v>
      </c>
      <c r="K297" t="s">
        <v>57</v>
      </c>
      <c r="L297">
        <v>120</v>
      </c>
      <c r="P297" t="s">
        <v>2486</v>
      </c>
      <c r="Q297">
        <v>2012</v>
      </c>
      <c r="R297">
        <v>2012</v>
      </c>
      <c r="S297" s="1">
        <v>45146</v>
      </c>
      <c r="T297" s="1">
        <v>45144</v>
      </c>
      <c r="U297" t="s">
        <v>4120</v>
      </c>
      <c r="V297" t="s">
        <v>4114</v>
      </c>
      <c r="W297" t="s">
        <v>4148</v>
      </c>
      <c r="X297" t="s">
        <v>2486</v>
      </c>
      <c r="Y297" t="s">
        <v>4125</v>
      </c>
    </row>
    <row r="298" spans="1:25" x14ac:dyDescent="0.25">
      <c r="A298">
        <v>297</v>
      </c>
      <c r="B298">
        <v>1768257</v>
      </c>
      <c r="C298" t="s">
        <v>756</v>
      </c>
      <c r="D298" t="s">
        <v>17</v>
      </c>
      <c r="E298" t="s">
        <v>757</v>
      </c>
      <c r="F298" t="s">
        <v>758</v>
      </c>
      <c r="H298" t="s">
        <v>3298</v>
      </c>
      <c r="I298" t="s">
        <v>2890</v>
      </c>
      <c r="J298" t="s">
        <v>1691</v>
      </c>
      <c r="K298" t="s">
        <v>57</v>
      </c>
      <c r="L298">
        <v>635</v>
      </c>
      <c r="P298" t="s">
        <v>2486</v>
      </c>
      <c r="Q298">
        <v>2013</v>
      </c>
      <c r="R298">
        <v>1972</v>
      </c>
      <c r="S298" s="1">
        <v>45143</v>
      </c>
      <c r="T298" s="1">
        <v>45139</v>
      </c>
      <c r="U298" t="s">
        <v>4138</v>
      </c>
      <c r="V298" t="s">
        <v>4114</v>
      </c>
      <c r="W298" t="s">
        <v>4127</v>
      </c>
      <c r="X298" t="s">
        <v>4128</v>
      </c>
      <c r="Y298" t="s">
        <v>4116</v>
      </c>
    </row>
    <row r="299" spans="1:25" x14ac:dyDescent="0.25">
      <c r="A299">
        <v>298</v>
      </c>
      <c r="B299">
        <v>50313206</v>
      </c>
      <c r="C299" t="s">
        <v>759</v>
      </c>
      <c r="D299" t="s">
        <v>2664</v>
      </c>
      <c r="E299" t="s">
        <v>760</v>
      </c>
      <c r="F299" t="s">
        <v>761</v>
      </c>
      <c r="G299" t="s">
        <v>2592</v>
      </c>
      <c r="H299" t="s">
        <v>3299</v>
      </c>
      <c r="I299" t="s">
        <v>2933</v>
      </c>
      <c r="J299" t="s">
        <v>2593</v>
      </c>
      <c r="K299" t="s">
        <v>112</v>
      </c>
      <c r="L299">
        <v>445</v>
      </c>
      <c r="M299">
        <v>0.44861111111111113</v>
      </c>
      <c r="N299">
        <v>10.766666666666667</v>
      </c>
      <c r="O299" t="s">
        <v>3978</v>
      </c>
      <c r="P299" t="s">
        <v>2486</v>
      </c>
      <c r="Q299">
        <v>2022</v>
      </c>
      <c r="R299">
        <v>2019</v>
      </c>
      <c r="S299" s="1">
        <v>45141</v>
      </c>
      <c r="T299" s="1">
        <v>45135</v>
      </c>
      <c r="U299" t="s">
        <v>4120</v>
      </c>
      <c r="V299" t="s">
        <v>4114</v>
      </c>
      <c r="W299" t="s">
        <v>4148</v>
      </c>
      <c r="X299" t="s">
        <v>2486</v>
      </c>
      <c r="Y299" t="s">
        <v>4116</v>
      </c>
    </row>
    <row r="300" spans="1:25" x14ac:dyDescent="0.25">
      <c r="A300">
        <v>299</v>
      </c>
      <c r="B300">
        <v>60719810</v>
      </c>
      <c r="C300" t="s">
        <v>762</v>
      </c>
      <c r="D300" t="s">
        <v>17</v>
      </c>
      <c r="E300" t="s">
        <v>763</v>
      </c>
      <c r="F300" t="s">
        <v>764</v>
      </c>
      <c r="H300" t="s">
        <v>3300</v>
      </c>
      <c r="I300" t="s">
        <v>2933</v>
      </c>
      <c r="J300" t="s">
        <v>2011</v>
      </c>
      <c r="K300" t="s">
        <v>2488</v>
      </c>
      <c r="L300">
        <v>423</v>
      </c>
      <c r="P300" t="s">
        <v>2486</v>
      </c>
      <c r="Q300">
        <v>2021</v>
      </c>
      <c r="R300">
        <v>2015</v>
      </c>
      <c r="S300" s="1">
        <v>45140</v>
      </c>
      <c r="T300" s="1">
        <v>45136</v>
      </c>
      <c r="U300" t="s">
        <v>4155</v>
      </c>
      <c r="V300" t="s">
        <v>4131</v>
      </c>
      <c r="W300" t="s">
        <v>4161</v>
      </c>
      <c r="X300" t="s">
        <v>2603</v>
      </c>
      <c r="Y300" t="s">
        <v>4125</v>
      </c>
    </row>
    <row r="301" spans="1:25" x14ac:dyDescent="0.25">
      <c r="A301">
        <v>300</v>
      </c>
      <c r="B301">
        <v>34600858</v>
      </c>
      <c r="C301" t="s">
        <v>765</v>
      </c>
      <c r="D301" t="s">
        <v>17</v>
      </c>
      <c r="E301" t="s">
        <v>250</v>
      </c>
      <c r="F301" t="s">
        <v>251</v>
      </c>
      <c r="H301" t="s">
        <v>3301</v>
      </c>
      <c r="I301" t="s">
        <v>2890</v>
      </c>
      <c r="J301" t="s">
        <v>1668</v>
      </c>
      <c r="K301" t="s">
        <v>2488</v>
      </c>
      <c r="L301">
        <v>256</v>
      </c>
      <c r="P301" t="s">
        <v>2494</v>
      </c>
      <c r="Q301">
        <v>2017</v>
      </c>
      <c r="R301">
        <v>2010</v>
      </c>
      <c r="S301" s="1">
        <v>44649</v>
      </c>
      <c r="T301" s="1">
        <v>44646</v>
      </c>
      <c r="U301" t="s">
        <v>4113</v>
      </c>
      <c r="V301" t="s">
        <v>4114</v>
      </c>
      <c r="W301" t="s">
        <v>4150</v>
      </c>
      <c r="X301" t="s">
        <v>4151</v>
      </c>
      <c r="Y301" t="s">
        <v>4116</v>
      </c>
    </row>
    <row r="302" spans="1:25" x14ac:dyDescent="0.25">
      <c r="A302">
        <v>301</v>
      </c>
      <c r="B302">
        <v>34773258</v>
      </c>
      <c r="C302" t="s">
        <v>766</v>
      </c>
      <c r="D302" t="s">
        <v>17</v>
      </c>
      <c r="E302" t="s">
        <v>767</v>
      </c>
      <c r="F302" t="s">
        <v>768</v>
      </c>
      <c r="H302" t="s">
        <v>3302</v>
      </c>
      <c r="I302" t="s">
        <v>2901</v>
      </c>
      <c r="J302" t="s">
        <v>2014</v>
      </c>
      <c r="K302" t="s">
        <v>2488</v>
      </c>
      <c r="L302">
        <v>320</v>
      </c>
      <c r="P302" t="s">
        <v>2494</v>
      </c>
      <c r="Q302">
        <v>2017</v>
      </c>
      <c r="R302">
        <v>1997</v>
      </c>
      <c r="S302" s="1">
        <v>45135</v>
      </c>
      <c r="T302" s="1">
        <v>45093</v>
      </c>
      <c r="U302" t="s">
        <v>4157</v>
      </c>
      <c r="V302" t="s">
        <v>4131</v>
      </c>
      <c r="W302" t="s">
        <v>4173</v>
      </c>
      <c r="X302" t="s">
        <v>4151</v>
      </c>
      <c r="Y302" t="s">
        <v>4125</v>
      </c>
    </row>
    <row r="303" spans="1:25" x14ac:dyDescent="0.25">
      <c r="A303">
        <v>302</v>
      </c>
      <c r="B303">
        <v>40523782</v>
      </c>
      <c r="C303" t="s">
        <v>769</v>
      </c>
      <c r="D303" t="s">
        <v>17</v>
      </c>
      <c r="E303" t="s">
        <v>770</v>
      </c>
      <c r="F303" t="s">
        <v>771</v>
      </c>
      <c r="G303" t="s">
        <v>2665</v>
      </c>
      <c r="H303" t="s">
        <v>3303</v>
      </c>
      <c r="I303" t="s">
        <v>2890</v>
      </c>
      <c r="J303" t="s">
        <v>2492</v>
      </c>
      <c r="K303" t="s">
        <v>112</v>
      </c>
      <c r="L303">
        <v>450</v>
      </c>
      <c r="M303">
        <v>0.62569444444444444</v>
      </c>
      <c r="N303">
        <v>15.016666666666666</v>
      </c>
      <c r="O303" t="s">
        <v>4023</v>
      </c>
      <c r="P303" t="s">
        <v>2486</v>
      </c>
      <c r="Q303">
        <v>2023</v>
      </c>
      <c r="R303">
        <v>2015</v>
      </c>
      <c r="S303" s="1">
        <v>45133</v>
      </c>
      <c r="T303" s="1">
        <v>45127</v>
      </c>
      <c r="U303" t="s">
        <v>4120</v>
      </c>
      <c r="V303" t="s">
        <v>4114</v>
      </c>
      <c r="W303" t="s">
        <v>4121</v>
      </c>
      <c r="X303" t="s">
        <v>2603</v>
      </c>
      <c r="Y303" t="s">
        <v>4125</v>
      </c>
    </row>
    <row r="304" spans="1:25" x14ac:dyDescent="0.25">
      <c r="A304">
        <v>303</v>
      </c>
      <c r="B304">
        <v>55770695</v>
      </c>
      <c r="C304" t="s">
        <v>772</v>
      </c>
      <c r="D304" t="s">
        <v>2666</v>
      </c>
      <c r="E304" t="s">
        <v>35</v>
      </c>
      <c r="F304" t="s">
        <v>36</v>
      </c>
      <c r="G304" t="s">
        <v>2667</v>
      </c>
      <c r="H304" t="s">
        <v>3304</v>
      </c>
      <c r="I304" t="s">
        <v>2890</v>
      </c>
      <c r="J304" t="s">
        <v>1759</v>
      </c>
      <c r="K304" t="s">
        <v>112</v>
      </c>
      <c r="L304">
        <v>312</v>
      </c>
      <c r="M304">
        <v>0.3659722222222222</v>
      </c>
      <c r="N304">
        <v>8.7833333333333332</v>
      </c>
      <c r="O304" t="s">
        <v>4024</v>
      </c>
      <c r="P304" t="s">
        <v>2494</v>
      </c>
      <c r="Q304">
        <v>2021</v>
      </c>
      <c r="R304">
        <v>2020</v>
      </c>
      <c r="S304" s="1">
        <v>45017</v>
      </c>
      <c r="T304" s="1">
        <v>45013</v>
      </c>
      <c r="U304" t="s">
        <v>4117</v>
      </c>
      <c r="V304" t="s">
        <v>4114</v>
      </c>
      <c r="W304" t="s">
        <v>4118</v>
      </c>
      <c r="X304" t="s">
        <v>4119</v>
      </c>
      <c r="Y304" t="s">
        <v>4125</v>
      </c>
    </row>
    <row r="305" spans="1:25" x14ac:dyDescent="0.25">
      <c r="A305">
        <v>304</v>
      </c>
      <c r="B305">
        <v>61477665</v>
      </c>
      <c r="C305" t="s">
        <v>773</v>
      </c>
      <c r="D305" t="s">
        <v>17</v>
      </c>
      <c r="E305" t="s">
        <v>774</v>
      </c>
      <c r="F305" t="s">
        <v>775</v>
      </c>
      <c r="H305" t="s">
        <v>3305</v>
      </c>
      <c r="I305" t="s">
        <v>2890</v>
      </c>
      <c r="J305" t="s">
        <v>1723</v>
      </c>
      <c r="K305" t="s">
        <v>2488</v>
      </c>
      <c r="L305">
        <v>592</v>
      </c>
      <c r="P305" t="s">
        <v>2494</v>
      </c>
      <c r="Q305">
        <v>2022</v>
      </c>
      <c r="R305">
        <v>2014</v>
      </c>
      <c r="S305" s="1">
        <v>45126</v>
      </c>
      <c r="T305" s="1">
        <v>45060</v>
      </c>
      <c r="U305" t="s">
        <v>4140</v>
      </c>
      <c r="V305" t="s">
        <v>4131</v>
      </c>
      <c r="W305" t="s">
        <v>4174</v>
      </c>
      <c r="X305" t="s">
        <v>2603</v>
      </c>
      <c r="Y305" t="s">
        <v>4116</v>
      </c>
    </row>
    <row r="306" spans="1:25" x14ac:dyDescent="0.25">
      <c r="A306">
        <v>305</v>
      </c>
      <c r="B306">
        <v>53479542</v>
      </c>
      <c r="C306" t="s">
        <v>3306</v>
      </c>
      <c r="D306" t="s">
        <v>2670</v>
      </c>
      <c r="E306" t="s">
        <v>777</v>
      </c>
      <c r="F306" t="s">
        <v>778</v>
      </c>
      <c r="G306" t="s">
        <v>2490</v>
      </c>
      <c r="H306" t="s">
        <v>3307</v>
      </c>
      <c r="I306" t="s">
        <v>2917</v>
      </c>
      <c r="J306" t="s">
        <v>2492</v>
      </c>
      <c r="K306" t="s">
        <v>112</v>
      </c>
      <c r="L306">
        <v>296</v>
      </c>
      <c r="M306">
        <v>0.42291666666666666</v>
      </c>
      <c r="N306">
        <v>10.15</v>
      </c>
      <c r="O306" t="s">
        <v>4025</v>
      </c>
      <c r="P306" t="s">
        <v>2486</v>
      </c>
      <c r="Q306">
        <v>2022</v>
      </c>
      <c r="R306">
        <v>1952</v>
      </c>
      <c r="S306" s="1">
        <v>45125</v>
      </c>
      <c r="T306" s="1">
        <v>45117</v>
      </c>
      <c r="U306" t="s">
        <v>4113</v>
      </c>
      <c r="V306" t="s">
        <v>4114</v>
      </c>
      <c r="W306" t="s">
        <v>4121</v>
      </c>
      <c r="X306" t="s">
        <v>2603</v>
      </c>
      <c r="Y306" t="s">
        <v>4116</v>
      </c>
    </row>
    <row r="307" spans="1:25" x14ac:dyDescent="0.25">
      <c r="A307">
        <v>306</v>
      </c>
      <c r="B307">
        <v>39676903</v>
      </c>
      <c r="C307" t="s">
        <v>779</v>
      </c>
      <c r="D307" t="s">
        <v>2668</v>
      </c>
      <c r="E307" t="s">
        <v>302</v>
      </c>
      <c r="F307" t="s">
        <v>303</v>
      </c>
      <c r="H307" t="s">
        <v>3308</v>
      </c>
      <c r="I307" t="s">
        <v>2933</v>
      </c>
      <c r="J307" t="s">
        <v>1723</v>
      </c>
      <c r="K307" t="s">
        <v>57</v>
      </c>
      <c r="L307">
        <v>780</v>
      </c>
      <c r="P307" t="s">
        <v>2486</v>
      </c>
      <c r="Q307">
        <v>2018</v>
      </c>
      <c r="R307">
        <v>2017</v>
      </c>
      <c r="S307" s="1">
        <v>45117</v>
      </c>
      <c r="T307" s="1">
        <v>45106</v>
      </c>
      <c r="U307" t="s">
        <v>4138</v>
      </c>
      <c r="V307" t="s">
        <v>4114</v>
      </c>
      <c r="W307" t="s">
        <v>4115</v>
      </c>
      <c r="X307" t="s">
        <v>2603</v>
      </c>
      <c r="Y307" t="s">
        <v>4116</v>
      </c>
    </row>
    <row r="308" spans="1:25" x14ac:dyDescent="0.25">
      <c r="A308">
        <v>307</v>
      </c>
      <c r="B308">
        <v>52087101</v>
      </c>
      <c r="C308" t="s">
        <v>3309</v>
      </c>
      <c r="D308" t="s">
        <v>2669</v>
      </c>
      <c r="E308" t="s">
        <v>777</v>
      </c>
      <c r="F308" t="s">
        <v>778</v>
      </c>
      <c r="G308" t="s">
        <v>2490</v>
      </c>
      <c r="H308" t="s">
        <v>3310</v>
      </c>
      <c r="I308" t="s">
        <v>2917</v>
      </c>
      <c r="J308" t="s">
        <v>2492</v>
      </c>
      <c r="K308" t="s">
        <v>112</v>
      </c>
      <c r="L308">
        <v>288</v>
      </c>
      <c r="M308">
        <v>0.38194444444444442</v>
      </c>
      <c r="N308">
        <v>9.1666666666666661</v>
      </c>
      <c r="O308" t="s">
        <v>4026</v>
      </c>
      <c r="P308" t="s">
        <v>2486</v>
      </c>
      <c r="Q308">
        <v>2021</v>
      </c>
      <c r="R308">
        <v>1951</v>
      </c>
      <c r="S308" s="1">
        <v>43975</v>
      </c>
      <c r="T308" s="1">
        <v>43975</v>
      </c>
      <c r="U308" t="s">
        <v>4113</v>
      </c>
      <c r="V308" t="s">
        <v>4114</v>
      </c>
      <c r="W308" t="s">
        <v>4121</v>
      </c>
      <c r="X308" t="s">
        <v>2603</v>
      </c>
      <c r="Y308" t="s">
        <v>4116</v>
      </c>
    </row>
    <row r="309" spans="1:25" x14ac:dyDescent="0.25">
      <c r="A309">
        <v>308</v>
      </c>
      <c r="B309">
        <v>43473549</v>
      </c>
      <c r="C309" t="s">
        <v>781</v>
      </c>
      <c r="D309" t="s">
        <v>17</v>
      </c>
      <c r="E309" t="s">
        <v>782</v>
      </c>
      <c r="F309" t="s">
        <v>783</v>
      </c>
      <c r="G309" t="s">
        <v>2555</v>
      </c>
      <c r="H309" t="s">
        <v>3311</v>
      </c>
      <c r="I309" t="s">
        <v>2917</v>
      </c>
      <c r="J309" t="s">
        <v>2021</v>
      </c>
      <c r="K309" t="s">
        <v>112</v>
      </c>
      <c r="L309">
        <v>352</v>
      </c>
      <c r="M309">
        <v>0.36458333333333331</v>
      </c>
      <c r="N309">
        <v>8.75</v>
      </c>
      <c r="O309" t="s">
        <v>4027</v>
      </c>
      <c r="P309" t="s">
        <v>2486</v>
      </c>
      <c r="Q309">
        <v>2018</v>
      </c>
      <c r="R309">
        <v>2018</v>
      </c>
      <c r="S309" s="1">
        <v>45114</v>
      </c>
      <c r="T309" s="1">
        <v>45106</v>
      </c>
      <c r="U309" t="s">
        <v>4155</v>
      </c>
      <c r="V309" t="s">
        <v>4131</v>
      </c>
      <c r="W309" t="s">
        <v>4118</v>
      </c>
      <c r="X309" t="s">
        <v>2603</v>
      </c>
      <c r="Y309" t="s">
        <v>4116</v>
      </c>
    </row>
    <row r="310" spans="1:25" x14ac:dyDescent="0.25">
      <c r="A310">
        <v>309</v>
      </c>
      <c r="B310">
        <v>62636063</v>
      </c>
      <c r="C310" t="s">
        <v>784</v>
      </c>
      <c r="D310" t="s">
        <v>17</v>
      </c>
      <c r="E310" t="s">
        <v>785</v>
      </c>
      <c r="F310" t="s">
        <v>786</v>
      </c>
      <c r="H310" t="s">
        <v>3312</v>
      </c>
      <c r="I310" t="s">
        <v>2890</v>
      </c>
      <c r="J310" t="s">
        <v>1668</v>
      </c>
      <c r="K310" t="s">
        <v>2488</v>
      </c>
      <c r="L310">
        <v>336</v>
      </c>
      <c r="P310" t="s">
        <v>2494</v>
      </c>
      <c r="Q310">
        <v>2022</v>
      </c>
      <c r="R310">
        <v>2022</v>
      </c>
      <c r="S310" s="1">
        <v>45106</v>
      </c>
      <c r="T310" s="1">
        <v>45092</v>
      </c>
      <c r="U310" t="s">
        <v>4134</v>
      </c>
      <c r="V310" t="s">
        <v>4114</v>
      </c>
      <c r="W310" t="s">
        <v>4133</v>
      </c>
      <c r="X310" t="s">
        <v>2494</v>
      </c>
      <c r="Y310" t="s">
        <v>4116</v>
      </c>
    </row>
    <row r="311" spans="1:25" x14ac:dyDescent="0.25">
      <c r="A311">
        <v>310</v>
      </c>
      <c r="B311">
        <v>10320612</v>
      </c>
      <c r="C311" t="s">
        <v>787</v>
      </c>
      <c r="D311" t="s">
        <v>2671</v>
      </c>
      <c r="E311" t="s">
        <v>215</v>
      </c>
      <c r="F311" t="s">
        <v>216</v>
      </c>
      <c r="G311" t="s">
        <v>2531</v>
      </c>
      <c r="H311" t="s">
        <v>3313</v>
      </c>
      <c r="I311" t="s">
        <v>2890</v>
      </c>
      <c r="J311" t="s">
        <v>2532</v>
      </c>
      <c r="K311" t="s">
        <v>112</v>
      </c>
      <c r="L311">
        <v>328</v>
      </c>
      <c r="M311">
        <v>0.50763888888888886</v>
      </c>
      <c r="N311">
        <v>12.183333333333334</v>
      </c>
      <c r="O311" t="s">
        <v>4028</v>
      </c>
      <c r="P311" t="s">
        <v>2494</v>
      </c>
      <c r="Q311">
        <v>2024</v>
      </c>
      <c r="R311">
        <v>2010</v>
      </c>
      <c r="S311" s="1">
        <v>45104</v>
      </c>
      <c r="T311" s="1">
        <v>45097</v>
      </c>
      <c r="U311" t="s">
        <v>4117</v>
      </c>
      <c r="V311" t="s">
        <v>4114</v>
      </c>
      <c r="W311" t="s">
        <v>4133</v>
      </c>
      <c r="X311" t="s">
        <v>2494</v>
      </c>
      <c r="Y311" t="s">
        <v>4116</v>
      </c>
    </row>
    <row r="312" spans="1:25" x14ac:dyDescent="0.25">
      <c r="A312">
        <v>311</v>
      </c>
      <c r="B312">
        <v>30967365</v>
      </c>
      <c r="C312" t="s">
        <v>788</v>
      </c>
      <c r="D312" t="s">
        <v>17</v>
      </c>
      <c r="E312" t="s">
        <v>789</v>
      </c>
      <c r="F312" t="s">
        <v>790</v>
      </c>
      <c r="H312" t="s">
        <v>3314</v>
      </c>
      <c r="I312" t="s">
        <v>2890</v>
      </c>
      <c r="J312" t="s">
        <v>2025</v>
      </c>
      <c r="K312" t="s">
        <v>57</v>
      </c>
      <c r="L312">
        <v>259</v>
      </c>
      <c r="P312" t="s">
        <v>2494</v>
      </c>
      <c r="Q312">
        <v>2015</v>
      </c>
      <c r="R312">
        <v>2009</v>
      </c>
      <c r="S312" s="1">
        <v>45101</v>
      </c>
      <c r="T312" s="1">
        <v>45097</v>
      </c>
      <c r="U312" t="s">
        <v>4130</v>
      </c>
      <c r="V312" t="s">
        <v>4131</v>
      </c>
      <c r="W312" t="s">
        <v>4115</v>
      </c>
      <c r="X312" t="s">
        <v>2603</v>
      </c>
      <c r="Y312" t="s">
        <v>4125</v>
      </c>
    </row>
    <row r="313" spans="1:25" x14ac:dyDescent="0.25">
      <c r="A313">
        <v>312</v>
      </c>
      <c r="B313">
        <v>26164740</v>
      </c>
      <c r="C313" t="s">
        <v>791</v>
      </c>
      <c r="D313" t="s">
        <v>17</v>
      </c>
      <c r="E313" t="s">
        <v>224</v>
      </c>
      <c r="F313" t="s">
        <v>225</v>
      </c>
      <c r="H313" t="s">
        <v>3315</v>
      </c>
      <c r="I313" t="s">
        <v>2901</v>
      </c>
      <c r="J313" t="s">
        <v>1759</v>
      </c>
      <c r="K313" t="s">
        <v>2488</v>
      </c>
      <c r="L313">
        <v>320</v>
      </c>
      <c r="P313" t="s">
        <v>2494</v>
      </c>
      <c r="Q313">
        <v>2015</v>
      </c>
      <c r="R313">
        <v>2015</v>
      </c>
      <c r="S313" s="1">
        <v>45095</v>
      </c>
      <c r="T313" s="1">
        <v>45094</v>
      </c>
      <c r="U313" t="s">
        <v>4129</v>
      </c>
      <c r="V313" t="s">
        <v>4114</v>
      </c>
      <c r="W313" t="s">
        <v>4115</v>
      </c>
      <c r="X313" t="s">
        <v>2603</v>
      </c>
      <c r="Y313" t="s">
        <v>4125</v>
      </c>
    </row>
    <row r="314" spans="1:25" x14ac:dyDescent="0.25">
      <c r="A314">
        <v>313</v>
      </c>
      <c r="B314">
        <v>55362662</v>
      </c>
      <c r="C314" t="s">
        <v>792</v>
      </c>
      <c r="D314" t="s">
        <v>17</v>
      </c>
      <c r="E314" t="s">
        <v>793</v>
      </c>
      <c r="F314" t="s">
        <v>794</v>
      </c>
      <c r="H314" t="s">
        <v>3316</v>
      </c>
      <c r="I314" t="s">
        <v>2933</v>
      </c>
      <c r="J314" t="s">
        <v>1668</v>
      </c>
      <c r="K314" t="s">
        <v>2488</v>
      </c>
      <c r="L314">
        <v>512</v>
      </c>
      <c r="P314" t="s">
        <v>2494</v>
      </c>
      <c r="Q314">
        <v>2020</v>
      </c>
      <c r="R314">
        <v>2019</v>
      </c>
      <c r="S314" s="1">
        <v>45093</v>
      </c>
      <c r="T314" s="1">
        <v>45087</v>
      </c>
      <c r="U314" t="s">
        <v>4157</v>
      </c>
      <c r="V314" t="s">
        <v>4131</v>
      </c>
      <c r="W314" t="s">
        <v>4115</v>
      </c>
      <c r="X314" t="s">
        <v>2603</v>
      </c>
      <c r="Y314" t="s">
        <v>4116</v>
      </c>
    </row>
    <row r="315" spans="1:25" x14ac:dyDescent="0.25">
      <c r="A315">
        <v>314</v>
      </c>
      <c r="B315">
        <v>35819389</v>
      </c>
      <c r="C315" t="s">
        <v>3317</v>
      </c>
      <c r="D315" t="s">
        <v>796</v>
      </c>
      <c r="E315" t="s">
        <v>608</v>
      </c>
      <c r="F315" t="s">
        <v>609</v>
      </c>
      <c r="G315" t="s">
        <v>2555</v>
      </c>
      <c r="H315" t="s">
        <v>3318</v>
      </c>
      <c r="I315" t="s">
        <v>2917</v>
      </c>
      <c r="J315" t="s">
        <v>1939</v>
      </c>
      <c r="K315" t="s">
        <v>112</v>
      </c>
      <c r="L315">
        <v>304</v>
      </c>
      <c r="M315">
        <v>0.34652777777777777</v>
      </c>
      <c r="N315">
        <v>8.3166666666666664</v>
      </c>
      <c r="O315" t="s">
        <v>3886</v>
      </c>
      <c r="P315" t="s">
        <v>2486</v>
      </c>
      <c r="Q315">
        <v>2018</v>
      </c>
      <c r="R315">
        <v>2017</v>
      </c>
      <c r="S315" s="1">
        <v>45093</v>
      </c>
      <c r="T315" s="1">
        <v>45087</v>
      </c>
      <c r="U315" t="s">
        <v>4113</v>
      </c>
      <c r="V315" t="s">
        <v>4114</v>
      </c>
      <c r="W315" t="s">
        <v>4148</v>
      </c>
      <c r="X315" t="s">
        <v>2486</v>
      </c>
      <c r="Y315" t="s">
        <v>4116</v>
      </c>
    </row>
    <row r="316" spans="1:25" x14ac:dyDescent="0.25">
      <c r="A316">
        <v>315</v>
      </c>
      <c r="B316">
        <v>28457648</v>
      </c>
      <c r="C316" t="s">
        <v>797</v>
      </c>
      <c r="D316" t="s">
        <v>17</v>
      </c>
      <c r="E316" t="s">
        <v>798</v>
      </c>
      <c r="F316" t="s">
        <v>799</v>
      </c>
      <c r="H316" t="s">
        <v>3319</v>
      </c>
      <c r="I316" t="s">
        <v>2901</v>
      </c>
      <c r="J316" t="s">
        <v>1730</v>
      </c>
      <c r="K316" t="s">
        <v>57</v>
      </c>
      <c r="L316">
        <v>295</v>
      </c>
      <c r="P316" t="s">
        <v>2494</v>
      </c>
      <c r="Q316">
        <v>2015</v>
      </c>
      <c r="R316">
        <v>2014</v>
      </c>
      <c r="S316" s="1">
        <v>45088</v>
      </c>
      <c r="T316" s="1">
        <v>45078</v>
      </c>
      <c r="U316" t="s">
        <v>4113</v>
      </c>
      <c r="V316" t="s">
        <v>4114</v>
      </c>
      <c r="W316" t="s">
        <v>4121</v>
      </c>
      <c r="X316" t="s">
        <v>2603</v>
      </c>
      <c r="Y316" t="s">
        <v>4116</v>
      </c>
    </row>
    <row r="317" spans="1:25" x14ac:dyDescent="0.25">
      <c r="A317">
        <v>316</v>
      </c>
      <c r="B317">
        <v>8497652</v>
      </c>
      <c r="C317" t="s">
        <v>800</v>
      </c>
      <c r="D317" t="s">
        <v>2672</v>
      </c>
      <c r="E317" t="s">
        <v>215</v>
      </c>
      <c r="F317" t="s">
        <v>216</v>
      </c>
      <c r="G317" t="s">
        <v>2531</v>
      </c>
      <c r="H317" t="s">
        <v>3320</v>
      </c>
      <c r="I317" t="s">
        <v>2890</v>
      </c>
      <c r="J317" t="s">
        <v>2532</v>
      </c>
      <c r="K317" t="s">
        <v>112</v>
      </c>
      <c r="L317">
        <v>288</v>
      </c>
      <c r="M317">
        <v>0.47083333333333333</v>
      </c>
      <c r="N317">
        <v>11.3</v>
      </c>
      <c r="O317" t="s">
        <v>4029</v>
      </c>
      <c r="P317" t="s">
        <v>2494</v>
      </c>
      <c r="Q317">
        <v>2024</v>
      </c>
      <c r="R317">
        <v>2009</v>
      </c>
      <c r="S317" s="1">
        <v>45087</v>
      </c>
      <c r="T317" s="1">
        <v>45086</v>
      </c>
      <c r="U317" t="s">
        <v>4117</v>
      </c>
      <c r="V317" t="s">
        <v>4114</v>
      </c>
      <c r="W317" t="s">
        <v>4133</v>
      </c>
      <c r="X317" t="s">
        <v>2494</v>
      </c>
      <c r="Y317" t="s">
        <v>4116</v>
      </c>
    </row>
    <row r="318" spans="1:25" x14ac:dyDescent="0.25">
      <c r="A318">
        <v>317</v>
      </c>
      <c r="B318">
        <v>36674219</v>
      </c>
      <c r="C318" t="s">
        <v>2673</v>
      </c>
      <c r="D318" t="s">
        <v>802</v>
      </c>
      <c r="E318" t="s">
        <v>803</v>
      </c>
      <c r="F318" t="s">
        <v>804</v>
      </c>
      <c r="H318" t="s">
        <v>3321</v>
      </c>
      <c r="I318" t="s">
        <v>2890</v>
      </c>
      <c r="J318" t="s">
        <v>1685</v>
      </c>
      <c r="K318" t="s">
        <v>2488</v>
      </c>
      <c r="L318">
        <v>386</v>
      </c>
      <c r="P318" t="s">
        <v>2486</v>
      </c>
      <c r="Q318">
        <v>2018</v>
      </c>
      <c r="R318">
        <v>2018</v>
      </c>
      <c r="S318" s="1">
        <v>45085</v>
      </c>
      <c r="T318" s="1">
        <v>45083</v>
      </c>
      <c r="U318" t="s">
        <v>4129</v>
      </c>
      <c r="V318" t="s">
        <v>4114</v>
      </c>
      <c r="W318" t="s">
        <v>4121</v>
      </c>
      <c r="X318" t="s">
        <v>2603</v>
      </c>
      <c r="Y318" t="s">
        <v>4116</v>
      </c>
    </row>
    <row r="319" spans="1:25" x14ac:dyDescent="0.25">
      <c r="A319">
        <v>318</v>
      </c>
      <c r="B319">
        <v>53242434</v>
      </c>
      <c r="C319" t="s">
        <v>805</v>
      </c>
      <c r="D319" t="s">
        <v>17</v>
      </c>
      <c r="E319" t="s">
        <v>806</v>
      </c>
      <c r="F319" t="s">
        <v>807</v>
      </c>
      <c r="G319" t="s">
        <v>2496</v>
      </c>
      <c r="H319" t="s">
        <v>3322</v>
      </c>
      <c r="I319" t="s">
        <v>2917</v>
      </c>
      <c r="J319" t="s">
        <v>2590</v>
      </c>
      <c r="K319" t="s">
        <v>112</v>
      </c>
      <c r="L319">
        <v>464</v>
      </c>
      <c r="M319">
        <v>0.76875000000000004</v>
      </c>
      <c r="N319">
        <v>18.450000000000003</v>
      </c>
      <c r="O319" t="s">
        <v>4030</v>
      </c>
      <c r="P319" t="s">
        <v>2486</v>
      </c>
      <c r="Q319">
        <v>2021</v>
      </c>
      <c r="R319">
        <v>2019</v>
      </c>
      <c r="S319" s="1">
        <v>45083</v>
      </c>
      <c r="T319" s="1">
        <v>45079</v>
      </c>
      <c r="U319" t="s">
        <v>4120</v>
      </c>
      <c r="V319" t="s">
        <v>4114</v>
      </c>
      <c r="W319" t="s">
        <v>4121</v>
      </c>
      <c r="X319" t="s">
        <v>2603</v>
      </c>
      <c r="Y319" t="s">
        <v>4125</v>
      </c>
    </row>
    <row r="320" spans="1:25" x14ac:dyDescent="0.25">
      <c r="A320">
        <v>319</v>
      </c>
      <c r="B320">
        <v>57106040</v>
      </c>
      <c r="C320" t="s">
        <v>2674</v>
      </c>
      <c r="D320" t="s">
        <v>17</v>
      </c>
      <c r="E320" t="s">
        <v>808</v>
      </c>
      <c r="F320" t="s">
        <v>809</v>
      </c>
      <c r="H320" t="s">
        <v>3323</v>
      </c>
      <c r="I320" t="s">
        <v>2901</v>
      </c>
      <c r="J320" t="s">
        <v>1829</v>
      </c>
      <c r="K320" t="s">
        <v>2488</v>
      </c>
      <c r="L320">
        <v>366</v>
      </c>
      <c r="P320" t="s">
        <v>2494</v>
      </c>
      <c r="Q320">
        <v>2021</v>
      </c>
      <c r="R320">
        <v>2020</v>
      </c>
      <c r="S320" s="1">
        <v>45079</v>
      </c>
      <c r="T320" s="1">
        <v>45076</v>
      </c>
      <c r="U320" t="s">
        <v>4126</v>
      </c>
      <c r="V320" t="s">
        <v>4114</v>
      </c>
      <c r="W320" t="s">
        <v>4127</v>
      </c>
      <c r="X320" t="s">
        <v>4128</v>
      </c>
      <c r="Y320" t="s">
        <v>4116</v>
      </c>
    </row>
    <row r="321" spans="1:25" x14ac:dyDescent="0.25">
      <c r="A321">
        <v>320</v>
      </c>
      <c r="B321">
        <v>63278853</v>
      </c>
      <c r="C321" t="s">
        <v>810</v>
      </c>
      <c r="D321" t="s">
        <v>17</v>
      </c>
      <c r="E321" t="s">
        <v>70</v>
      </c>
      <c r="F321" t="s">
        <v>71</v>
      </c>
      <c r="H321" t="s">
        <v>3324</v>
      </c>
      <c r="I321" t="s">
        <v>2890</v>
      </c>
      <c r="J321" t="s">
        <v>2033</v>
      </c>
      <c r="K321" t="s">
        <v>57</v>
      </c>
      <c r="L321">
        <v>376</v>
      </c>
      <c r="P321" t="s">
        <v>2486</v>
      </c>
      <c r="Q321">
        <v>2022</v>
      </c>
      <c r="R321">
        <v>2022</v>
      </c>
      <c r="S321" s="1">
        <v>45078</v>
      </c>
      <c r="T321" s="1">
        <v>45072</v>
      </c>
      <c r="U321" t="s">
        <v>4134</v>
      </c>
      <c r="V321" t="s">
        <v>4114</v>
      </c>
      <c r="W321" t="s">
        <v>4118</v>
      </c>
      <c r="X321" t="s">
        <v>4119</v>
      </c>
      <c r="Y321" t="s">
        <v>4116</v>
      </c>
    </row>
    <row r="322" spans="1:25" x14ac:dyDescent="0.25">
      <c r="A322">
        <v>321</v>
      </c>
      <c r="B322">
        <v>13618118</v>
      </c>
      <c r="C322" t="s">
        <v>811</v>
      </c>
      <c r="D322" t="s">
        <v>17</v>
      </c>
      <c r="E322" t="s">
        <v>785</v>
      </c>
      <c r="F322" t="s">
        <v>786</v>
      </c>
      <c r="H322" t="s">
        <v>3325</v>
      </c>
      <c r="I322" t="s">
        <v>2890</v>
      </c>
      <c r="J322" t="s">
        <v>1673</v>
      </c>
      <c r="K322" t="s">
        <v>57</v>
      </c>
      <c r="L322">
        <v>295</v>
      </c>
      <c r="P322" t="s">
        <v>2494</v>
      </c>
      <c r="Q322">
        <v>2011</v>
      </c>
      <c r="R322">
        <v>2011</v>
      </c>
      <c r="S322" s="1">
        <v>45067</v>
      </c>
      <c r="T322" s="1">
        <v>45061</v>
      </c>
      <c r="U322" t="s">
        <v>4134</v>
      </c>
      <c r="V322" t="s">
        <v>4114</v>
      </c>
      <c r="W322" t="s">
        <v>4133</v>
      </c>
      <c r="X322" t="s">
        <v>2494</v>
      </c>
      <c r="Y322" t="s">
        <v>4116</v>
      </c>
    </row>
    <row r="323" spans="1:25" x14ac:dyDescent="0.25">
      <c r="A323">
        <v>322</v>
      </c>
      <c r="B323">
        <v>15716872</v>
      </c>
      <c r="C323" t="s">
        <v>812</v>
      </c>
      <c r="D323" t="s">
        <v>2675</v>
      </c>
      <c r="E323" t="s">
        <v>215</v>
      </c>
      <c r="F323" t="s">
        <v>216</v>
      </c>
      <c r="G323" t="s">
        <v>2531</v>
      </c>
      <c r="H323" t="s">
        <v>3326</v>
      </c>
      <c r="I323" t="s">
        <v>2890</v>
      </c>
      <c r="J323" t="s">
        <v>2532</v>
      </c>
      <c r="K323" t="s">
        <v>112</v>
      </c>
      <c r="L323">
        <v>311</v>
      </c>
      <c r="M323">
        <v>0.55208333333333337</v>
      </c>
      <c r="N323">
        <v>13.25</v>
      </c>
      <c r="O323" t="s">
        <v>4031</v>
      </c>
      <c r="P323" t="s">
        <v>2494</v>
      </c>
      <c r="Q323">
        <v>2022</v>
      </c>
      <c r="R323">
        <v>2012</v>
      </c>
      <c r="S323" s="1">
        <v>45064</v>
      </c>
      <c r="T323" s="1">
        <v>45052</v>
      </c>
      <c r="U323" t="s">
        <v>4117</v>
      </c>
      <c r="V323" t="s">
        <v>4114</v>
      </c>
      <c r="W323" t="s">
        <v>4133</v>
      </c>
      <c r="X323" t="s">
        <v>2494</v>
      </c>
      <c r="Y323" t="s">
        <v>4116</v>
      </c>
    </row>
    <row r="324" spans="1:25" x14ac:dyDescent="0.25">
      <c r="A324">
        <v>323</v>
      </c>
      <c r="B324">
        <v>60698677</v>
      </c>
      <c r="C324" t="s">
        <v>815</v>
      </c>
      <c r="D324" t="s">
        <v>17</v>
      </c>
      <c r="E324" t="s">
        <v>816</v>
      </c>
      <c r="F324" t="s">
        <v>817</v>
      </c>
      <c r="H324" t="s">
        <v>3327</v>
      </c>
      <c r="I324" t="s">
        <v>2901</v>
      </c>
      <c r="J324" t="s">
        <v>2037</v>
      </c>
      <c r="K324" t="s">
        <v>57</v>
      </c>
      <c r="L324">
        <v>194</v>
      </c>
      <c r="P324" t="s">
        <v>2603</v>
      </c>
      <c r="Q324">
        <v>2022</v>
      </c>
      <c r="R324">
        <v>2022</v>
      </c>
      <c r="S324" s="1">
        <v>45055</v>
      </c>
      <c r="T324" s="1">
        <v>44992</v>
      </c>
      <c r="U324" t="s">
        <v>4130</v>
      </c>
      <c r="V324" t="s">
        <v>4131</v>
      </c>
      <c r="W324" t="s">
        <v>4121</v>
      </c>
      <c r="X324" t="s">
        <v>2603</v>
      </c>
      <c r="Y324" t="s">
        <v>4125</v>
      </c>
    </row>
    <row r="325" spans="1:25" x14ac:dyDescent="0.25">
      <c r="A325">
        <v>324</v>
      </c>
      <c r="B325">
        <v>58847516</v>
      </c>
      <c r="C325" t="s">
        <v>818</v>
      </c>
      <c r="D325" t="s">
        <v>17</v>
      </c>
      <c r="E325" t="s">
        <v>819</v>
      </c>
      <c r="F325" t="s">
        <v>820</v>
      </c>
      <c r="H325" t="s">
        <v>3328</v>
      </c>
      <c r="I325" t="s">
        <v>2901</v>
      </c>
      <c r="J325" t="s">
        <v>1668</v>
      </c>
      <c r="K325" t="s">
        <v>2488</v>
      </c>
      <c r="L325">
        <v>304</v>
      </c>
      <c r="P325" t="s">
        <v>2494</v>
      </c>
      <c r="Q325">
        <v>2021</v>
      </c>
      <c r="R325">
        <v>2021</v>
      </c>
      <c r="S325" s="1">
        <v>45055</v>
      </c>
      <c r="T325" s="1">
        <v>45052</v>
      </c>
      <c r="U325" t="s">
        <v>4134</v>
      </c>
      <c r="V325" t="s">
        <v>4114</v>
      </c>
      <c r="W325" t="s">
        <v>4115</v>
      </c>
      <c r="X325" t="s">
        <v>2494</v>
      </c>
      <c r="Y325" t="s">
        <v>4116</v>
      </c>
    </row>
    <row r="326" spans="1:25" x14ac:dyDescent="0.25">
      <c r="A326">
        <v>325</v>
      </c>
      <c r="B326">
        <v>36300922</v>
      </c>
      <c r="C326" t="s">
        <v>821</v>
      </c>
      <c r="D326" t="s">
        <v>17</v>
      </c>
      <c r="E326" t="s">
        <v>822</v>
      </c>
      <c r="F326" t="s">
        <v>823</v>
      </c>
      <c r="H326" t="s">
        <v>3329</v>
      </c>
      <c r="I326" t="s">
        <v>2917</v>
      </c>
      <c r="J326" t="s">
        <v>1668</v>
      </c>
      <c r="K326" t="s">
        <v>2488</v>
      </c>
      <c r="L326">
        <v>408</v>
      </c>
      <c r="P326" t="s">
        <v>2494</v>
      </c>
      <c r="Q326">
        <v>2017</v>
      </c>
      <c r="R326">
        <v>2015</v>
      </c>
      <c r="S326" s="1">
        <v>45051</v>
      </c>
      <c r="T326" s="1">
        <v>44997</v>
      </c>
      <c r="U326" t="s">
        <v>4126</v>
      </c>
      <c r="V326" t="s">
        <v>4114</v>
      </c>
      <c r="W326" t="s">
        <v>4115</v>
      </c>
      <c r="X326" t="s">
        <v>2603</v>
      </c>
      <c r="Y326" t="s">
        <v>4125</v>
      </c>
    </row>
    <row r="327" spans="1:25" x14ac:dyDescent="0.25">
      <c r="A327">
        <v>326</v>
      </c>
      <c r="B327">
        <v>30251752</v>
      </c>
      <c r="C327" t="s">
        <v>824</v>
      </c>
      <c r="D327" t="s">
        <v>17</v>
      </c>
      <c r="E327" t="s">
        <v>825</v>
      </c>
      <c r="F327" t="s">
        <v>826</v>
      </c>
      <c r="G327" t="s">
        <v>2676</v>
      </c>
      <c r="H327" t="s">
        <v>3330</v>
      </c>
      <c r="I327" t="s">
        <v>2901</v>
      </c>
      <c r="J327" t="s">
        <v>1687</v>
      </c>
      <c r="K327" t="s">
        <v>112</v>
      </c>
      <c r="L327">
        <v>280</v>
      </c>
      <c r="M327">
        <v>0.38124999999999998</v>
      </c>
      <c r="N327">
        <v>9.1499999999999986</v>
      </c>
      <c r="O327" t="s">
        <v>4014</v>
      </c>
      <c r="P327" t="s">
        <v>2486</v>
      </c>
      <c r="Q327">
        <v>2017</v>
      </c>
      <c r="R327">
        <v>2016</v>
      </c>
      <c r="S327" s="1">
        <v>45051</v>
      </c>
      <c r="T327" s="1">
        <v>45046</v>
      </c>
      <c r="U327" t="s">
        <v>4139</v>
      </c>
      <c r="V327" t="s">
        <v>4131</v>
      </c>
      <c r="W327" t="s">
        <v>4121</v>
      </c>
      <c r="X327" t="s">
        <v>2603</v>
      </c>
      <c r="Y327" t="s">
        <v>4116</v>
      </c>
    </row>
    <row r="328" spans="1:25" x14ac:dyDescent="0.25">
      <c r="A328">
        <v>327</v>
      </c>
      <c r="B328">
        <v>55872911</v>
      </c>
      <c r="C328" t="s">
        <v>827</v>
      </c>
      <c r="D328" t="s">
        <v>17</v>
      </c>
      <c r="E328" t="s">
        <v>70</v>
      </c>
      <c r="F328" t="s">
        <v>71</v>
      </c>
      <c r="H328" t="s">
        <v>3331</v>
      </c>
      <c r="I328" t="s">
        <v>2890</v>
      </c>
      <c r="J328" t="s">
        <v>1668</v>
      </c>
      <c r="K328" t="s">
        <v>2488</v>
      </c>
      <c r="L328">
        <v>360</v>
      </c>
      <c r="P328" t="s">
        <v>2494</v>
      </c>
      <c r="Q328">
        <v>2020</v>
      </c>
      <c r="R328">
        <v>2020</v>
      </c>
      <c r="S328" s="1">
        <v>45049</v>
      </c>
      <c r="T328" s="1">
        <v>45044</v>
      </c>
      <c r="U328" t="s">
        <v>4134</v>
      </c>
      <c r="V328" t="s">
        <v>4114</v>
      </c>
      <c r="W328" t="s">
        <v>4118</v>
      </c>
      <c r="X328" t="s">
        <v>4119</v>
      </c>
      <c r="Y328" t="s">
        <v>4116</v>
      </c>
    </row>
    <row r="329" spans="1:25" x14ac:dyDescent="0.25">
      <c r="A329">
        <v>328</v>
      </c>
      <c r="B329">
        <v>29950392</v>
      </c>
      <c r="C329" t="s">
        <v>828</v>
      </c>
      <c r="D329" t="s">
        <v>2677</v>
      </c>
      <c r="E329" t="s">
        <v>215</v>
      </c>
      <c r="F329" t="s">
        <v>216</v>
      </c>
      <c r="G329" t="s">
        <v>2587</v>
      </c>
      <c r="H329" t="s">
        <v>3332</v>
      </c>
      <c r="I329" t="s">
        <v>2890</v>
      </c>
      <c r="J329" t="s">
        <v>2532</v>
      </c>
      <c r="K329" t="s">
        <v>112</v>
      </c>
      <c r="L329">
        <v>304</v>
      </c>
      <c r="M329">
        <v>0.40833333333333333</v>
      </c>
      <c r="N329">
        <v>9.8000000000000007</v>
      </c>
      <c r="O329" t="s">
        <v>4032</v>
      </c>
      <c r="P329" t="s">
        <v>2494</v>
      </c>
      <c r="Q329">
        <v>2016</v>
      </c>
      <c r="R329">
        <v>2016</v>
      </c>
      <c r="S329" s="1">
        <v>45046</v>
      </c>
      <c r="T329" s="1">
        <v>45043</v>
      </c>
      <c r="U329" t="s">
        <v>4117</v>
      </c>
      <c r="V329" t="s">
        <v>4114</v>
      </c>
      <c r="W329" t="s">
        <v>4133</v>
      </c>
      <c r="X329" t="s">
        <v>2494</v>
      </c>
      <c r="Y329" t="s">
        <v>4116</v>
      </c>
    </row>
    <row r="330" spans="1:25" x14ac:dyDescent="0.25">
      <c r="A330">
        <v>329</v>
      </c>
      <c r="B330">
        <v>18599593</v>
      </c>
      <c r="C330" t="s">
        <v>829</v>
      </c>
      <c r="D330" t="s">
        <v>17</v>
      </c>
      <c r="E330" t="s">
        <v>830</v>
      </c>
      <c r="F330" t="s">
        <v>831</v>
      </c>
      <c r="H330" t="s">
        <v>3333</v>
      </c>
      <c r="I330" t="s">
        <v>2901</v>
      </c>
      <c r="J330" t="s">
        <v>1723</v>
      </c>
      <c r="K330" t="s">
        <v>2488</v>
      </c>
      <c r="L330">
        <v>408</v>
      </c>
      <c r="P330" t="s">
        <v>2494</v>
      </c>
      <c r="Q330">
        <v>2013</v>
      </c>
      <c r="R330">
        <v>2012</v>
      </c>
      <c r="S330" s="1">
        <v>45043</v>
      </c>
      <c r="T330" s="1">
        <v>45040</v>
      </c>
      <c r="U330" t="s">
        <v>4129</v>
      </c>
      <c r="V330" t="s">
        <v>4114</v>
      </c>
      <c r="W330" t="s">
        <v>4121</v>
      </c>
      <c r="X330" t="s">
        <v>2603</v>
      </c>
      <c r="Y330" t="s">
        <v>4125</v>
      </c>
    </row>
    <row r="331" spans="1:25" x14ac:dyDescent="0.25">
      <c r="A331">
        <v>330</v>
      </c>
      <c r="B331">
        <v>26804549</v>
      </c>
      <c r="C331" t="s">
        <v>832</v>
      </c>
      <c r="D331" t="s">
        <v>2678</v>
      </c>
      <c r="E331" t="s">
        <v>215</v>
      </c>
      <c r="F331" t="s">
        <v>216</v>
      </c>
      <c r="G331" t="s">
        <v>2531</v>
      </c>
      <c r="H331" t="s">
        <v>3334</v>
      </c>
      <c r="I331" t="s">
        <v>2890</v>
      </c>
      <c r="J331" t="s">
        <v>2532</v>
      </c>
      <c r="K331" t="s">
        <v>112</v>
      </c>
      <c r="L331">
        <v>304</v>
      </c>
      <c r="M331">
        <v>0.43819444444444444</v>
      </c>
      <c r="N331">
        <v>10.516666666666666</v>
      </c>
      <c r="O331" t="s">
        <v>4033</v>
      </c>
      <c r="P331" t="s">
        <v>2494</v>
      </c>
      <c r="Q331">
        <v>2015</v>
      </c>
      <c r="R331">
        <v>2015</v>
      </c>
      <c r="S331" s="1">
        <v>45042</v>
      </c>
      <c r="T331" s="1">
        <v>45040</v>
      </c>
      <c r="U331" t="s">
        <v>4117</v>
      </c>
      <c r="V331" t="s">
        <v>4114</v>
      </c>
      <c r="W331" t="s">
        <v>4133</v>
      </c>
      <c r="X331" t="s">
        <v>2494</v>
      </c>
      <c r="Y331" t="s">
        <v>4116</v>
      </c>
    </row>
    <row r="332" spans="1:25" x14ac:dyDescent="0.25">
      <c r="A332">
        <v>331</v>
      </c>
      <c r="B332">
        <v>17564785</v>
      </c>
      <c r="C332" t="s">
        <v>833</v>
      </c>
      <c r="D332" t="s">
        <v>2679</v>
      </c>
      <c r="E332" t="s">
        <v>215</v>
      </c>
      <c r="F332" t="s">
        <v>216</v>
      </c>
      <c r="G332" t="s">
        <v>2531</v>
      </c>
      <c r="H332" t="s">
        <v>3335</v>
      </c>
      <c r="I332" t="s">
        <v>2890</v>
      </c>
      <c r="J332" t="s">
        <v>2532</v>
      </c>
      <c r="K332" t="s">
        <v>112</v>
      </c>
      <c r="L332">
        <v>311</v>
      </c>
      <c r="M332">
        <v>0.48055555555555557</v>
      </c>
      <c r="N332">
        <v>11.533333333333333</v>
      </c>
      <c r="O332" t="s">
        <v>4034</v>
      </c>
      <c r="P332" t="s">
        <v>2494</v>
      </c>
      <c r="Q332">
        <v>2023</v>
      </c>
      <c r="R332">
        <v>2013</v>
      </c>
      <c r="S332" s="1">
        <v>45040</v>
      </c>
      <c r="T332" s="1">
        <v>45023</v>
      </c>
      <c r="U332" t="s">
        <v>4117</v>
      </c>
      <c r="V332" t="s">
        <v>4114</v>
      </c>
      <c r="W332" t="s">
        <v>4133</v>
      </c>
      <c r="X332" t="s">
        <v>2494</v>
      </c>
      <c r="Y332" t="s">
        <v>4116</v>
      </c>
    </row>
    <row r="333" spans="1:25" x14ac:dyDescent="0.25">
      <c r="A333">
        <v>332</v>
      </c>
      <c r="B333">
        <v>53078860</v>
      </c>
      <c r="C333" t="s">
        <v>3336</v>
      </c>
      <c r="D333" t="s">
        <v>835</v>
      </c>
      <c r="E333" t="s">
        <v>530</v>
      </c>
      <c r="F333" t="s">
        <v>531</v>
      </c>
      <c r="H333" t="s">
        <v>3337</v>
      </c>
      <c r="I333" t="s">
        <v>2933</v>
      </c>
      <c r="J333" t="s">
        <v>1759</v>
      </c>
      <c r="K333" t="s">
        <v>2488</v>
      </c>
      <c r="L333">
        <v>528</v>
      </c>
      <c r="P333" t="s">
        <v>2494</v>
      </c>
      <c r="Q333">
        <v>2020</v>
      </c>
      <c r="R333">
        <v>2019</v>
      </c>
      <c r="S333" s="1">
        <v>45039</v>
      </c>
      <c r="T333" s="1">
        <v>45035</v>
      </c>
      <c r="U333" t="s">
        <v>4136</v>
      </c>
      <c r="V333" t="s">
        <v>4114</v>
      </c>
      <c r="W333" t="s">
        <v>4121</v>
      </c>
      <c r="X333" t="s">
        <v>2603</v>
      </c>
      <c r="Y333" t="s">
        <v>4116</v>
      </c>
    </row>
    <row r="334" spans="1:25" x14ac:dyDescent="0.25">
      <c r="A334">
        <v>333</v>
      </c>
      <c r="B334">
        <v>60054880</v>
      </c>
      <c r="C334" t="s">
        <v>836</v>
      </c>
      <c r="D334" t="s">
        <v>17</v>
      </c>
      <c r="E334" t="s">
        <v>837</v>
      </c>
      <c r="F334" t="s">
        <v>838</v>
      </c>
      <c r="G334" t="s">
        <v>2630</v>
      </c>
      <c r="H334" t="s">
        <v>3338</v>
      </c>
      <c r="I334" t="s">
        <v>2901</v>
      </c>
      <c r="J334" t="s">
        <v>1919</v>
      </c>
      <c r="K334" t="s">
        <v>112</v>
      </c>
      <c r="L334">
        <v>352</v>
      </c>
      <c r="M334">
        <v>0.57708333333333328</v>
      </c>
      <c r="N334">
        <v>13.849999999999998</v>
      </c>
      <c r="O334" t="s">
        <v>4035</v>
      </c>
      <c r="P334" t="s">
        <v>2486</v>
      </c>
      <c r="Q334">
        <v>2023</v>
      </c>
      <c r="R334">
        <v>2019</v>
      </c>
      <c r="S334" s="1">
        <v>45036</v>
      </c>
      <c r="T334" s="1">
        <v>45023</v>
      </c>
      <c r="U334" t="s">
        <v>4155</v>
      </c>
      <c r="V334" t="s">
        <v>4131</v>
      </c>
      <c r="W334" t="s">
        <v>4121</v>
      </c>
      <c r="X334" t="s">
        <v>2603</v>
      </c>
      <c r="Y334" t="s">
        <v>4116</v>
      </c>
    </row>
    <row r="335" spans="1:25" x14ac:dyDescent="0.25">
      <c r="A335">
        <v>334</v>
      </c>
      <c r="B335">
        <v>45286241</v>
      </c>
      <c r="C335" t="s">
        <v>3339</v>
      </c>
      <c r="D335" t="s">
        <v>840</v>
      </c>
      <c r="E335" t="s">
        <v>530</v>
      </c>
      <c r="F335" t="s">
        <v>531</v>
      </c>
      <c r="H335" t="s">
        <v>3340</v>
      </c>
      <c r="I335" t="s">
        <v>2901</v>
      </c>
      <c r="J335" t="s">
        <v>2047</v>
      </c>
      <c r="K335" t="s">
        <v>2488</v>
      </c>
      <c r="L335">
        <v>440</v>
      </c>
      <c r="P335" t="s">
        <v>2494</v>
      </c>
      <c r="Q335">
        <v>2019</v>
      </c>
      <c r="R335">
        <v>2018</v>
      </c>
      <c r="S335" s="1">
        <v>45034</v>
      </c>
      <c r="T335" s="1">
        <v>45017</v>
      </c>
      <c r="U335" t="s">
        <v>4136</v>
      </c>
      <c r="V335" t="s">
        <v>4114</v>
      </c>
      <c r="W335" t="s">
        <v>4121</v>
      </c>
      <c r="X335" t="s">
        <v>2603</v>
      </c>
      <c r="Y335" t="s">
        <v>4116</v>
      </c>
    </row>
    <row r="336" spans="1:25" x14ac:dyDescent="0.25">
      <c r="A336">
        <v>335</v>
      </c>
      <c r="B336">
        <v>11279216</v>
      </c>
      <c r="C336" t="s">
        <v>3341</v>
      </c>
      <c r="D336" t="s">
        <v>842</v>
      </c>
      <c r="E336" t="s">
        <v>843</v>
      </c>
      <c r="F336" t="s">
        <v>844</v>
      </c>
      <c r="H336" t="s">
        <v>3342</v>
      </c>
      <c r="I336" t="s">
        <v>2917</v>
      </c>
      <c r="J336" t="s">
        <v>1668</v>
      </c>
      <c r="K336" t="s">
        <v>2488</v>
      </c>
      <c r="L336">
        <v>401</v>
      </c>
      <c r="P336" t="s">
        <v>2494</v>
      </c>
      <c r="Q336">
        <v>2002</v>
      </c>
      <c r="R336">
        <v>1998</v>
      </c>
      <c r="S336" s="1">
        <v>45033</v>
      </c>
      <c r="T336" s="1">
        <v>45030</v>
      </c>
      <c r="U336" t="s">
        <v>4129</v>
      </c>
      <c r="V336" t="s">
        <v>4114</v>
      </c>
      <c r="W336" t="s">
        <v>4121</v>
      </c>
      <c r="X336" t="s">
        <v>2603</v>
      </c>
      <c r="Y336" t="s">
        <v>4116</v>
      </c>
    </row>
    <row r="337" spans="1:25" x14ac:dyDescent="0.25">
      <c r="A337">
        <v>336</v>
      </c>
      <c r="B337">
        <v>33022148</v>
      </c>
      <c r="C337" t="s">
        <v>3343</v>
      </c>
      <c r="D337" t="s">
        <v>846</v>
      </c>
      <c r="E337" t="s">
        <v>608</v>
      </c>
      <c r="F337" t="s">
        <v>609</v>
      </c>
      <c r="G337" t="s">
        <v>2555</v>
      </c>
      <c r="H337" t="s">
        <v>3344</v>
      </c>
      <c r="I337" t="s">
        <v>2917</v>
      </c>
      <c r="J337" t="s">
        <v>1939</v>
      </c>
      <c r="K337" t="s">
        <v>112</v>
      </c>
      <c r="L337">
        <v>320</v>
      </c>
      <c r="M337">
        <v>0.35833333333333334</v>
      </c>
      <c r="N337">
        <v>8.6</v>
      </c>
      <c r="O337" t="s">
        <v>4009</v>
      </c>
      <c r="P337" t="s">
        <v>2486</v>
      </c>
      <c r="Q337">
        <v>2018</v>
      </c>
      <c r="R337">
        <v>2016</v>
      </c>
      <c r="S337" s="1">
        <v>45032</v>
      </c>
      <c r="T337" s="1">
        <v>45029</v>
      </c>
      <c r="U337" t="s">
        <v>4113</v>
      </c>
      <c r="V337" t="s">
        <v>4114</v>
      </c>
      <c r="W337" t="s">
        <v>4148</v>
      </c>
      <c r="X337" t="s">
        <v>2486</v>
      </c>
      <c r="Y337" t="s">
        <v>4116</v>
      </c>
    </row>
    <row r="338" spans="1:25" x14ac:dyDescent="0.25">
      <c r="A338">
        <v>337</v>
      </c>
      <c r="B338">
        <v>19545736</v>
      </c>
      <c r="C338" t="s">
        <v>3345</v>
      </c>
      <c r="D338" t="s">
        <v>848</v>
      </c>
      <c r="E338" t="s">
        <v>849</v>
      </c>
      <c r="F338" t="s">
        <v>850</v>
      </c>
      <c r="G338" t="s">
        <v>2680</v>
      </c>
      <c r="H338" t="s">
        <v>3346</v>
      </c>
      <c r="I338" t="s">
        <v>2890</v>
      </c>
      <c r="J338" t="s">
        <v>2658</v>
      </c>
      <c r="K338" t="s">
        <v>112</v>
      </c>
      <c r="L338">
        <v>280</v>
      </c>
      <c r="M338">
        <v>0.37013888888888891</v>
      </c>
      <c r="N338">
        <v>8.8833333333333329</v>
      </c>
      <c r="O338" t="s">
        <v>4036</v>
      </c>
      <c r="P338" t="s">
        <v>2486</v>
      </c>
      <c r="Q338">
        <v>2023</v>
      </c>
      <c r="R338">
        <v>2014</v>
      </c>
      <c r="S338" s="1">
        <v>45016</v>
      </c>
      <c r="T338" s="1">
        <v>45012</v>
      </c>
      <c r="U338" t="s">
        <v>4113</v>
      </c>
      <c r="V338" t="s">
        <v>4114</v>
      </c>
      <c r="W338" t="s">
        <v>4148</v>
      </c>
      <c r="X338" t="s">
        <v>2486</v>
      </c>
      <c r="Y338" t="s">
        <v>4116</v>
      </c>
    </row>
    <row r="339" spans="1:25" x14ac:dyDescent="0.25">
      <c r="A339">
        <v>338</v>
      </c>
      <c r="B339">
        <v>52693589</v>
      </c>
      <c r="C339" t="s">
        <v>851</v>
      </c>
      <c r="D339" t="s">
        <v>17</v>
      </c>
      <c r="E339" t="s">
        <v>35</v>
      </c>
      <c r="F339" t="s">
        <v>36</v>
      </c>
      <c r="G339" t="s">
        <v>2667</v>
      </c>
      <c r="H339" t="s">
        <v>3347</v>
      </c>
      <c r="I339" t="s">
        <v>2890</v>
      </c>
      <c r="J339" t="s">
        <v>1759</v>
      </c>
      <c r="K339" t="s">
        <v>112</v>
      </c>
      <c r="L339">
        <v>328</v>
      </c>
      <c r="M339">
        <v>0.45763888888888887</v>
      </c>
      <c r="N339">
        <v>10.983333333333333</v>
      </c>
      <c r="O339" t="s">
        <v>4037</v>
      </c>
      <c r="P339" t="s">
        <v>2494</v>
      </c>
      <c r="Q339">
        <v>2021</v>
      </c>
      <c r="R339">
        <v>2019</v>
      </c>
      <c r="S339" s="1">
        <v>45015</v>
      </c>
      <c r="T339" s="1">
        <v>44982</v>
      </c>
      <c r="U339" t="s">
        <v>4117</v>
      </c>
      <c r="V339" t="s">
        <v>4114</v>
      </c>
      <c r="W339" t="s">
        <v>4118</v>
      </c>
      <c r="X339" t="s">
        <v>4119</v>
      </c>
      <c r="Y339" t="s">
        <v>4125</v>
      </c>
    </row>
    <row r="340" spans="1:25" x14ac:dyDescent="0.25">
      <c r="A340">
        <v>339</v>
      </c>
      <c r="B340">
        <v>39204543</v>
      </c>
      <c r="C340" t="s">
        <v>3348</v>
      </c>
      <c r="D340" t="s">
        <v>853</v>
      </c>
      <c r="E340" t="s">
        <v>530</v>
      </c>
      <c r="F340" t="s">
        <v>531</v>
      </c>
      <c r="H340" t="s">
        <v>3349</v>
      </c>
      <c r="I340" t="s">
        <v>2901</v>
      </c>
      <c r="J340" t="s">
        <v>2047</v>
      </c>
      <c r="K340" t="s">
        <v>2488</v>
      </c>
      <c r="L340">
        <v>384</v>
      </c>
      <c r="P340" t="s">
        <v>2494</v>
      </c>
      <c r="Q340">
        <v>2018</v>
      </c>
      <c r="R340">
        <v>2016</v>
      </c>
      <c r="S340" s="1">
        <v>45015</v>
      </c>
      <c r="T340" s="1">
        <v>45005</v>
      </c>
      <c r="U340" t="s">
        <v>4136</v>
      </c>
      <c r="V340" t="s">
        <v>4114</v>
      </c>
      <c r="W340" t="s">
        <v>4121</v>
      </c>
      <c r="X340" t="s">
        <v>2603</v>
      </c>
      <c r="Y340" t="s">
        <v>4116</v>
      </c>
    </row>
    <row r="341" spans="1:25" x14ac:dyDescent="0.25">
      <c r="A341">
        <v>340</v>
      </c>
      <c r="B341">
        <v>52078702</v>
      </c>
      <c r="C341" t="s">
        <v>854</v>
      </c>
      <c r="D341" t="s">
        <v>17</v>
      </c>
      <c r="E341" t="s">
        <v>290</v>
      </c>
      <c r="F341" t="s">
        <v>291</v>
      </c>
      <c r="G341" t="s">
        <v>2681</v>
      </c>
      <c r="H341" t="s">
        <v>3350</v>
      </c>
      <c r="I341" t="s">
        <v>2890</v>
      </c>
      <c r="J341" t="s">
        <v>2682</v>
      </c>
      <c r="K341" t="s">
        <v>112</v>
      </c>
      <c r="L341">
        <v>223</v>
      </c>
      <c r="M341">
        <v>0.37291666666666667</v>
      </c>
      <c r="N341">
        <v>8.9499999999999993</v>
      </c>
      <c r="O341" t="s">
        <v>4038</v>
      </c>
      <c r="P341" t="s">
        <v>2486</v>
      </c>
      <c r="Q341">
        <v>2020</v>
      </c>
      <c r="R341">
        <v>2020</v>
      </c>
      <c r="S341" s="1">
        <v>44696</v>
      </c>
      <c r="T341" s="1">
        <v>44646</v>
      </c>
      <c r="U341" t="s">
        <v>4130</v>
      </c>
      <c r="V341" t="s">
        <v>4131</v>
      </c>
      <c r="W341" t="s">
        <v>4148</v>
      </c>
      <c r="X341" t="s">
        <v>2486</v>
      </c>
      <c r="Y341" t="s">
        <v>4116</v>
      </c>
    </row>
    <row r="342" spans="1:25" x14ac:dyDescent="0.25">
      <c r="A342">
        <v>341</v>
      </c>
      <c r="B342">
        <v>26122202</v>
      </c>
      <c r="C342" t="s">
        <v>855</v>
      </c>
      <c r="D342" t="s">
        <v>17</v>
      </c>
      <c r="E342" t="s">
        <v>856</v>
      </c>
      <c r="F342" t="s">
        <v>857</v>
      </c>
      <c r="H342" t="s">
        <v>3351</v>
      </c>
      <c r="I342" t="s">
        <v>2901</v>
      </c>
      <c r="J342" t="s">
        <v>2054</v>
      </c>
      <c r="K342" t="s">
        <v>57</v>
      </c>
      <c r="L342">
        <v>312</v>
      </c>
      <c r="P342" t="s">
        <v>2486</v>
      </c>
      <c r="Q342">
        <v>2015</v>
      </c>
      <c r="R342">
        <v>1988</v>
      </c>
      <c r="S342" s="1">
        <v>45011</v>
      </c>
      <c r="T342" s="1">
        <v>44932</v>
      </c>
      <c r="U342" t="s">
        <v>4113</v>
      </c>
      <c r="V342" t="s">
        <v>4114</v>
      </c>
      <c r="W342" t="s">
        <v>4150</v>
      </c>
      <c r="X342" t="s">
        <v>4151</v>
      </c>
      <c r="Y342" t="s">
        <v>4116</v>
      </c>
    </row>
    <row r="343" spans="1:25" x14ac:dyDescent="0.25">
      <c r="A343">
        <v>342</v>
      </c>
      <c r="B343">
        <v>37796866</v>
      </c>
      <c r="C343" t="s">
        <v>858</v>
      </c>
      <c r="D343" t="s">
        <v>17</v>
      </c>
      <c r="E343" t="s">
        <v>859</v>
      </c>
      <c r="F343" t="s">
        <v>860</v>
      </c>
      <c r="H343" t="s">
        <v>3352</v>
      </c>
      <c r="I343" t="s">
        <v>2901</v>
      </c>
      <c r="J343" t="s">
        <v>2056</v>
      </c>
      <c r="K343" t="s">
        <v>57</v>
      </c>
      <c r="L343">
        <v>336</v>
      </c>
      <c r="P343" t="s">
        <v>2486</v>
      </c>
      <c r="Q343">
        <v>2018</v>
      </c>
      <c r="R343">
        <v>2018</v>
      </c>
      <c r="S343" s="1">
        <v>45009</v>
      </c>
      <c r="T343" s="1">
        <v>45003</v>
      </c>
      <c r="U343" t="s">
        <v>4113</v>
      </c>
      <c r="V343" t="s">
        <v>4114</v>
      </c>
      <c r="W343" t="s">
        <v>4121</v>
      </c>
      <c r="X343" t="s">
        <v>2603</v>
      </c>
      <c r="Y343" t="s">
        <v>4125</v>
      </c>
    </row>
    <row r="344" spans="1:25" x14ac:dyDescent="0.25">
      <c r="A344">
        <v>343</v>
      </c>
      <c r="B344">
        <v>34998833</v>
      </c>
      <c r="C344" t="s">
        <v>861</v>
      </c>
      <c r="D344" t="s">
        <v>17</v>
      </c>
      <c r="E344" t="s">
        <v>224</v>
      </c>
      <c r="F344" t="s">
        <v>225</v>
      </c>
      <c r="G344" t="s">
        <v>2683</v>
      </c>
      <c r="H344" t="s">
        <v>3353</v>
      </c>
      <c r="I344" t="s">
        <v>2890</v>
      </c>
      <c r="J344" t="s">
        <v>2492</v>
      </c>
      <c r="K344" t="s">
        <v>112</v>
      </c>
      <c r="L344">
        <v>414</v>
      </c>
      <c r="M344">
        <v>0.40138888888888891</v>
      </c>
      <c r="N344">
        <v>9.6333333333333329</v>
      </c>
      <c r="O344" t="s">
        <v>4039</v>
      </c>
      <c r="P344" t="s">
        <v>2486</v>
      </c>
      <c r="Q344">
        <v>2017</v>
      </c>
      <c r="R344">
        <v>2017</v>
      </c>
      <c r="S344" s="1">
        <v>45008</v>
      </c>
      <c r="T344" s="1">
        <v>45006</v>
      </c>
      <c r="U344" t="s">
        <v>4129</v>
      </c>
      <c r="V344" t="s">
        <v>4114</v>
      </c>
      <c r="W344" t="s">
        <v>4115</v>
      </c>
      <c r="X344" t="s">
        <v>2603</v>
      </c>
      <c r="Y344" t="s">
        <v>4125</v>
      </c>
    </row>
    <row r="345" spans="1:25" x14ac:dyDescent="0.25">
      <c r="A345">
        <v>344</v>
      </c>
      <c r="B345">
        <v>60566173</v>
      </c>
      <c r="C345" t="s">
        <v>862</v>
      </c>
      <c r="D345" t="s">
        <v>17</v>
      </c>
      <c r="E345" t="s">
        <v>302</v>
      </c>
      <c r="F345" t="s">
        <v>303</v>
      </c>
      <c r="H345" t="s">
        <v>3354</v>
      </c>
      <c r="I345" t="s">
        <v>2890</v>
      </c>
      <c r="J345" t="s">
        <v>1723</v>
      </c>
      <c r="K345" t="s">
        <v>2488</v>
      </c>
      <c r="L345">
        <v>744</v>
      </c>
      <c r="P345" t="s">
        <v>2494</v>
      </c>
      <c r="Q345">
        <v>2022</v>
      </c>
      <c r="R345">
        <v>2021</v>
      </c>
      <c r="S345" s="1">
        <v>45006</v>
      </c>
      <c r="T345" s="1">
        <v>45002</v>
      </c>
      <c r="U345" t="s">
        <v>4138</v>
      </c>
      <c r="V345" t="s">
        <v>4114</v>
      </c>
      <c r="W345" t="s">
        <v>4115</v>
      </c>
      <c r="X345" t="s">
        <v>2603</v>
      </c>
      <c r="Y345" t="s">
        <v>4116</v>
      </c>
    </row>
    <row r="346" spans="1:25" x14ac:dyDescent="0.25">
      <c r="A346">
        <v>345</v>
      </c>
      <c r="B346">
        <v>52144720</v>
      </c>
      <c r="C346" t="s">
        <v>863</v>
      </c>
      <c r="D346" t="s">
        <v>17</v>
      </c>
      <c r="E346" t="s">
        <v>864</v>
      </c>
      <c r="F346" t="s">
        <v>865</v>
      </c>
      <c r="G346" t="s">
        <v>2684</v>
      </c>
      <c r="H346" t="s">
        <v>3355</v>
      </c>
      <c r="I346" t="s">
        <v>2890</v>
      </c>
      <c r="J346" t="s">
        <v>1675</v>
      </c>
      <c r="K346" t="s">
        <v>112</v>
      </c>
      <c r="L346">
        <v>376</v>
      </c>
      <c r="M346">
        <v>0.50486111111111109</v>
      </c>
      <c r="N346">
        <v>12.116666666666667</v>
      </c>
      <c r="O346" t="s">
        <v>4040</v>
      </c>
      <c r="P346" t="s">
        <v>2486</v>
      </c>
      <c r="Q346">
        <v>2018</v>
      </c>
      <c r="R346">
        <v>2018</v>
      </c>
      <c r="S346" s="1">
        <v>45005</v>
      </c>
      <c r="T346" s="1">
        <v>45000</v>
      </c>
      <c r="U346" t="s">
        <v>4129</v>
      </c>
      <c r="V346" t="s">
        <v>4114</v>
      </c>
      <c r="W346" t="s">
        <v>4121</v>
      </c>
      <c r="X346" t="s">
        <v>2603</v>
      </c>
      <c r="Y346" t="s">
        <v>4125</v>
      </c>
    </row>
    <row r="347" spans="1:25" x14ac:dyDescent="0.25">
      <c r="A347">
        <v>346</v>
      </c>
      <c r="B347">
        <v>31790529</v>
      </c>
      <c r="C347" t="s">
        <v>2685</v>
      </c>
      <c r="D347" t="s">
        <v>17</v>
      </c>
      <c r="E347" t="s">
        <v>170</v>
      </c>
      <c r="F347" t="s">
        <v>171</v>
      </c>
      <c r="H347" t="s">
        <v>3356</v>
      </c>
      <c r="I347" t="s">
        <v>2890</v>
      </c>
      <c r="J347" t="s">
        <v>2686</v>
      </c>
      <c r="K347" t="s">
        <v>57</v>
      </c>
      <c r="L347">
        <v>648</v>
      </c>
      <c r="P347" t="s">
        <v>2486</v>
      </c>
      <c r="Q347">
        <v>2019</v>
      </c>
      <c r="R347">
        <v>2016</v>
      </c>
      <c r="S347" s="1">
        <v>45004</v>
      </c>
      <c r="T347" s="1">
        <v>45000</v>
      </c>
      <c r="U347" t="s">
        <v>4129</v>
      </c>
      <c r="V347" t="s">
        <v>4114</v>
      </c>
      <c r="W347" t="s">
        <v>4144</v>
      </c>
      <c r="X347" t="s">
        <v>4124</v>
      </c>
      <c r="Y347" t="s">
        <v>4116</v>
      </c>
    </row>
    <row r="348" spans="1:25" x14ac:dyDescent="0.25">
      <c r="A348">
        <v>347</v>
      </c>
      <c r="B348">
        <v>40596733</v>
      </c>
      <c r="C348" t="s">
        <v>866</v>
      </c>
      <c r="D348" t="s">
        <v>17</v>
      </c>
      <c r="E348" t="s">
        <v>867</v>
      </c>
      <c r="F348" t="s">
        <v>868</v>
      </c>
      <c r="H348" t="s">
        <v>3357</v>
      </c>
      <c r="I348" t="s">
        <v>2917</v>
      </c>
      <c r="J348" t="s">
        <v>2687</v>
      </c>
      <c r="K348" t="s">
        <v>2488</v>
      </c>
      <c r="L348">
        <v>336</v>
      </c>
      <c r="P348" t="s">
        <v>2494</v>
      </c>
      <c r="Q348">
        <v>2018</v>
      </c>
      <c r="R348">
        <v>2016</v>
      </c>
      <c r="S348" s="1">
        <v>44998</v>
      </c>
      <c r="T348" s="1">
        <v>44993</v>
      </c>
      <c r="U348" t="s">
        <v>4126</v>
      </c>
      <c r="V348" t="s">
        <v>4114</v>
      </c>
      <c r="W348" t="s">
        <v>4121</v>
      </c>
      <c r="X348" t="s">
        <v>2603</v>
      </c>
      <c r="Y348" t="s">
        <v>4116</v>
      </c>
    </row>
    <row r="349" spans="1:25" x14ac:dyDescent="0.25">
      <c r="A349">
        <v>348</v>
      </c>
      <c r="B349">
        <v>43166193</v>
      </c>
      <c r="C349" t="s">
        <v>873</v>
      </c>
      <c r="D349" t="s">
        <v>17</v>
      </c>
      <c r="E349" t="s">
        <v>869</v>
      </c>
      <c r="F349" t="s">
        <v>870</v>
      </c>
      <c r="H349" t="s">
        <v>3358</v>
      </c>
      <c r="I349" t="s">
        <v>2933</v>
      </c>
      <c r="J349" t="s">
        <v>1770</v>
      </c>
      <c r="K349" t="s">
        <v>2488</v>
      </c>
      <c r="L349">
        <v>144</v>
      </c>
      <c r="P349" t="s">
        <v>2494</v>
      </c>
      <c r="Q349">
        <v>2018</v>
      </c>
      <c r="R349">
        <v>2017</v>
      </c>
      <c r="S349" s="1">
        <v>44992</v>
      </c>
      <c r="T349" s="1">
        <v>44992</v>
      </c>
      <c r="U349" t="s">
        <v>4113</v>
      </c>
      <c r="V349" t="s">
        <v>4114</v>
      </c>
      <c r="W349" t="s">
        <v>4118</v>
      </c>
      <c r="X349" t="s">
        <v>4119</v>
      </c>
      <c r="Y349" t="s">
        <v>4116</v>
      </c>
    </row>
    <row r="350" spans="1:25" x14ac:dyDescent="0.25">
      <c r="A350">
        <v>349</v>
      </c>
      <c r="B350">
        <v>18220067</v>
      </c>
      <c r="C350" t="s">
        <v>874</v>
      </c>
      <c r="D350" t="s">
        <v>17</v>
      </c>
      <c r="E350" t="s">
        <v>875</v>
      </c>
      <c r="F350" t="s">
        <v>876</v>
      </c>
      <c r="H350" t="s">
        <v>3359</v>
      </c>
      <c r="I350" t="s">
        <v>3006</v>
      </c>
      <c r="J350" t="s">
        <v>2687</v>
      </c>
      <c r="K350" t="s">
        <v>2488</v>
      </c>
      <c r="L350">
        <v>224</v>
      </c>
      <c r="P350" t="s">
        <v>2494</v>
      </c>
      <c r="Q350">
        <v>2019</v>
      </c>
      <c r="R350">
        <v>1965</v>
      </c>
      <c r="S350" s="1">
        <v>44992</v>
      </c>
      <c r="T350" s="1">
        <v>44987</v>
      </c>
      <c r="U350" t="s">
        <v>4126</v>
      </c>
      <c r="V350" t="s">
        <v>4114</v>
      </c>
      <c r="W350" t="s">
        <v>4121</v>
      </c>
      <c r="X350" t="s">
        <v>2603</v>
      </c>
      <c r="Y350" t="s">
        <v>4116</v>
      </c>
    </row>
    <row r="351" spans="1:25" x14ac:dyDescent="0.25">
      <c r="A351">
        <v>350</v>
      </c>
      <c r="B351">
        <v>52748829</v>
      </c>
      <c r="C351" t="s">
        <v>877</v>
      </c>
      <c r="D351" t="s">
        <v>17</v>
      </c>
      <c r="E351" t="s">
        <v>616</v>
      </c>
      <c r="F351" t="s">
        <v>617</v>
      </c>
      <c r="H351" t="s">
        <v>3360</v>
      </c>
      <c r="I351" t="s">
        <v>2890</v>
      </c>
      <c r="J351" t="s">
        <v>1723</v>
      </c>
      <c r="K351" t="s">
        <v>2488</v>
      </c>
      <c r="L351">
        <v>304</v>
      </c>
      <c r="P351" t="s">
        <v>2494</v>
      </c>
      <c r="Q351">
        <v>2019</v>
      </c>
      <c r="R351">
        <v>2017</v>
      </c>
      <c r="S351" s="1">
        <v>44991</v>
      </c>
      <c r="T351" s="1">
        <v>44985</v>
      </c>
      <c r="U351" t="s">
        <v>4129</v>
      </c>
      <c r="V351" t="s">
        <v>4114</v>
      </c>
      <c r="W351" t="s">
        <v>4115</v>
      </c>
      <c r="X351" t="s">
        <v>2603</v>
      </c>
      <c r="Y351" t="s">
        <v>4125</v>
      </c>
    </row>
    <row r="352" spans="1:25" x14ac:dyDescent="0.25">
      <c r="A352">
        <v>351</v>
      </c>
      <c r="B352">
        <v>31946632</v>
      </c>
      <c r="C352" t="s">
        <v>3361</v>
      </c>
      <c r="D352" t="s">
        <v>879</v>
      </c>
      <c r="E352" t="s">
        <v>302</v>
      </c>
      <c r="F352" t="s">
        <v>303</v>
      </c>
      <c r="H352" t="s">
        <v>3362</v>
      </c>
      <c r="I352" t="s">
        <v>2901</v>
      </c>
      <c r="J352" t="s">
        <v>1723</v>
      </c>
      <c r="K352" t="s">
        <v>57</v>
      </c>
      <c r="L352">
        <v>1022</v>
      </c>
      <c r="P352" t="s">
        <v>2486</v>
      </c>
      <c r="Q352">
        <v>2011</v>
      </c>
      <c r="R352">
        <v>2007</v>
      </c>
      <c r="S352" s="1">
        <v>44991</v>
      </c>
      <c r="T352" s="1">
        <v>44936</v>
      </c>
      <c r="U352" t="s">
        <v>4138</v>
      </c>
      <c r="V352" t="s">
        <v>4114</v>
      </c>
      <c r="W352" t="s">
        <v>4115</v>
      </c>
      <c r="X352" t="s">
        <v>2603</v>
      </c>
      <c r="Y352" t="s">
        <v>4116</v>
      </c>
    </row>
    <row r="353" spans="1:25" x14ac:dyDescent="0.25">
      <c r="A353">
        <v>352</v>
      </c>
      <c r="B353">
        <v>43687455</v>
      </c>
      <c r="C353" t="s">
        <v>880</v>
      </c>
      <c r="D353" t="s">
        <v>17</v>
      </c>
      <c r="E353" t="s">
        <v>881</v>
      </c>
      <c r="F353" t="s">
        <v>882</v>
      </c>
      <c r="H353" t="s">
        <v>3363</v>
      </c>
      <c r="I353" t="s">
        <v>2890</v>
      </c>
      <c r="J353" t="s">
        <v>1668</v>
      </c>
      <c r="K353" t="s">
        <v>2488</v>
      </c>
      <c r="L353">
        <v>392</v>
      </c>
      <c r="P353" t="s">
        <v>2494</v>
      </c>
      <c r="Q353">
        <v>2019</v>
      </c>
      <c r="R353">
        <v>2018</v>
      </c>
      <c r="S353" s="1">
        <v>44989</v>
      </c>
      <c r="T353" s="1">
        <v>44987</v>
      </c>
      <c r="U353" t="s">
        <v>4129</v>
      </c>
      <c r="V353" t="s">
        <v>4114</v>
      </c>
      <c r="W353" t="s">
        <v>4115</v>
      </c>
      <c r="X353" t="s">
        <v>2603</v>
      </c>
      <c r="Y353" t="s">
        <v>4125</v>
      </c>
    </row>
    <row r="354" spans="1:25" x14ac:dyDescent="0.25">
      <c r="A354">
        <v>353</v>
      </c>
      <c r="B354">
        <v>12275939</v>
      </c>
      <c r="C354" t="s">
        <v>883</v>
      </c>
      <c r="D354" t="s">
        <v>2688</v>
      </c>
      <c r="E354" t="s">
        <v>215</v>
      </c>
      <c r="F354" t="s">
        <v>216</v>
      </c>
      <c r="G354" t="s">
        <v>2531</v>
      </c>
      <c r="H354" t="s">
        <v>3364</v>
      </c>
      <c r="I354" t="s">
        <v>2890</v>
      </c>
      <c r="J354" t="s">
        <v>2532</v>
      </c>
      <c r="K354" t="s">
        <v>112</v>
      </c>
      <c r="L354">
        <v>400</v>
      </c>
      <c r="M354">
        <v>0.67222222222222228</v>
      </c>
      <c r="N354">
        <v>16.133333333333333</v>
      </c>
      <c r="O354" t="s">
        <v>4041</v>
      </c>
      <c r="P354" t="s">
        <v>2494</v>
      </c>
      <c r="Q354">
        <v>2023</v>
      </c>
      <c r="R354">
        <v>2007</v>
      </c>
      <c r="S354" s="1">
        <v>44985</v>
      </c>
      <c r="T354" s="1">
        <v>44979</v>
      </c>
      <c r="U354" t="s">
        <v>4117</v>
      </c>
      <c r="V354" t="s">
        <v>4114</v>
      </c>
      <c r="W354" t="s">
        <v>4133</v>
      </c>
      <c r="X354" t="s">
        <v>2494</v>
      </c>
      <c r="Y354" t="s">
        <v>4116</v>
      </c>
    </row>
    <row r="355" spans="1:25" x14ac:dyDescent="0.25">
      <c r="A355">
        <v>354</v>
      </c>
      <c r="B355">
        <v>61682979</v>
      </c>
      <c r="C355" t="s">
        <v>884</v>
      </c>
      <c r="D355" t="s">
        <v>17</v>
      </c>
      <c r="E355" t="s">
        <v>616</v>
      </c>
      <c r="F355" t="s">
        <v>617</v>
      </c>
      <c r="H355" t="s">
        <v>3365</v>
      </c>
      <c r="I355" t="s">
        <v>2901</v>
      </c>
      <c r="J355" t="s">
        <v>1723</v>
      </c>
      <c r="K355" t="s">
        <v>2488</v>
      </c>
      <c r="L355">
        <v>400</v>
      </c>
      <c r="P355" t="s">
        <v>2494</v>
      </c>
      <c r="Q355">
        <v>2022</v>
      </c>
      <c r="R355">
        <v>2021</v>
      </c>
      <c r="S355" s="1">
        <v>44985</v>
      </c>
      <c r="T355" s="1">
        <v>44981</v>
      </c>
      <c r="U355" t="s">
        <v>4129</v>
      </c>
      <c r="V355" t="s">
        <v>4114</v>
      </c>
      <c r="W355" t="s">
        <v>4115</v>
      </c>
      <c r="X355" t="s">
        <v>2603</v>
      </c>
      <c r="Y355" t="s">
        <v>4125</v>
      </c>
    </row>
    <row r="356" spans="1:25" x14ac:dyDescent="0.25">
      <c r="A356">
        <v>355</v>
      </c>
      <c r="B356">
        <v>53244120</v>
      </c>
      <c r="C356" t="s">
        <v>885</v>
      </c>
      <c r="D356" t="s">
        <v>17</v>
      </c>
      <c r="E356" t="s">
        <v>886</v>
      </c>
      <c r="F356" t="s">
        <v>887</v>
      </c>
      <c r="H356" t="s">
        <v>3366</v>
      </c>
      <c r="I356" t="s">
        <v>2901</v>
      </c>
      <c r="J356" t="s">
        <v>1673</v>
      </c>
      <c r="K356" t="s">
        <v>2488</v>
      </c>
      <c r="L356">
        <v>424</v>
      </c>
      <c r="P356" t="s">
        <v>2494</v>
      </c>
      <c r="Q356">
        <v>2020</v>
      </c>
      <c r="R356">
        <v>2019</v>
      </c>
      <c r="S356" s="1">
        <v>44981</v>
      </c>
      <c r="T356" s="1">
        <v>44977</v>
      </c>
      <c r="U356" t="s">
        <v>4149</v>
      </c>
      <c r="V356" t="s">
        <v>4114</v>
      </c>
      <c r="W356" t="s">
        <v>4123</v>
      </c>
      <c r="X356" t="s">
        <v>4124</v>
      </c>
      <c r="Y356" t="s">
        <v>4125</v>
      </c>
    </row>
    <row r="357" spans="1:25" x14ac:dyDescent="0.25">
      <c r="A357">
        <v>356</v>
      </c>
      <c r="B357">
        <v>33359969</v>
      </c>
      <c r="C357" t="s">
        <v>888</v>
      </c>
      <c r="D357" t="s">
        <v>17</v>
      </c>
      <c r="E357" t="s">
        <v>889</v>
      </c>
      <c r="F357" t="s">
        <v>890</v>
      </c>
      <c r="G357" t="s">
        <v>2689</v>
      </c>
      <c r="H357" t="s">
        <v>3367</v>
      </c>
      <c r="I357" t="s">
        <v>2901</v>
      </c>
      <c r="J357" t="s">
        <v>2690</v>
      </c>
      <c r="K357" t="s">
        <v>112</v>
      </c>
      <c r="L357">
        <v>296</v>
      </c>
      <c r="P357" t="s">
        <v>2486</v>
      </c>
      <c r="Q357">
        <v>2017</v>
      </c>
      <c r="R357">
        <v>2012</v>
      </c>
      <c r="S357" s="1">
        <v>44975</v>
      </c>
      <c r="T357" s="1">
        <v>44970</v>
      </c>
      <c r="U357" t="s">
        <v>4130</v>
      </c>
      <c r="V357" t="s">
        <v>4131</v>
      </c>
      <c r="W357" t="s">
        <v>4121</v>
      </c>
      <c r="X357" t="s">
        <v>2603</v>
      </c>
      <c r="Y357" t="s">
        <v>4125</v>
      </c>
    </row>
    <row r="358" spans="1:25" x14ac:dyDescent="0.25">
      <c r="A358">
        <v>357</v>
      </c>
      <c r="B358">
        <v>19085317</v>
      </c>
      <c r="C358" t="s">
        <v>891</v>
      </c>
      <c r="D358" t="s">
        <v>17</v>
      </c>
      <c r="E358" t="s">
        <v>892</v>
      </c>
      <c r="F358" t="s">
        <v>893</v>
      </c>
      <c r="H358" t="s">
        <v>3368</v>
      </c>
      <c r="I358" t="s">
        <v>3006</v>
      </c>
      <c r="J358" t="s">
        <v>2071</v>
      </c>
      <c r="K358" t="s">
        <v>2488</v>
      </c>
      <c r="L358">
        <v>176</v>
      </c>
      <c r="P358" t="s">
        <v>2486</v>
      </c>
      <c r="Q358">
        <v>2007</v>
      </c>
      <c r="R358">
        <v>1975</v>
      </c>
      <c r="S358" s="1">
        <v>44974</v>
      </c>
      <c r="T358" s="1">
        <v>44966</v>
      </c>
      <c r="U358" t="s">
        <v>4140</v>
      </c>
      <c r="V358" t="s">
        <v>4131</v>
      </c>
      <c r="W358" t="s">
        <v>4121</v>
      </c>
      <c r="X358" t="s">
        <v>2603</v>
      </c>
      <c r="Y358" t="s">
        <v>4125</v>
      </c>
    </row>
    <row r="359" spans="1:25" x14ac:dyDescent="0.25">
      <c r="A359">
        <v>358</v>
      </c>
      <c r="B359">
        <v>10692648</v>
      </c>
      <c r="C359" t="s">
        <v>894</v>
      </c>
      <c r="D359" t="s">
        <v>2691</v>
      </c>
      <c r="E359" t="s">
        <v>215</v>
      </c>
      <c r="F359" t="s">
        <v>216</v>
      </c>
      <c r="G359" t="s">
        <v>2531</v>
      </c>
      <c r="H359" t="s">
        <v>3369</v>
      </c>
      <c r="I359" t="s">
        <v>2890</v>
      </c>
      <c r="J359" t="s">
        <v>2532</v>
      </c>
      <c r="K359" t="s">
        <v>112</v>
      </c>
      <c r="L359">
        <v>302</v>
      </c>
      <c r="M359">
        <v>0.49027777777777776</v>
      </c>
      <c r="N359">
        <v>11.766666666666666</v>
      </c>
      <c r="O359" t="s">
        <v>3914</v>
      </c>
      <c r="P359" t="s">
        <v>2494</v>
      </c>
      <c r="Q359">
        <v>2021</v>
      </c>
      <c r="R359">
        <v>2006</v>
      </c>
      <c r="S359" s="1">
        <v>44969</v>
      </c>
      <c r="T359" s="1">
        <v>44966</v>
      </c>
      <c r="U359" t="s">
        <v>4117</v>
      </c>
      <c r="V359" t="s">
        <v>4114</v>
      </c>
      <c r="W359" t="s">
        <v>4133</v>
      </c>
      <c r="X359" t="s">
        <v>2494</v>
      </c>
      <c r="Y359" t="s">
        <v>4116</v>
      </c>
    </row>
    <row r="360" spans="1:25" x14ac:dyDescent="0.25">
      <c r="A360">
        <v>359</v>
      </c>
      <c r="B360">
        <v>22079837</v>
      </c>
      <c r="C360" t="s">
        <v>3370</v>
      </c>
      <c r="D360" t="s">
        <v>896</v>
      </c>
      <c r="E360" t="s">
        <v>287</v>
      </c>
      <c r="F360" t="s">
        <v>288</v>
      </c>
      <c r="H360" t="s">
        <v>3371</v>
      </c>
      <c r="I360" t="s">
        <v>2901</v>
      </c>
      <c r="J360" t="s">
        <v>1668</v>
      </c>
      <c r="K360" t="s">
        <v>2488</v>
      </c>
      <c r="L360">
        <v>672</v>
      </c>
      <c r="P360" t="s">
        <v>2494</v>
      </c>
      <c r="Q360">
        <v>2014</v>
      </c>
      <c r="R360">
        <v>1977</v>
      </c>
      <c r="S360" s="1">
        <v>44969</v>
      </c>
      <c r="T360" s="1">
        <v>44959</v>
      </c>
      <c r="U360" t="s">
        <v>4132</v>
      </c>
      <c r="V360" t="s">
        <v>4114</v>
      </c>
      <c r="W360" t="s">
        <v>4121</v>
      </c>
      <c r="X360" t="s">
        <v>2603</v>
      </c>
      <c r="Y360" t="s">
        <v>4116</v>
      </c>
    </row>
    <row r="361" spans="1:25" x14ac:dyDescent="0.25">
      <c r="A361">
        <v>360</v>
      </c>
      <c r="B361">
        <v>10633907</v>
      </c>
      <c r="C361" t="s">
        <v>897</v>
      </c>
      <c r="D361" t="s">
        <v>2692</v>
      </c>
      <c r="E361" t="s">
        <v>215</v>
      </c>
      <c r="F361" t="s">
        <v>216</v>
      </c>
      <c r="G361" t="s">
        <v>2587</v>
      </c>
      <c r="H361" t="s">
        <v>3372</v>
      </c>
      <c r="I361" t="s">
        <v>2890</v>
      </c>
      <c r="J361" t="s">
        <v>2532</v>
      </c>
      <c r="K361" t="s">
        <v>112</v>
      </c>
      <c r="L361">
        <v>288</v>
      </c>
      <c r="M361">
        <v>0.47013888888888888</v>
      </c>
      <c r="N361">
        <v>11.283333333333333</v>
      </c>
      <c r="O361" t="s">
        <v>4042</v>
      </c>
      <c r="P361" t="s">
        <v>2494</v>
      </c>
      <c r="Q361">
        <v>2018</v>
      </c>
      <c r="R361">
        <v>2006</v>
      </c>
      <c r="S361" s="1">
        <v>44965</v>
      </c>
      <c r="T361" s="1">
        <v>44960</v>
      </c>
      <c r="U361" t="s">
        <v>4117</v>
      </c>
      <c r="V361" t="s">
        <v>4114</v>
      </c>
      <c r="W361" t="s">
        <v>4133</v>
      </c>
      <c r="X361" t="s">
        <v>2494</v>
      </c>
      <c r="Y361" t="s">
        <v>4116</v>
      </c>
    </row>
    <row r="362" spans="1:25" x14ac:dyDescent="0.25">
      <c r="A362">
        <v>361</v>
      </c>
      <c r="B362">
        <v>6616363</v>
      </c>
      <c r="C362" t="s">
        <v>898</v>
      </c>
      <c r="D362" t="s">
        <v>17</v>
      </c>
      <c r="E362" t="s">
        <v>899</v>
      </c>
      <c r="F362" t="s">
        <v>900</v>
      </c>
      <c r="H362" t="s">
        <v>3373</v>
      </c>
      <c r="I362" t="s">
        <v>2917</v>
      </c>
      <c r="J362" t="s">
        <v>2076</v>
      </c>
      <c r="K362" t="s">
        <v>57</v>
      </c>
      <c r="L362">
        <v>175</v>
      </c>
      <c r="P362" t="s">
        <v>2486</v>
      </c>
      <c r="Q362">
        <v>1992</v>
      </c>
      <c r="R362">
        <v>1896</v>
      </c>
      <c r="S362" s="1">
        <v>44960</v>
      </c>
      <c r="T362" s="1">
        <v>44955</v>
      </c>
      <c r="U362" t="s">
        <v>4113</v>
      </c>
      <c r="V362" t="s">
        <v>4114</v>
      </c>
      <c r="W362" t="s">
        <v>4115</v>
      </c>
      <c r="X362" t="s">
        <v>2603</v>
      </c>
      <c r="Y362" t="s">
        <v>4116</v>
      </c>
    </row>
    <row r="363" spans="1:25" x14ac:dyDescent="0.25">
      <c r="A363">
        <v>362</v>
      </c>
      <c r="B363">
        <v>56772854</v>
      </c>
      <c r="C363" t="s">
        <v>2693</v>
      </c>
      <c r="D363" t="s">
        <v>17</v>
      </c>
      <c r="E363" t="s">
        <v>901</v>
      </c>
      <c r="F363" t="s">
        <v>902</v>
      </c>
      <c r="H363" t="s">
        <v>3374</v>
      </c>
      <c r="I363" t="s">
        <v>2933</v>
      </c>
      <c r="J363" t="s">
        <v>1770</v>
      </c>
      <c r="K363" t="s">
        <v>2488</v>
      </c>
      <c r="L363">
        <v>464</v>
      </c>
      <c r="P363" t="s">
        <v>2494</v>
      </c>
      <c r="Q363">
        <v>2023</v>
      </c>
      <c r="R363">
        <v>2021</v>
      </c>
      <c r="S363" s="1">
        <v>44954</v>
      </c>
      <c r="T363" s="1">
        <v>44950</v>
      </c>
      <c r="U363" t="s">
        <v>4113</v>
      </c>
      <c r="V363" t="s">
        <v>4114</v>
      </c>
      <c r="W363" t="s">
        <v>4121</v>
      </c>
      <c r="X363" t="s">
        <v>2603</v>
      </c>
      <c r="Y363" t="s">
        <v>4116</v>
      </c>
    </row>
    <row r="364" spans="1:25" x14ac:dyDescent="0.25">
      <c r="A364">
        <v>363</v>
      </c>
      <c r="B364">
        <v>11662841</v>
      </c>
      <c r="C364" t="s">
        <v>3375</v>
      </c>
      <c r="D364" t="s">
        <v>904</v>
      </c>
      <c r="E364" t="s">
        <v>803</v>
      </c>
      <c r="F364" t="s">
        <v>804</v>
      </c>
      <c r="H364" t="s">
        <v>3376</v>
      </c>
      <c r="I364" t="s">
        <v>2890</v>
      </c>
      <c r="J364" t="s">
        <v>1668</v>
      </c>
      <c r="K364" t="s">
        <v>57</v>
      </c>
      <c r="L364">
        <v>260</v>
      </c>
      <c r="P364" t="s">
        <v>2494</v>
      </c>
      <c r="Q364">
        <v>1993</v>
      </c>
      <c r="R364">
        <v>1992</v>
      </c>
      <c r="S364" s="1">
        <v>44950</v>
      </c>
      <c r="T364" s="1">
        <v>44946</v>
      </c>
      <c r="U364" t="s">
        <v>4129</v>
      </c>
      <c r="V364" t="s">
        <v>4114</v>
      </c>
      <c r="W364" t="s">
        <v>4121</v>
      </c>
      <c r="X364" t="s">
        <v>2603</v>
      </c>
      <c r="Y364" t="s">
        <v>4116</v>
      </c>
    </row>
    <row r="365" spans="1:25" x14ac:dyDescent="0.25">
      <c r="A365">
        <v>364</v>
      </c>
      <c r="B365">
        <v>66473</v>
      </c>
      <c r="C365" t="s">
        <v>905</v>
      </c>
      <c r="D365" t="s">
        <v>17</v>
      </c>
      <c r="E365" t="s">
        <v>803</v>
      </c>
      <c r="F365" t="s">
        <v>804</v>
      </c>
      <c r="H365" t="s">
        <v>3377</v>
      </c>
      <c r="I365" t="s">
        <v>2890</v>
      </c>
      <c r="J365" t="s">
        <v>1668</v>
      </c>
      <c r="K365" t="s">
        <v>57</v>
      </c>
      <c r="L365">
        <v>432</v>
      </c>
      <c r="P365" t="s">
        <v>2494</v>
      </c>
      <c r="Q365">
        <v>2008</v>
      </c>
      <c r="R365">
        <v>1998</v>
      </c>
      <c r="S365" s="1">
        <v>44946</v>
      </c>
      <c r="T365" s="1">
        <v>44943</v>
      </c>
      <c r="U365" t="s">
        <v>4129</v>
      </c>
      <c r="V365" t="s">
        <v>4114</v>
      </c>
      <c r="W365" t="s">
        <v>4121</v>
      </c>
      <c r="X365" t="s">
        <v>2603</v>
      </c>
      <c r="Y365" t="s">
        <v>4116</v>
      </c>
    </row>
    <row r="366" spans="1:25" x14ac:dyDescent="0.25">
      <c r="A366">
        <v>365</v>
      </c>
      <c r="B366">
        <v>25547238</v>
      </c>
      <c r="C366" t="s">
        <v>906</v>
      </c>
      <c r="D366" t="s">
        <v>17</v>
      </c>
      <c r="E366" t="s">
        <v>62</v>
      </c>
      <c r="F366" t="s">
        <v>63</v>
      </c>
      <c r="H366" t="s">
        <v>3378</v>
      </c>
      <c r="I366" t="s">
        <v>2901</v>
      </c>
      <c r="J366" t="s">
        <v>1668</v>
      </c>
      <c r="K366" t="s">
        <v>2488</v>
      </c>
      <c r="L366">
        <v>232</v>
      </c>
      <c r="P366" t="s">
        <v>2494</v>
      </c>
      <c r="Q366">
        <v>2015</v>
      </c>
      <c r="R366">
        <v>2015</v>
      </c>
      <c r="S366" s="1">
        <v>44942</v>
      </c>
      <c r="T366" s="1">
        <v>44939</v>
      </c>
      <c r="U366" t="s">
        <v>4132</v>
      </c>
      <c r="V366" t="s">
        <v>4114</v>
      </c>
      <c r="W366" t="s">
        <v>4133</v>
      </c>
      <c r="X366" t="s">
        <v>2494</v>
      </c>
      <c r="Y366" t="s">
        <v>4116</v>
      </c>
    </row>
    <row r="367" spans="1:25" x14ac:dyDescent="0.25">
      <c r="A367">
        <v>366</v>
      </c>
      <c r="B367">
        <v>60151732</v>
      </c>
      <c r="C367" t="s">
        <v>907</v>
      </c>
      <c r="D367" t="s">
        <v>17</v>
      </c>
      <c r="E367" t="s">
        <v>530</v>
      </c>
      <c r="F367" t="s">
        <v>531</v>
      </c>
      <c r="H367" t="s">
        <v>3379</v>
      </c>
      <c r="I367" t="s">
        <v>2890</v>
      </c>
      <c r="J367" t="s">
        <v>1759</v>
      </c>
      <c r="K367" t="s">
        <v>2488</v>
      </c>
      <c r="L367">
        <v>325</v>
      </c>
      <c r="P367" t="s">
        <v>2494</v>
      </c>
      <c r="Q367">
        <v>2022</v>
      </c>
      <c r="R367">
        <v>2021</v>
      </c>
      <c r="S367" s="1">
        <v>44940</v>
      </c>
      <c r="T367" s="1">
        <v>44936</v>
      </c>
      <c r="U367" t="s">
        <v>4136</v>
      </c>
      <c r="V367" t="s">
        <v>4114</v>
      </c>
      <c r="W367" t="s">
        <v>4121</v>
      </c>
      <c r="X367" t="s">
        <v>2603</v>
      </c>
      <c r="Y367" t="s">
        <v>4116</v>
      </c>
    </row>
    <row r="368" spans="1:25" x14ac:dyDescent="0.25">
      <c r="A368">
        <v>367</v>
      </c>
      <c r="B368">
        <v>28435650</v>
      </c>
      <c r="C368" t="s">
        <v>908</v>
      </c>
      <c r="D368" t="s">
        <v>17</v>
      </c>
      <c r="E368" t="s">
        <v>803</v>
      </c>
      <c r="F368" t="s">
        <v>804</v>
      </c>
      <c r="H368" t="s">
        <v>3380</v>
      </c>
      <c r="I368" t="s">
        <v>2890</v>
      </c>
      <c r="J368" t="s">
        <v>1668</v>
      </c>
      <c r="K368" t="s">
        <v>57</v>
      </c>
      <c r="L368">
        <v>200</v>
      </c>
      <c r="P368" t="s">
        <v>2494</v>
      </c>
      <c r="Q368">
        <v>2011</v>
      </c>
      <c r="R368">
        <v>1997</v>
      </c>
      <c r="S368" s="1">
        <v>44936</v>
      </c>
      <c r="T368" s="1">
        <v>44932</v>
      </c>
      <c r="U368" t="s">
        <v>4129</v>
      </c>
      <c r="V368" t="s">
        <v>4114</v>
      </c>
      <c r="W368" t="s">
        <v>4121</v>
      </c>
      <c r="X368" t="s">
        <v>2603</v>
      </c>
      <c r="Y368" t="s">
        <v>4116</v>
      </c>
    </row>
    <row r="369" spans="1:25" x14ac:dyDescent="0.25">
      <c r="A369">
        <v>368</v>
      </c>
      <c r="B369">
        <v>61168540</v>
      </c>
      <c r="C369" t="s">
        <v>909</v>
      </c>
      <c r="D369" t="s">
        <v>17</v>
      </c>
      <c r="E369" t="s">
        <v>241</v>
      </c>
      <c r="F369" t="s">
        <v>242</v>
      </c>
      <c r="H369" t="s">
        <v>3381</v>
      </c>
      <c r="I369" t="s">
        <v>2933</v>
      </c>
      <c r="J369" t="s">
        <v>1820</v>
      </c>
      <c r="K369" t="s">
        <v>57</v>
      </c>
      <c r="L369">
        <v>976</v>
      </c>
      <c r="P369" t="s">
        <v>2486</v>
      </c>
      <c r="Q369">
        <v>2022</v>
      </c>
      <c r="R369">
        <v>2020</v>
      </c>
      <c r="S369" s="1">
        <v>44931</v>
      </c>
      <c r="T369" s="1">
        <v>44910</v>
      </c>
      <c r="U369" t="s">
        <v>4117</v>
      </c>
      <c r="V369" t="s">
        <v>4114</v>
      </c>
      <c r="W369" t="s">
        <v>4115</v>
      </c>
      <c r="X369" t="s">
        <v>2603</v>
      </c>
      <c r="Y369" t="s">
        <v>4125</v>
      </c>
    </row>
    <row r="370" spans="1:25" x14ac:dyDescent="0.25">
      <c r="A370">
        <v>369</v>
      </c>
      <c r="B370">
        <v>11661538</v>
      </c>
      <c r="C370" t="s">
        <v>910</v>
      </c>
      <c r="D370" t="s">
        <v>17</v>
      </c>
      <c r="E370" t="s">
        <v>803</v>
      </c>
      <c r="F370" t="s">
        <v>804</v>
      </c>
      <c r="H370" t="s">
        <v>3382</v>
      </c>
      <c r="I370" t="s">
        <v>2890</v>
      </c>
      <c r="J370" t="s">
        <v>1668</v>
      </c>
      <c r="K370" t="s">
        <v>57</v>
      </c>
      <c r="L370">
        <v>272</v>
      </c>
      <c r="P370" t="s">
        <v>2494</v>
      </c>
      <c r="Q370">
        <v>1995</v>
      </c>
      <c r="R370">
        <v>1995</v>
      </c>
      <c r="S370" s="1">
        <v>44931</v>
      </c>
      <c r="T370" s="1">
        <v>44929</v>
      </c>
      <c r="U370" t="s">
        <v>4129</v>
      </c>
      <c r="V370" t="s">
        <v>4114</v>
      </c>
      <c r="W370" t="s">
        <v>4121</v>
      </c>
      <c r="X370" t="s">
        <v>2603</v>
      </c>
      <c r="Y370" t="s">
        <v>4116</v>
      </c>
    </row>
    <row r="371" spans="1:25" x14ac:dyDescent="0.25">
      <c r="A371">
        <v>370</v>
      </c>
      <c r="B371">
        <v>7805293</v>
      </c>
      <c r="C371" t="s">
        <v>911</v>
      </c>
      <c r="D371" t="s">
        <v>17</v>
      </c>
      <c r="E371" t="s">
        <v>912</v>
      </c>
      <c r="F371" t="s">
        <v>913</v>
      </c>
      <c r="H371" t="s">
        <v>3383</v>
      </c>
      <c r="I371" t="s">
        <v>2901</v>
      </c>
      <c r="J371" t="s">
        <v>1691</v>
      </c>
      <c r="K371" t="s">
        <v>57</v>
      </c>
      <c r="L371">
        <v>188</v>
      </c>
      <c r="P371" t="s">
        <v>2486</v>
      </c>
      <c r="Q371">
        <v>2008</v>
      </c>
      <c r="R371">
        <v>2006</v>
      </c>
      <c r="S371" s="1">
        <v>44928</v>
      </c>
      <c r="T371" s="1">
        <v>44914</v>
      </c>
      <c r="U371" t="s">
        <v>4126</v>
      </c>
      <c r="V371" t="s">
        <v>4114</v>
      </c>
      <c r="W371" t="s">
        <v>4121</v>
      </c>
      <c r="X371" t="s">
        <v>2603</v>
      </c>
      <c r="Y371" t="s">
        <v>4116</v>
      </c>
    </row>
    <row r="372" spans="1:25" x14ac:dyDescent="0.25">
      <c r="A372">
        <v>371</v>
      </c>
      <c r="B372">
        <v>25829219</v>
      </c>
      <c r="C372" t="s">
        <v>914</v>
      </c>
      <c r="D372" t="s">
        <v>17</v>
      </c>
      <c r="E372" t="s">
        <v>915</v>
      </c>
      <c r="F372" t="s">
        <v>916</v>
      </c>
      <c r="H372" t="s">
        <v>3384</v>
      </c>
      <c r="I372" t="s">
        <v>2890</v>
      </c>
      <c r="J372" t="s">
        <v>2085</v>
      </c>
      <c r="K372" t="s">
        <v>57</v>
      </c>
      <c r="L372">
        <v>216</v>
      </c>
      <c r="P372" t="s">
        <v>2486</v>
      </c>
      <c r="Q372">
        <v>2011</v>
      </c>
      <c r="R372">
        <v>2011</v>
      </c>
      <c r="S372" s="1">
        <v>44928</v>
      </c>
      <c r="T372" s="1">
        <v>44926</v>
      </c>
      <c r="U372" t="s">
        <v>4152</v>
      </c>
      <c r="V372" t="s">
        <v>4131</v>
      </c>
      <c r="W372" t="s">
        <v>4148</v>
      </c>
      <c r="X372" t="s">
        <v>2486</v>
      </c>
      <c r="Y372" t="s">
        <v>4116</v>
      </c>
    </row>
    <row r="373" spans="1:25" x14ac:dyDescent="0.25">
      <c r="A373">
        <v>372</v>
      </c>
      <c r="B373">
        <v>75369450</v>
      </c>
      <c r="C373" t="s">
        <v>917</v>
      </c>
      <c r="D373" t="s">
        <v>17</v>
      </c>
      <c r="E373" t="s">
        <v>918</v>
      </c>
      <c r="F373" t="s">
        <v>919</v>
      </c>
      <c r="H373" t="s">
        <v>3385</v>
      </c>
      <c r="I373" t="s">
        <v>2901</v>
      </c>
      <c r="J373" t="s">
        <v>2087</v>
      </c>
      <c r="K373" t="s">
        <v>29</v>
      </c>
      <c r="L373">
        <v>264</v>
      </c>
      <c r="P373" t="s">
        <v>2494</v>
      </c>
      <c r="Q373">
        <v>2022</v>
      </c>
      <c r="R373">
        <v>2022</v>
      </c>
      <c r="S373" s="1">
        <v>44926</v>
      </c>
      <c r="T373" s="1">
        <v>44925</v>
      </c>
      <c r="U373" t="s">
        <v>4130</v>
      </c>
      <c r="V373" t="s">
        <v>4131</v>
      </c>
      <c r="W373" t="s">
        <v>4133</v>
      </c>
      <c r="X373" t="s">
        <v>2494</v>
      </c>
      <c r="Y373" t="s">
        <v>4116</v>
      </c>
    </row>
    <row r="374" spans="1:25" x14ac:dyDescent="0.25">
      <c r="A374">
        <v>373</v>
      </c>
      <c r="B374">
        <v>72579</v>
      </c>
      <c r="C374" t="s">
        <v>920</v>
      </c>
      <c r="D374" t="s">
        <v>17</v>
      </c>
      <c r="E374" t="s">
        <v>921</v>
      </c>
      <c r="F374" t="s">
        <v>922</v>
      </c>
      <c r="G374" t="s">
        <v>2694</v>
      </c>
      <c r="H374" t="s">
        <v>3386</v>
      </c>
      <c r="I374" t="s">
        <v>2933</v>
      </c>
      <c r="J374" t="s">
        <v>2492</v>
      </c>
      <c r="K374" t="s">
        <v>112</v>
      </c>
      <c r="L374">
        <v>468</v>
      </c>
      <c r="M374">
        <v>0.72222222222222221</v>
      </c>
      <c r="N374">
        <v>17.333333333333332</v>
      </c>
      <c r="O374" t="s">
        <v>4043</v>
      </c>
      <c r="P374" t="s">
        <v>2486</v>
      </c>
      <c r="Q374">
        <v>2021</v>
      </c>
      <c r="R374">
        <v>1996</v>
      </c>
      <c r="S374" s="1">
        <v>44922</v>
      </c>
      <c r="T374" s="1">
        <v>44912</v>
      </c>
      <c r="U374" t="s">
        <v>4126</v>
      </c>
      <c r="V374" t="s">
        <v>4114</v>
      </c>
      <c r="W374" t="s">
        <v>4137</v>
      </c>
      <c r="X374" t="s">
        <v>2603</v>
      </c>
      <c r="Y374" t="s">
        <v>4125</v>
      </c>
    </row>
    <row r="375" spans="1:25" x14ac:dyDescent="0.25">
      <c r="A375">
        <v>374</v>
      </c>
      <c r="B375">
        <v>43706482</v>
      </c>
      <c r="C375" t="s">
        <v>2695</v>
      </c>
      <c r="D375" t="s">
        <v>17</v>
      </c>
      <c r="E375" t="s">
        <v>923</v>
      </c>
      <c r="F375" t="s">
        <v>924</v>
      </c>
      <c r="H375" t="s">
        <v>3387</v>
      </c>
      <c r="I375" t="s">
        <v>2901</v>
      </c>
      <c r="J375" t="s">
        <v>1710</v>
      </c>
      <c r="K375" t="s">
        <v>2488</v>
      </c>
      <c r="L375">
        <v>304</v>
      </c>
      <c r="P375" t="s">
        <v>2494</v>
      </c>
      <c r="Q375">
        <v>2020</v>
      </c>
      <c r="R375">
        <v>2019</v>
      </c>
      <c r="S375" s="1">
        <v>44915</v>
      </c>
      <c r="T375" s="1">
        <v>44907</v>
      </c>
      <c r="U375" t="s">
        <v>4139</v>
      </c>
      <c r="V375" t="s">
        <v>4131</v>
      </c>
      <c r="W375" t="s">
        <v>4121</v>
      </c>
      <c r="X375" t="s">
        <v>2603</v>
      </c>
      <c r="Y375" t="s">
        <v>4125</v>
      </c>
    </row>
    <row r="376" spans="1:25" x14ac:dyDescent="0.25">
      <c r="A376">
        <v>375</v>
      </c>
      <c r="B376">
        <v>57301069</v>
      </c>
      <c r="C376" t="s">
        <v>3388</v>
      </c>
      <c r="D376" t="s">
        <v>926</v>
      </c>
      <c r="E376" t="s">
        <v>228</v>
      </c>
      <c r="F376" t="s">
        <v>229</v>
      </c>
      <c r="H376" t="s">
        <v>3389</v>
      </c>
      <c r="I376" t="s">
        <v>2901</v>
      </c>
      <c r="J376" t="s">
        <v>1668</v>
      </c>
      <c r="K376" t="s">
        <v>2488</v>
      </c>
      <c r="L376">
        <v>288</v>
      </c>
      <c r="P376" t="s">
        <v>2494</v>
      </c>
      <c r="Q376">
        <v>2021</v>
      </c>
      <c r="R376">
        <v>2020</v>
      </c>
      <c r="S376" s="1">
        <v>44408</v>
      </c>
      <c r="T376" s="1">
        <v>44317</v>
      </c>
      <c r="U376" t="s">
        <v>4129</v>
      </c>
      <c r="V376" t="s">
        <v>4114</v>
      </c>
      <c r="W376" t="s">
        <v>4121</v>
      </c>
      <c r="X376" t="s">
        <v>2603</v>
      </c>
      <c r="Y376" t="s">
        <v>4116</v>
      </c>
    </row>
    <row r="377" spans="1:25" x14ac:dyDescent="0.25">
      <c r="A377">
        <v>376</v>
      </c>
      <c r="B377">
        <v>56984091</v>
      </c>
      <c r="C377" t="s">
        <v>927</v>
      </c>
      <c r="D377" t="s">
        <v>2696</v>
      </c>
      <c r="E377" t="s">
        <v>269</v>
      </c>
      <c r="F377" t="s">
        <v>270</v>
      </c>
      <c r="G377" t="s">
        <v>2622</v>
      </c>
      <c r="H377" t="s">
        <v>3390</v>
      </c>
      <c r="I377" t="s">
        <v>2890</v>
      </c>
      <c r="J377" t="s">
        <v>2545</v>
      </c>
      <c r="K377" t="s">
        <v>112</v>
      </c>
      <c r="L377">
        <v>400</v>
      </c>
      <c r="M377">
        <v>0.56527777777777777</v>
      </c>
      <c r="N377">
        <v>13.566666666666666</v>
      </c>
      <c r="O377" t="s">
        <v>3980</v>
      </c>
      <c r="P377" t="s">
        <v>2486</v>
      </c>
      <c r="Q377">
        <v>2022</v>
      </c>
      <c r="R377">
        <v>2021</v>
      </c>
      <c r="S377" s="1">
        <v>44911</v>
      </c>
      <c r="T377" s="1">
        <v>44908</v>
      </c>
      <c r="U377" t="s">
        <v>4120</v>
      </c>
      <c r="V377" t="s">
        <v>4114</v>
      </c>
      <c r="W377" t="s">
        <v>4121</v>
      </c>
      <c r="X377" t="s">
        <v>2603</v>
      </c>
      <c r="Y377" t="s">
        <v>4116</v>
      </c>
    </row>
    <row r="378" spans="1:25" x14ac:dyDescent="0.25">
      <c r="A378">
        <v>377</v>
      </c>
      <c r="B378">
        <v>59007601</v>
      </c>
      <c r="C378" t="s">
        <v>928</v>
      </c>
      <c r="D378" t="s">
        <v>17</v>
      </c>
      <c r="E378" t="s">
        <v>287</v>
      </c>
      <c r="F378" t="s">
        <v>288</v>
      </c>
      <c r="H378" t="s">
        <v>3391</v>
      </c>
      <c r="I378" t="s">
        <v>2901</v>
      </c>
      <c r="J378" t="s">
        <v>1668</v>
      </c>
      <c r="K378" t="s">
        <v>2488</v>
      </c>
      <c r="L378">
        <v>1080</v>
      </c>
      <c r="P378" t="s">
        <v>2494</v>
      </c>
      <c r="Q378">
        <v>2021</v>
      </c>
      <c r="R378">
        <v>1978</v>
      </c>
      <c r="S378" s="1">
        <v>44907</v>
      </c>
      <c r="T378" s="1">
        <v>44857</v>
      </c>
      <c r="U378" t="s">
        <v>4132</v>
      </c>
      <c r="V378" t="s">
        <v>4114</v>
      </c>
      <c r="W378" t="s">
        <v>4121</v>
      </c>
      <c r="X378" t="s">
        <v>2603</v>
      </c>
      <c r="Y378" t="s">
        <v>4116</v>
      </c>
    </row>
    <row r="379" spans="1:25" x14ac:dyDescent="0.25">
      <c r="A379">
        <v>378</v>
      </c>
      <c r="B379">
        <v>53764460</v>
      </c>
      <c r="C379" t="s">
        <v>929</v>
      </c>
      <c r="D379" t="s">
        <v>2697</v>
      </c>
      <c r="E379" t="s">
        <v>921</v>
      </c>
      <c r="F379" t="s">
        <v>922</v>
      </c>
      <c r="G379" t="s">
        <v>2699</v>
      </c>
      <c r="H379" t="s">
        <v>3392</v>
      </c>
      <c r="I379" t="s">
        <v>2933</v>
      </c>
      <c r="J379" t="s">
        <v>2492</v>
      </c>
      <c r="K379" t="s">
        <v>112</v>
      </c>
      <c r="L379">
        <v>396</v>
      </c>
      <c r="M379">
        <v>0.58819444444444446</v>
      </c>
      <c r="N379">
        <v>14.116666666666667</v>
      </c>
      <c r="O379" t="s">
        <v>4044</v>
      </c>
      <c r="P379" t="s">
        <v>2486</v>
      </c>
      <c r="Q379">
        <v>2020</v>
      </c>
      <c r="R379">
        <v>2019</v>
      </c>
      <c r="S379" s="1">
        <v>44906</v>
      </c>
      <c r="T379" s="1">
        <v>44901</v>
      </c>
      <c r="U379" t="s">
        <v>4126</v>
      </c>
      <c r="V379" t="s">
        <v>4114</v>
      </c>
      <c r="W379" t="s">
        <v>4137</v>
      </c>
      <c r="X379" t="s">
        <v>2603</v>
      </c>
      <c r="Y379" t="s">
        <v>4125</v>
      </c>
    </row>
    <row r="380" spans="1:25" x14ac:dyDescent="0.25">
      <c r="A380">
        <v>379</v>
      </c>
      <c r="B380">
        <v>43465986</v>
      </c>
      <c r="C380" t="s">
        <v>930</v>
      </c>
      <c r="D380" t="s">
        <v>17</v>
      </c>
      <c r="E380" t="s">
        <v>931</v>
      </c>
      <c r="F380" t="s">
        <v>932</v>
      </c>
      <c r="H380" t="s">
        <v>3393</v>
      </c>
      <c r="I380" t="s">
        <v>2890</v>
      </c>
      <c r="J380" t="s">
        <v>1829</v>
      </c>
      <c r="K380" t="s">
        <v>2488</v>
      </c>
      <c r="L380">
        <v>634</v>
      </c>
      <c r="P380" t="s">
        <v>2494</v>
      </c>
      <c r="Q380">
        <v>2021</v>
      </c>
      <c r="R380">
        <v>2019</v>
      </c>
      <c r="S380" s="1">
        <v>44905</v>
      </c>
      <c r="T380" s="1">
        <v>44901</v>
      </c>
      <c r="U380" t="s">
        <v>4126</v>
      </c>
      <c r="V380" t="s">
        <v>4114</v>
      </c>
      <c r="W380" t="s">
        <v>4175</v>
      </c>
      <c r="X380" t="s">
        <v>4124</v>
      </c>
      <c r="Y380" t="s">
        <v>4125</v>
      </c>
    </row>
    <row r="381" spans="1:25" x14ac:dyDescent="0.25">
      <c r="A381">
        <v>380</v>
      </c>
      <c r="B381">
        <v>11065635</v>
      </c>
      <c r="C381" t="s">
        <v>933</v>
      </c>
      <c r="D381" t="s">
        <v>2698</v>
      </c>
      <c r="E381" t="s">
        <v>921</v>
      </c>
      <c r="F381" t="s">
        <v>922</v>
      </c>
      <c r="G381" t="s">
        <v>2700</v>
      </c>
      <c r="H381" t="s">
        <v>3394</v>
      </c>
      <c r="I381" t="s">
        <v>2933</v>
      </c>
      <c r="J381" t="s">
        <v>2492</v>
      </c>
      <c r="K381" t="s">
        <v>2488</v>
      </c>
      <c r="L381">
        <v>333</v>
      </c>
      <c r="M381">
        <v>0.49791666666666667</v>
      </c>
      <c r="N381">
        <v>11.95</v>
      </c>
      <c r="O381" t="s">
        <v>4045</v>
      </c>
      <c r="P381" t="s">
        <v>2486</v>
      </c>
      <c r="Q381">
        <v>2017</v>
      </c>
      <c r="R381">
        <v>1985</v>
      </c>
      <c r="S381" s="1">
        <v>44901</v>
      </c>
      <c r="T381" s="1">
        <v>44898</v>
      </c>
      <c r="U381" t="s">
        <v>4126</v>
      </c>
      <c r="V381" t="s">
        <v>4114</v>
      </c>
      <c r="W381" t="s">
        <v>4137</v>
      </c>
      <c r="X381" t="s">
        <v>2603</v>
      </c>
      <c r="Y381" t="s">
        <v>4125</v>
      </c>
    </row>
    <row r="382" spans="1:25" x14ac:dyDescent="0.25">
      <c r="A382">
        <v>381</v>
      </c>
      <c r="B382">
        <v>55679935</v>
      </c>
      <c r="C382" t="s">
        <v>3395</v>
      </c>
      <c r="D382" t="s">
        <v>937</v>
      </c>
      <c r="E382" t="s">
        <v>938</v>
      </c>
      <c r="F382" t="s">
        <v>939</v>
      </c>
      <c r="H382" t="s">
        <v>3396</v>
      </c>
      <c r="I382" t="s">
        <v>2901</v>
      </c>
      <c r="J382" t="s">
        <v>2097</v>
      </c>
      <c r="K382" t="s">
        <v>2488</v>
      </c>
      <c r="L382">
        <v>245</v>
      </c>
      <c r="P382" t="s">
        <v>2494</v>
      </c>
      <c r="Q382">
        <v>2020</v>
      </c>
      <c r="R382">
        <v>2020</v>
      </c>
      <c r="S382" s="1">
        <v>44879</v>
      </c>
      <c r="T382" s="1">
        <v>44875</v>
      </c>
      <c r="U382" t="s">
        <v>4168</v>
      </c>
      <c r="V382" t="s">
        <v>4131</v>
      </c>
      <c r="W382" t="s">
        <v>4133</v>
      </c>
      <c r="X382" t="s">
        <v>2494</v>
      </c>
      <c r="Y382" t="s">
        <v>4116</v>
      </c>
    </row>
    <row r="383" spans="1:25" x14ac:dyDescent="0.25">
      <c r="A383">
        <v>382</v>
      </c>
      <c r="B383">
        <v>48995209</v>
      </c>
      <c r="C383" t="s">
        <v>940</v>
      </c>
      <c r="D383" t="s">
        <v>17</v>
      </c>
      <c r="E383" t="s">
        <v>941</v>
      </c>
      <c r="F383" t="s">
        <v>942</v>
      </c>
      <c r="H383" t="s">
        <v>3397</v>
      </c>
      <c r="I383" t="s">
        <v>2901</v>
      </c>
      <c r="J383" t="s">
        <v>1668</v>
      </c>
      <c r="K383" t="s">
        <v>2488</v>
      </c>
      <c r="L383">
        <v>304</v>
      </c>
      <c r="P383" t="s">
        <v>2494</v>
      </c>
      <c r="Q383">
        <v>2019</v>
      </c>
      <c r="R383">
        <v>2014</v>
      </c>
      <c r="S383" s="1">
        <v>44876</v>
      </c>
      <c r="T383" s="1">
        <v>44873</v>
      </c>
      <c r="U383" t="s">
        <v>4129</v>
      </c>
      <c r="V383" t="s">
        <v>4114</v>
      </c>
      <c r="W383" t="s">
        <v>4121</v>
      </c>
      <c r="X383" t="s">
        <v>2603</v>
      </c>
      <c r="Y383" t="s">
        <v>4116</v>
      </c>
    </row>
    <row r="384" spans="1:25" x14ac:dyDescent="0.25">
      <c r="A384">
        <v>383</v>
      </c>
      <c r="B384">
        <v>55688602</v>
      </c>
      <c r="C384" t="s">
        <v>943</v>
      </c>
      <c r="D384" t="s">
        <v>2701</v>
      </c>
      <c r="E384" t="s">
        <v>269</v>
      </c>
      <c r="F384" t="s">
        <v>270</v>
      </c>
      <c r="G384" t="s">
        <v>2622</v>
      </c>
      <c r="H384" t="s">
        <v>3398</v>
      </c>
      <c r="I384" t="s">
        <v>2901</v>
      </c>
      <c r="J384" t="s">
        <v>2545</v>
      </c>
      <c r="K384" t="s">
        <v>112</v>
      </c>
      <c r="L384">
        <v>560</v>
      </c>
      <c r="M384">
        <v>0.96527777777777779</v>
      </c>
      <c r="N384">
        <v>23.166666666666668</v>
      </c>
      <c r="O384" t="s">
        <v>4046</v>
      </c>
      <c r="P384" t="s">
        <v>2486</v>
      </c>
      <c r="Q384">
        <v>2022</v>
      </c>
      <c r="R384">
        <v>2020</v>
      </c>
      <c r="S384" s="1">
        <v>44876</v>
      </c>
      <c r="T384" s="1">
        <v>44872</v>
      </c>
      <c r="U384" t="s">
        <v>4120</v>
      </c>
      <c r="V384" t="s">
        <v>4114</v>
      </c>
      <c r="W384" t="s">
        <v>4121</v>
      </c>
      <c r="X384" t="s">
        <v>2603</v>
      </c>
      <c r="Y384" t="s">
        <v>4116</v>
      </c>
    </row>
    <row r="385" spans="1:25" x14ac:dyDescent="0.25">
      <c r="A385">
        <v>384</v>
      </c>
      <c r="B385">
        <v>42051908</v>
      </c>
      <c r="C385" t="s">
        <v>944</v>
      </c>
      <c r="D385" t="s">
        <v>17</v>
      </c>
      <c r="E385" t="s">
        <v>941</v>
      </c>
      <c r="F385" t="s">
        <v>942</v>
      </c>
      <c r="H385" t="s">
        <v>3399</v>
      </c>
      <c r="I385" t="s">
        <v>2890</v>
      </c>
      <c r="J385" t="s">
        <v>1668</v>
      </c>
      <c r="K385" t="s">
        <v>2488</v>
      </c>
      <c r="L385">
        <v>304</v>
      </c>
      <c r="P385" t="s">
        <v>2494</v>
      </c>
      <c r="Q385">
        <v>2018</v>
      </c>
      <c r="R385">
        <v>2017</v>
      </c>
      <c r="S385" s="1">
        <v>44862</v>
      </c>
      <c r="T385" s="1">
        <v>44857</v>
      </c>
      <c r="U385" t="s">
        <v>4129</v>
      </c>
      <c r="V385" t="s">
        <v>4114</v>
      </c>
      <c r="W385" t="s">
        <v>4121</v>
      </c>
      <c r="X385" t="s">
        <v>2603</v>
      </c>
      <c r="Y385" t="s">
        <v>4116</v>
      </c>
    </row>
    <row r="386" spans="1:25" x14ac:dyDescent="0.25">
      <c r="A386">
        <v>385</v>
      </c>
      <c r="B386">
        <v>10098661</v>
      </c>
      <c r="C386" t="s">
        <v>945</v>
      </c>
      <c r="D386" t="s">
        <v>2702</v>
      </c>
      <c r="E386" t="s">
        <v>215</v>
      </c>
      <c r="F386" t="s">
        <v>216</v>
      </c>
      <c r="G386" t="s">
        <v>2587</v>
      </c>
      <c r="H386" t="s">
        <v>3400</v>
      </c>
      <c r="I386" t="s">
        <v>2890</v>
      </c>
      <c r="J386" t="s">
        <v>2532</v>
      </c>
      <c r="K386" t="s">
        <v>112</v>
      </c>
      <c r="L386">
        <v>404</v>
      </c>
      <c r="M386">
        <v>0.76111111111111107</v>
      </c>
      <c r="N386">
        <v>18.266666666666666</v>
      </c>
      <c r="O386" t="s">
        <v>4047</v>
      </c>
      <c r="P386" t="s">
        <v>2494</v>
      </c>
      <c r="Q386">
        <v>2015</v>
      </c>
      <c r="R386">
        <v>2005</v>
      </c>
      <c r="S386" s="1">
        <v>44859</v>
      </c>
      <c r="T386" s="1">
        <v>44856</v>
      </c>
      <c r="U386" t="s">
        <v>4117</v>
      </c>
      <c r="V386" t="s">
        <v>4114</v>
      </c>
      <c r="W386" t="s">
        <v>4133</v>
      </c>
      <c r="X386" t="s">
        <v>2494</v>
      </c>
      <c r="Y386" t="s">
        <v>4116</v>
      </c>
    </row>
    <row r="387" spans="1:25" x14ac:dyDescent="0.25">
      <c r="A387">
        <v>386</v>
      </c>
      <c r="B387">
        <v>37545283</v>
      </c>
      <c r="C387" t="s">
        <v>946</v>
      </c>
      <c r="D387" t="s">
        <v>17</v>
      </c>
      <c r="E387" t="s">
        <v>947</v>
      </c>
      <c r="F387" t="s">
        <v>948</v>
      </c>
      <c r="H387" t="s">
        <v>3401</v>
      </c>
      <c r="I387" t="s">
        <v>2890</v>
      </c>
      <c r="J387" t="s">
        <v>1789</v>
      </c>
      <c r="K387" t="s">
        <v>2488</v>
      </c>
      <c r="L387">
        <v>360</v>
      </c>
      <c r="P387" t="s">
        <v>2494</v>
      </c>
      <c r="Q387">
        <v>2017</v>
      </c>
      <c r="R387">
        <v>2011</v>
      </c>
      <c r="S387" s="1">
        <v>44856</v>
      </c>
      <c r="T387" s="1">
        <v>44855</v>
      </c>
      <c r="U387" t="s">
        <v>4136</v>
      </c>
      <c r="V387" t="s">
        <v>4114</v>
      </c>
      <c r="W387" t="s">
        <v>4121</v>
      </c>
      <c r="X387" t="s">
        <v>2603</v>
      </c>
      <c r="Y387" t="s">
        <v>4125</v>
      </c>
    </row>
    <row r="388" spans="1:25" x14ac:dyDescent="0.25">
      <c r="A388">
        <v>387</v>
      </c>
      <c r="B388">
        <v>55128558</v>
      </c>
      <c r="C388" t="s">
        <v>3402</v>
      </c>
      <c r="D388" t="s">
        <v>950</v>
      </c>
      <c r="E388" t="s">
        <v>616</v>
      </c>
      <c r="F388" t="s">
        <v>617</v>
      </c>
      <c r="H388" t="s">
        <v>3403</v>
      </c>
      <c r="I388" t="s">
        <v>2890</v>
      </c>
      <c r="J388" t="s">
        <v>1723</v>
      </c>
      <c r="K388" t="s">
        <v>2488</v>
      </c>
      <c r="L388">
        <v>312</v>
      </c>
      <c r="P388" t="s">
        <v>2494</v>
      </c>
      <c r="Q388">
        <v>2020</v>
      </c>
      <c r="R388">
        <v>2019</v>
      </c>
      <c r="S388" s="1">
        <v>44855</v>
      </c>
      <c r="T388" s="1">
        <v>44846</v>
      </c>
      <c r="U388" t="s">
        <v>4129</v>
      </c>
      <c r="V388" t="s">
        <v>4114</v>
      </c>
      <c r="W388" t="s">
        <v>4115</v>
      </c>
      <c r="X388" t="s">
        <v>2603</v>
      </c>
      <c r="Y388" t="s">
        <v>4125</v>
      </c>
    </row>
    <row r="389" spans="1:25" x14ac:dyDescent="0.25">
      <c r="A389">
        <v>388</v>
      </c>
      <c r="B389">
        <v>923949</v>
      </c>
      <c r="C389" t="s">
        <v>2703</v>
      </c>
      <c r="D389" t="s">
        <v>17</v>
      </c>
      <c r="E389" t="s">
        <v>951</v>
      </c>
      <c r="F389" t="s">
        <v>952</v>
      </c>
      <c r="H389" t="s">
        <v>3404</v>
      </c>
      <c r="I389" t="s">
        <v>2917</v>
      </c>
      <c r="J389" t="s">
        <v>1770</v>
      </c>
      <c r="K389" t="s">
        <v>2488</v>
      </c>
      <c r="L389">
        <v>365</v>
      </c>
      <c r="P389" t="s">
        <v>2494</v>
      </c>
      <c r="Q389">
        <v>2002</v>
      </c>
      <c r="R389">
        <v>2002</v>
      </c>
      <c r="S389" s="1">
        <v>44851</v>
      </c>
      <c r="T389" s="1">
        <v>44774</v>
      </c>
      <c r="U389" t="s">
        <v>4140</v>
      </c>
      <c r="V389" t="s">
        <v>4131</v>
      </c>
      <c r="W389" t="s">
        <v>4121</v>
      </c>
      <c r="X389" t="s">
        <v>2603</v>
      </c>
      <c r="Y389" t="s">
        <v>4125</v>
      </c>
    </row>
    <row r="390" spans="1:25" x14ac:dyDescent="0.25">
      <c r="A390">
        <v>389</v>
      </c>
      <c r="B390">
        <v>6415094</v>
      </c>
      <c r="C390" t="s">
        <v>953</v>
      </c>
      <c r="D390" t="s">
        <v>17</v>
      </c>
      <c r="E390" t="s">
        <v>722</v>
      </c>
      <c r="F390" t="s">
        <v>723</v>
      </c>
      <c r="G390" t="s">
        <v>2680</v>
      </c>
      <c r="H390" t="s">
        <v>3405</v>
      </c>
      <c r="I390" t="s">
        <v>2917</v>
      </c>
      <c r="J390" t="s">
        <v>2658</v>
      </c>
      <c r="K390" t="s">
        <v>112</v>
      </c>
      <c r="L390">
        <v>438</v>
      </c>
      <c r="P390" t="s">
        <v>2486</v>
      </c>
      <c r="Q390">
        <v>2021</v>
      </c>
      <c r="R390">
        <v>1961</v>
      </c>
      <c r="S390" s="1">
        <v>44851</v>
      </c>
      <c r="T390" s="1">
        <v>44839</v>
      </c>
      <c r="U390" t="s">
        <v>4113</v>
      </c>
      <c r="V390" t="s">
        <v>4114</v>
      </c>
      <c r="W390" t="s">
        <v>4121</v>
      </c>
      <c r="X390" t="s">
        <v>2603</v>
      </c>
      <c r="Y390" t="s">
        <v>4116</v>
      </c>
    </row>
    <row r="391" spans="1:25" x14ac:dyDescent="0.25">
      <c r="A391">
        <v>390</v>
      </c>
      <c r="B391">
        <v>53959432</v>
      </c>
      <c r="C391" t="s">
        <v>2704</v>
      </c>
      <c r="D391" t="s">
        <v>2705</v>
      </c>
      <c r="E391" t="s">
        <v>954</v>
      </c>
      <c r="F391" t="s">
        <v>955</v>
      </c>
      <c r="H391" t="s">
        <v>3406</v>
      </c>
      <c r="I391" t="s">
        <v>2890</v>
      </c>
      <c r="J391" t="s">
        <v>1770</v>
      </c>
      <c r="K391" t="s">
        <v>57</v>
      </c>
      <c r="L391">
        <v>334</v>
      </c>
      <c r="P391" t="s">
        <v>2486</v>
      </c>
      <c r="Q391">
        <v>2021</v>
      </c>
      <c r="R391">
        <v>2020</v>
      </c>
      <c r="S391" s="1">
        <v>44842</v>
      </c>
      <c r="T391" s="1">
        <v>44825</v>
      </c>
      <c r="U391" t="s">
        <v>4134</v>
      </c>
      <c r="V391" t="s">
        <v>4114</v>
      </c>
      <c r="W391" t="s">
        <v>4115</v>
      </c>
      <c r="X391" t="s">
        <v>2603</v>
      </c>
      <c r="Y391" t="s">
        <v>4125</v>
      </c>
    </row>
    <row r="392" spans="1:25" x14ac:dyDescent="0.25">
      <c r="A392">
        <v>391</v>
      </c>
      <c r="B392">
        <v>22285502</v>
      </c>
      <c r="C392" t="s">
        <v>956</v>
      </c>
      <c r="D392" t="s">
        <v>2706</v>
      </c>
      <c r="E392" t="s">
        <v>849</v>
      </c>
      <c r="F392" t="s">
        <v>850</v>
      </c>
      <c r="G392" t="s">
        <v>2680</v>
      </c>
      <c r="H392" t="s">
        <v>3407</v>
      </c>
      <c r="I392" t="s">
        <v>2890</v>
      </c>
      <c r="J392" t="s">
        <v>2658</v>
      </c>
      <c r="K392" t="s">
        <v>112</v>
      </c>
      <c r="L392">
        <v>328</v>
      </c>
      <c r="M392">
        <v>0.41805555555555557</v>
      </c>
      <c r="N392">
        <v>10.033333333333333</v>
      </c>
      <c r="O392" t="s">
        <v>4048</v>
      </c>
      <c r="P392" t="s">
        <v>2486</v>
      </c>
      <c r="Q392">
        <v>2022</v>
      </c>
      <c r="R392">
        <v>1990</v>
      </c>
      <c r="S392" s="1">
        <v>44836</v>
      </c>
      <c r="T392" s="1">
        <v>44833</v>
      </c>
      <c r="U392" t="s">
        <v>4113</v>
      </c>
      <c r="V392" t="s">
        <v>4114</v>
      </c>
      <c r="W392" t="s">
        <v>4148</v>
      </c>
      <c r="X392" t="s">
        <v>2486</v>
      </c>
      <c r="Y392" t="s">
        <v>4116</v>
      </c>
    </row>
    <row r="393" spans="1:25" x14ac:dyDescent="0.25">
      <c r="A393">
        <v>392</v>
      </c>
      <c r="B393">
        <v>60536926</v>
      </c>
      <c r="C393" t="s">
        <v>3408</v>
      </c>
      <c r="D393" t="s">
        <v>958</v>
      </c>
      <c r="E393" t="s">
        <v>552</v>
      </c>
      <c r="F393" t="s">
        <v>553</v>
      </c>
      <c r="G393" t="s">
        <v>2707</v>
      </c>
      <c r="H393" t="s">
        <v>3409</v>
      </c>
      <c r="I393" t="s">
        <v>2890</v>
      </c>
      <c r="J393" t="s">
        <v>2545</v>
      </c>
      <c r="K393" t="s">
        <v>112</v>
      </c>
      <c r="L393">
        <v>392</v>
      </c>
      <c r="M393">
        <v>0.52986111111111112</v>
      </c>
      <c r="N393">
        <v>12.716666666666667</v>
      </c>
      <c r="O393" t="s">
        <v>4049</v>
      </c>
      <c r="P393" t="s">
        <v>2486</v>
      </c>
      <c r="Q393">
        <v>2022</v>
      </c>
      <c r="R393">
        <v>2021</v>
      </c>
      <c r="S393" s="1">
        <v>44810</v>
      </c>
      <c r="T393" s="1">
        <v>44806</v>
      </c>
      <c r="U393" t="s">
        <v>4117</v>
      </c>
      <c r="V393" t="s">
        <v>4114</v>
      </c>
      <c r="W393" t="s">
        <v>4127</v>
      </c>
      <c r="X393" t="s">
        <v>4128</v>
      </c>
      <c r="Y393" t="s">
        <v>4116</v>
      </c>
    </row>
    <row r="394" spans="1:25" x14ac:dyDescent="0.25">
      <c r="A394">
        <v>393</v>
      </c>
      <c r="B394">
        <v>6496786</v>
      </c>
      <c r="C394" t="s">
        <v>3410</v>
      </c>
      <c r="D394" t="s">
        <v>960</v>
      </c>
      <c r="E394" t="s">
        <v>174</v>
      </c>
      <c r="F394" t="s">
        <v>175</v>
      </c>
      <c r="H394" t="s">
        <v>3411</v>
      </c>
      <c r="I394" t="s">
        <v>2917</v>
      </c>
      <c r="J394" t="s">
        <v>1670</v>
      </c>
      <c r="K394" t="s">
        <v>57</v>
      </c>
      <c r="L394">
        <v>345</v>
      </c>
      <c r="P394" t="s">
        <v>2486</v>
      </c>
      <c r="Q394">
        <v>1997</v>
      </c>
      <c r="R394">
        <v>1988</v>
      </c>
      <c r="S394" s="1">
        <v>44831</v>
      </c>
      <c r="T394" s="1">
        <v>44817</v>
      </c>
      <c r="U394" t="s">
        <v>4120</v>
      </c>
      <c r="V394" t="s">
        <v>4114</v>
      </c>
      <c r="W394" t="s">
        <v>4115</v>
      </c>
      <c r="X394" t="s">
        <v>2603</v>
      </c>
      <c r="Y394" t="s">
        <v>4116</v>
      </c>
    </row>
    <row r="395" spans="1:25" x14ac:dyDescent="0.25">
      <c r="A395">
        <v>394</v>
      </c>
      <c r="B395">
        <v>61091152</v>
      </c>
      <c r="C395" t="s">
        <v>3412</v>
      </c>
      <c r="D395" t="s">
        <v>2708</v>
      </c>
      <c r="E395" t="s">
        <v>280</v>
      </c>
      <c r="F395" t="s">
        <v>281</v>
      </c>
      <c r="G395" t="s">
        <v>2710</v>
      </c>
      <c r="H395" t="s">
        <v>3413</v>
      </c>
      <c r="I395" t="s">
        <v>2890</v>
      </c>
      <c r="J395" t="s">
        <v>2492</v>
      </c>
      <c r="K395" t="s">
        <v>112</v>
      </c>
      <c r="L395">
        <v>452</v>
      </c>
      <c r="M395">
        <v>0.60833333333333328</v>
      </c>
      <c r="N395">
        <v>14.599999999999998</v>
      </c>
      <c r="O395" t="s">
        <v>4050</v>
      </c>
      <c r="P395" t="s">
        <v>2486</v>
      </c>
      <c r="Q395">
        <v>2022</v>
      </c>
      <c r="R395">
        <v>2022</v>
      </c>
      <c r="S395" s="1">
        <v>44829</v>
      </c>
      <c r="T395" s="1">
        <v>44794</v>
      </c>
      <c r="U395" t="s">
        <v>4117</v>
      </c>
      <c r="V395" t="s">
        <v>4114</v>
      </c>
      <c r="W395" t="s">
        <v>4115</v>
      </c>
      <c r="X395" t="s">
        <v>2603</v>
      </c>
      <c r="Y395" t="s">
        <v>4116</v>
      </c>
    </row>
    <row r="396" spans="1:25" x14ac:dyDescent="0.25">
      <c r="A396">
        <v>395</v>
      </c>
      <c r="B396">
        <v>23336416</v>
      </c>
      <c r="C396" t="s">
        <v>3414</v>
      </c>
      <c r="D396" t="s">
        <v>963</v>
      </c>
      <c r="E396" t="s">
        <v>280</v>
      </c>
      <c r="F396" t="s">
        <v>281</v>
      </c>
      <c r="G396" t="s">
        <v>2709</v>
      </c>
      <c r="H396" t="s">
        <v>3415</v>
      </c>
      <c r="I396" t="s">
        <v>2890</v>
      </c>
      <c r="J396" t="s">
        <v>2492</v>
      </c>
      <c r="K396" t="s">
        <v>112</v>
      </c>
      <c r="L396">
        <v>344</v>
      </c>
      <c r="M396">
        <v>0.45277777777777778</v>
      </c>
      <c r="N396">
        <v>10.866666666666667</v>
      </c>
      <c r="O396" t="s">
        <v>4051</v>
      </c>
      <c r="P396" t="s">
        <v>2486</v>
      </c>
      <c r="Q396">
        <v>2015</v>
      </c>
      <c r="R396">
        <v>2012</v>
      </c>
      <c r="S396" s="1">
        <v>44816</v>
      </c>
      <c r="T396" s="1">
        <v>44815</v>
      </c>
      <c r="U396" t="s">
        <v>4117</v>
      </c>
      <c r="V396" t="s">
        <v>4114</v>
      </c>
      <c r="W396" t="s">
        <v>4115</v>
      </c>
      <c r="X396" t="s">
        <v>2603</v>
      </c>
      <c r="Y396" t="s">
        <v>4116</v>
      </c>
    </row>
    <row r="397" spans="1:25" x14ac:dyDescent="0.25">
      <c r="A397">
        <v>396</v>
      </c>
      <c r="B397">
        <v>29455680</v>
      </c>
      <c r="C397" t="s">
        <v>964</v>
      </c>
      <c r="D397" t="s">
        <v>17</v>
      </c>
      <c r="E397" t="s">
        <v>965</v>
      </c>
      <c r="F397" t="s">
        <v>966</v>
      </c>
      <c r="H397" t="s">
        <v>3416</v>
      </c>
      <c r="I397" t="s">
        <v>2901</v>
      </c>
      <c r="J397" t="s">
        <v>1668</v>
      </c>
      <c r="K397" t="s">
        <v>2488</v>
      </c>
      <c r="L397">
        <v>384</v>
      </c>
      <c r="P397" t="s">
        <v>2494</v>
      </c>
      <c r="Q397">
        <v>2016</v>
      </c>
      <c r="R397">
        <v>2015</v>
      </c>
      <c r="S397" s="1">
        <v>44815</v>
      </c>
      <c r="T397" s="1">
        <v>44813</v>
      </c>
      <c r="U397" t="s">
        <v>4134</v>
      </c>
      <c r="V397" t="s">
        <v>4114</v>
      </c>
      <c r="W397" t="s">
        <v>4115</v>
      </c>
      <c r="X397" t="s">
        <v>2603</v>
      </c>
      <c r="Y397" t="s">
        <v>4125</v>
      </c>
    </row>
    <row r="398" spans="1:25" x14ac:dyDescent="0.25">
      <c r="A398">
        <v>397</v>
      </c>
      <c r="B398">
        <v>21421192</v>
      </c>
      <c r="C398" t="s">
        <v>3417</v>
      </c>
      <c r="D398" t="s">
        <v>968</v>
      </c>
      <c r="E398" t="s">
        <v>280</v>
      </c>
      <c r="F398" t="s">
        <v>281</v>
      </c>
      <c r="G398" t="s">
        <v>2709</v>
      </c>
      <c r="H398" t="s">
        <v>3418</v>
      </c>
      <c r="I398" t="s">
        <v>2890</v>
      </c>
      <c r="J398" t="s">
        <v>2492</v>
      </c>
      <c r="K398" t="s">
        <v>112</v>
      </c>
      <c r="L398">
        <v>352</v>
      </c>
      <c r="M398">
        <v>0.47847222222222224</v>
      </c>
      <c r="N398">
        <v>11.483333333333334</v>
      </c>
      <c r="O398" t="s">
        <v>3956</v>
      </c>
      <c r="P398" t="s">
        <v>2486</v>
      </c>
      <c r="Q398">
        <v>2014</v>
      </c>
      <c r="R398">
        <v>2011</v>
      </c>
      <c r="S398" s="1">
        <v>44811</v>
      </c>
      <c r="T398" s="1">
        <v>44809</v>
      </c>
      <c r="U398" t="s">
        <v>4117</v>
      </c>
      <c r="V398" t="s">
        <v>4114</v>
      </c>
      <c r="W398" t="s">
        <v>4115</v>
      </c>
      <c r="X398" t="s">
        <v>2603</v>
      </c>
      <c r="Y398" t="s">
        <v>4116</v>
      </c>
    </row>
    <row r="399" spans="1:25" x14ac:dyDescent="0.25">
      <c r="A399">
        <v>398</v>
      </c>
      <c r="B399">
        <v>17827992</v>
      </c>
      <c r="C399" t="s">
        <v>3419</v>
      </c>
      <c r="D399" t="s">
        <v>972</v>
      </c>
      <c r="E399" t="s">
        <v>280</v>
      </c>
      <c r="F399" t="s">
        <v>281</v>
      </c>
      <c r="G399" t="s">
        <v>2709</v>
      </c>
      <c r="H399" t="s">
        <v>3420</v>
      </c>
      <c r="I399" t="s">
        <v>2890</v>
      </c>
      <c r="J399" t="s">
        <v>2492</v>
      </c>
      <c r="K399" t="s">
        <v>112</v>
      </c>
      <c r="L399">
        <v>392</v>
      </c>
      <c r="M399">
        <v>0.57152777777777775</v>
      </c>
      <c r="N399">
        <v>13.716666666666665</v>
      </c>
      <c r="O399" t="s">
        <v>4052</v>
      </c>
      <c r="P399" t="s">
        <v>2486</v>
      </c>
      <c r="Q399">
        <v>2013</v>
      </c>
      <c r="R399">
        <v>2009</v>
      </c>
      <c r="S399" s="1">
        <v>44806</v>
      </c>
      <c r="T399" s="1">
        <v>44803</v>
      </c>
      <c r="U399" t="s">
        <v>4117</v>
      </c>
      <c r="V399" t="s">
        <v>4114</v>
      </c>
      <c r="W399" t="s">
        <v>4115</v>
      </c>
      <c r="X399" t="s">
        <v>2603</v>
      </c>
      <c r="Y399" t="s">
        <v>4116</v>
      </c>
    </row>
    <row r="400" spans="1:25" x14ac:dyDescent="0.25">
      <c r="A400">
        <v>399</v>
      </c>
      <c r="B400">
        <v>17410813</v>
      </c>
      <c r="C400" t="s">
        <v>973</v>
      </c>
      <c r="D400" t="s">
        <v>17</v>
      </c>
      <c r="E400" t="s">
        <v>62</v>
      </c>
      <c r="F400" t="s">
        <v>63</v>
      </c>
      <c r="H400" t="s">
        <v>3421</v>
      </c>
      <c r="I400" t="s">
        <v>2890</v>
      </c>
      <c r="J400" t="s">
        <v>1668</v>
      </c>
      <c r="K400" t="s">
        <v>2488</v>
      </c>
      <c r="L400">
        <v>188</v>
      </c>
      <c r="P400" t="s">
        <v>2494</v>
      </c>
      <c r="Q400">
        <v>2011</v>
      </c>
      <c r="R400">
        <v>2011</v>
      </c>
      <c r="S400" s="1">
        <v>44806</v>
      </c>
      <c r="T400" s="1">
        <v>44805</v>
      </c>
      <c r="U400" t="s">
        <v>4129</v>
      </c>
      <c r="V400" t="s">
        <v>4114</v>
      </c>
      <c r="W400" t="s">
        <v>4133</v>
      </c>
      <c r="X400" t="s">
        <v>2494</v>
      </c>
      <c r="Y400" t="s">
        <v>4116</v>
      </c>
    </row>
    <row r="401" spans="1:25" x14ac:dyDescent="0.25">
      <c r="A401">
        <v>400</v>
      </c>
      <c r="B401">
        <v>17410824</v>
      </c>
      <c r="C401" t="s">
        <v>974</v>
      </c>
      <c r="D401" t="s">
        <v>17</v>
      </c>
      <c r="E401" t="s">
        <v>62</v>
      </c>
      <c r="F401" t="s">
        <v>63</v>
      </c>
      <c r="H401" t="s">
        <v>3422</v>
      </c>
      <c r="I401" t="s">
        <v>2890</v>
      </c>
      <c r="J401" t="s">
        <v>1668</v>
      </c>
      <c r="K401" t="s">
        <v>2488</v>
      </c>
      <c r="L401">
        <v>232</v>
      </c>
      <c r="P401" t="s">
        <v>2494</v>
      </c>
      <c r="Q401">
        <v>2011</v>
      </c>
      <c r="R401">
        <v>2011</v>
      </c>
      <c r="S401" s="1">
        <v>44804</v>
      </c>
      <c r="T401" s="1">
        <v>44799</v>
      </c>
      <c r="U401" t="s">
        <v>4129</v>
      </c>
      <c r="V401" t="s">
        <v>4114</v>
      </c>
      <c r="W401" t="s">
        <v>4133</v>
      </c>
      <c r="X401" t="s">
        <v>2494</v>
      </c>
      <c r="Y401" t="s">
        <v>4116</v>
      </c>
    </row>
    <row r="402" spans="1:25" x14ac:dyDescent="0.25">
      <c r="A402">
        <v>401</v>
      </c>
      <c r="B402">
        <v>18323800</v>
      </c>
      <c r="C402" t="s">
        <v>975</v>
      </c>
      <c r="D402" t="s">
        <v>17</v>
      </c>
      <c r="E402" t="s">
        <v>364</v>
      </c>
      <c r="F402" t="s">
        <v>365</v>
      </c>
      <c r="G402" t="s">
        <v>2711</v>
      </c>
      <c r="H402" t="s">
        <v>3423</v>
      </c>
      <c r="I402" t="s">
        <v>2890</v>
      </c>
      <c r="J402" t="s">
        <v>2712</v>
      </c>
      <c r="K402" t="s">
        <v>112</v>
      </c>
      <c r="L402">
        <v>186</v>
      </c>
      <c r="M402">
        <v>0.33333333333333331</v>
      </c>
      <c r="N402">
        <v>8</v>
      </c>
      <c r="O402" t="s">
        <v>3904</v>
      </c>
      <c r="P402" t="s">
        <v>2486</v>
      </c>
      <c r="Q402">
        <v>2019</v>
      </c>
      <c r="R402">
        <v>2002</v>
      </c>
      <c r="S402" s="1">
        <v>44801</v>
      </c>
      <c r="T402" s="1">
        <v>44800</v>
      </c>
      <c r="U402" t="s">
        <v>4126</v>
      </c>
      <c r="V402" t="s">
        <v>4114</v>
      </c>
      <c r="W402" t="s">
        <v>4159</v>
      </c>
      <c r="X402" t="s">
        <v>4160</v>
      </c>
      <c r="Y402" t="s">
        <v>4147</v>
      </c>
    </row>
    <row r="403" spans="1:25" x14ac:dyDescent="0.25">
      <c r="A403">
        <v>402</v>
      </c>
      <c r="B403">
        <v>597038</v>
      </c>
      <c r="C403" t="s">
        <v>3424</v>
      </c>
      <c r="D403" t="s">
        <v>977</v>
      </c>
      <c r="E403" t="s">
        <v>174</v>
      </c>
      <c r="F403" t="s">
        <v>175</v>
      </c>
      <c r="H403" t="s">
        <v>3425</v>
      </c>
      <c r="I403" t="s">
        <v>2890</v>
      </c>
      <c r="J403" t="s">
        <v>1670</v>
      </c>
      <c r="K403" t="s">
        <v>57</v>
      </c>
      <c r="L403">
        <v>287</v>
      </c>
      <c r="P403" t="s">
        <v>2486</v>
      </c>
      <c r="Q403">
        <v>2009</v>
      </c>
      <c r="R403">
        <v>1987</v>
      </c>
      <c r="S403" s="1">
        <v>44800</v>
      </c>
      <c r="T403" s="1">
        <v>44799</v>
      </c>
      <c r="U403" t="s">
        <v>4120</v>
      </c>
      <c r="V403" t="s">
        <v>4114</v>
      </c>
      <c r="W403" t="s">
        <v>4115</v>
      </c>
      <c r="X403" t="s">
        <v>2603</v>
      </c>
      <c r="Y403" t="s">
        <v>4116</v>
      </c>
    </row>
    <row r="404" spans="1:25" x14ac:dyDescent="0.25">
      <c r="A404">
        <v>403</v>
      </c>
      <c r="B404">
        <v>42406860</v>
      </c>
      <c r="C404" t="s">
        <v>978</v>
      </c>
      <c r="D404" t="s">
        <v>17</v>
      </c>
      <c r="E404" t="s">
        <v>364</v>
      </c>
      <c r="F404" t="s">
        <v>365</v>
      </c>
      <c r="H404" t="s">
        <v>3426</v>
      </c>
      <c r="I404" t="s">
        <v>3006</v>
      </c>
      <c r="J404" t="s">
        <v>2121</v>
      </c>
      <c r="K404" t="s">
        <v>57</v>
      </c>
      <c r="L404">
        <v>208</v>
      </c>
      <c r="P404" t="s">
        <v>2486</v>
      </c>
      <c r="Q404">
        <v>2018</v>
      </c>
      <c r="R404">
        <v>1992</v>
      </c>
      <c r="S404" s="1">
        <v>44799</v>
      </c>
      <c r="T404" s="1">
        <v>44798</v>
      </c>
      <c r="U404" t="s">
        <v>4126</v>
      </c>
      <c r="V404" t="s">
        <v>4114</v>
      </c>
      <c r="W404" t="s">
        <v>4159</v>
      </c>
      <c r="X404" t="s">
        <v>4160</v>
      </c>
      <c r="Y404" t="s">
        <v>4147</v>
      </c>
    </row>
    <row r="405" spans="1:25" x14ac:dyDescent="0.25">
      <c r="A405">
        <v>404</v>
      </c>
      <c r="B405">
        <v>55887410</v>
      </c>
      <c r="C405" t="s">
        <v>3427</v>
      </c>
      <c r="D405" t="s">
        <v>980</v>
      </c>
      <c r="E405" t="s">
        <v>280</v>
      </c>
      <c r="F405" t="s">
        <v>281</v>
      </c>
      <c r="G405" t="s">
        <v>2710</v>
      </c>
      <c r="H405" t="s">
        <v>3428</v>
      </c>
      <c r="I405" t="s">
        <v>2890</v>
      </c>
      <c r="J405" t="s">
        <v>2492</v>
      </c>
      <c r="K405" t="s">
        <v>112</v>
      </c>
      <c r="L405">
        <v>328</v>
      </c>
      <c r="M405">
        <v>0.46111111111111114</v>
      </c>
      <c r="N405">
        <v>11.066666666666666</v>
      </c>
      <c r="O405" t="s">
        <v>3934</v>
      </c>
      <c r="P405" t="s">
        <v>2486</v>
      </c>
      <c r="Q405">
        <v>2020</v>
      </c>
      <c r="R405">
        <v>2017</v>
      </c>
      <c r="S405" s="1">
        <v>44798</v>
      </c>
      <c r="T405" s="1">
        <v>44794</v>
      </c>
      <c r="U405" t="s">
        <v>4117</v>
      </c>
      <c r="V405" t="s">
        <v>4114</v>
      </c>
      <c r="W405" t="s">
        <v>4115</v>
      </c>
      <c r="X405" t="s">
        <v>2603</v>
      </c>
      <c r="Y405" t="s">
        <v>4116</v>
      </c>
    </row>
    <row r="406" spans="1:25" x14ac:dyDescent="0.25">
      <c r="A406">
        <v>405</v>
      </c>
      <c r="B406">
        <v>17253574</v>
      </c>
      <c r="C406" t="s">
        <v>981</v>
      </c>
      <c r="D406" t="s">
        <v>17</v>
      </c>
      <c r="E406" t="s">
        <v>62</v>
      </c>
      <c r="F406" t="s">
        <v>63</v>
      </c>
      <c r="H406" t="s">
        <v>3429</v>
      </c>
      <c r="I406" t="s">
        <v>2901</v>
      </c>
      <c r="J406" t="s">
        <v>1668</v>
      </c>
      <c r="K406" t="s">
        <v>2488</v>
      </c>
      <c r="L406">
        <v>328</v>
      </c>
      <c r="P406" t="s">
        <v>2494</v>
      </c>
      <c r="Q406">
        <v>2010</v>
      </c>
      <c r="R406">
        <v>2010</v>
      </c>
      <c r="S406" s="1">
        <v>44795</v>
      </c>
      <c r="T406" s="1">
        <v>44699</v>
      </c>
      <c r="U406" t="s">
        <v>4129</v>
      </c>
      <c r="V406" t="s">
        <v>4114</v>
      </c>
      <c r="W406" t="s">
        <v>4133</v>
      </c>
      <c r="X406" t="s">
        <v>2494</v>
      </c>
      <c r="Y406" t="s">
        <v>4116</v>
      </c>
    </row>
    <row r="407" spans="1:25" x14ac:dyDescent="0.25">
      <c r="A407">
        <v>406</v>
      </c>
      <c r="B407">
        <v>41835824</v>
      </c>
      <c r="C407" t="s">
        <v>3430</v>
      </c>
      <c r="D407" t="s">
        <v>983</v>
      </c>
      <c r="E407" t="s">
        <v>280</v>
      </c>
      <c r="F407" t="s">
        <v>281</v>
      </c>
      <c r="G407" t="s">
        <v>2710</v>
      </c>
      <c r="H407" t="s">
        <v>3431</v>
      </c>
      <c r="I407" t="s">
        <v>2890</v>
      </c>
      <c r="J407" t="s">
        <v>2492</v>
      </c>
      <c r="K407" t="s">
        <v>112</v>
      </c>
      <c r="L407">
        <v>303</v>
      </c>
      <c r="M407">
        <v>0.38958333333333334</v>
      </c>
      <c r="N407">
        <v>9.35</v>
      </c>
      <c r="O407" t="s">
        <v>4053</v>
      </c>
      <c r="P407" t="s">
        <v>2486</v>
      </c>
      <c r="Q407">
        <v>2020</v>
      </c>
      <c r="R407">
        <v>2010</v>
      </c>
      <c r="S407" s="1">
        <v>44794</v>
      </c>
      <c r="T407" s="1">
        <v>44793</v>
      </c>
      <c r="U407" t="s">
        <v>4117</v>
      </c>
      <c r="V407" t="s">
        <v>4114</v>
      </c>
      <c r="W407" t="s">
        <v>4115</v>
      </c>
      <c r="X407" t="s">
        <v>2603</v>
      </c>
      <c r="Y407" t="s">
        <v>4116</v>
      </c>
    </row>
    <row r="408" spans="1:25" x14ac:dyDescent="0.25">
      <c r="A408">
        <v>407</v>
      </c>
      <c r="B408">
        <v>36572273</v>
      </c>
      <c r="C408" t="s">
        <v>3432</v>
      </c>
      <c r="D408" t="s">
        <v>985</v>
      </c>
      <c r="E408" t="s">
        <v>280</v>
      </c>
      <c r="F408" t="s">
        <v>281</v>
      </c>
      <c r="G408" t="s">
        <v>2710</v>
      </c>
      <c r="H408" t="s">
        <v>3433</v>
      </c>
      <c r="I408" t="s">
        <v>2890</v>
      </c>
      <c r="J408" t="s">
        <v>2492</v>
      </c>
      <c r="K408" t="s">
        <v>112</v>
      </c>
      <c r="L408">
        <v>390</v>
      </c>
      <c r="M408">
        <v>0.42152777777777778</v>
      </c>
      <c r="N408">
        <v>10.116666666666667</v>
      </c>
      <c r="O408" t="s">
        <v>3907</v>
      </c>
      <c r="P408" t="s">
        <v>2486</v>
      </c>
      <c r="Q408">
        <v>2019</v>
      </c>
      <c r="R408">
        <v>2017</v>
      </c>
      <c r="S408" s="1">
        <v>44791</v>
      </c>
      <c r="T408" s="1">
        <v>44787</v>
      </c>
      <c r="U408" t="s">
        <v>4117</v>
      </c>
      <c r="V408" t="s">
        <v>4114</v>
      </c>
      <c r="W408" t="s">
        <v>4115</v>
      </c>
      <c r="X408" t="s">
        <v>2603</v>
      </c>
      <c r="Y408" t="s">
        <v>4116</v>
      </c>
    </row>
    <row r="409" spans="1:25" x14ac:dyDescent="0.25">
      <c r="A409">
        <v>408</v>
      </c>
      <c r="B409">
        <v>23787900</v>
      </c>
      <c r="C409" t="s">
        <v>2713</v>
      </c>
      <c r="D409" t="s">
        <v>17</v>
      </c>
      <c r="E409" t="s">
        <v>986</v>
      </c>
      <c r="F409" t="s">
        <v>987</v>
      </c>
      <c r="H409" t="s">
        <v>3434</v>
      </c>
      <c r="I409" t="s">
        <v>2890</v>
      </c>
      <c r="J409" t="s">
        <v>2189</v>
      </c>
      <c r="K409" t="s">
        <v>2488</v>
      </c>
      <c r="L409">
        <v>208</v>
      </c>
      <c r="P409" t="s">
        <v>2494</v>
      </c>
      <c r="Q409">
        <v>2015</v>
      </c>
      <c r="R409">
        <v>2014</v>
      </c>
      <c r="S409" s="1">
        <v>44790</v>
      </c>
      <c r="T409" s="1">
        <v>44787</v>
      </c>
      <c r="U409" t="s">
        <v>4155</v>
      </c>
      <c r="V409" t="s">
        <v>4131</v>
      </c>
      <c r="W409" t="s">
        <v>4123</v>
      </c>
      <c r="X409" t="s">
        <v>4124</v>
      </c>
      <c r="Y409" t="s">
        <v>4125</v>
      </c>
    </row>
    <row r="410" spans="1:25" x14ac:dyDescent="0.25">
      <c r="A410">
        <v>409</v>
      </c>
      <c r="B410">
        <v>58203248</v>
      </c>
      <c r="C410" t="s">
        <v>988</v>
      </c>
      <c r="D410" t="s">
        <v>17</v>
      </c>
      <c r="E410" t="s">
        <v>989</v>
      </c>
      <c r="F410" t="s">
        <v>990</v>
      </c>
      <c r="H410" t="s">
        <v>3435</v>
      </c>
      <c r="I410" t="s">
        <v>2890</v>
      </c>
      <c r="J410" t="s">
        <v>2128</v>
      </c>
      <c r="K410" t="s">
        <v>2488</v>
      </c>
      <c r="L410">
        <v>216</v>
      </c>
      <c r="P410" t="s">
        <v>2486</v>
      </c>
      <c r="Q410">
        <v>2021</v>
      </c>
      <c r="R410">
        <v>2021</v>
      </c>
      <c r="S410" s="1">
        <v>44786</v>
      </c>
      <c r="T410" s="1">
        <v>44785</v>
      </c>
      <c r="U410" t="s">
        <v>4155</v>
      </c>
      <c r="V410" t="s">
        <v>4131</v>
      </c>
      <c r="W410" t="s">
        <v>4148</v>
      </c>
      <c r="X410" t="s">
        <v>2486</v>
      </c>
      <c r="Y410" t="s">
        <v>4125</v>
      </c>
    </row>
    <row r="411" spans="1:25" x14ac:dyDescent="0.25">
      <c r="A411">
        <v>410</v>
      </c>
      <c r="B411">
        <v>34328716</v>
      </c>
      <c r="C411" t="s">
        <v>3436</v>
      </c>
      <c r="D411" t="s">
        <v>992</v>
      </c>
      <c r="E411" t="s">
        <v>280</v>
      </c>
      <c r="F411" t="s">
        <v>281</v>
      </c>
      <c r="G411" t="s">
        <v>2710</v>
      </c>
      <c r="H411" t="s">
        <v>3437</v>
      </c>
      <c r="I411" t="s">
        <v>2890</v>
      </c>
      <c r="J411" t="s">
        <v>2492</v>
      </c>
      <c r="K411" t="s">
        <v>112</v>
      </c>
      <c r="L411">
        <v>341</v>
      </c>
      <c r="M411">
        <v>0.42083333333333334</v>
      </c>
      <c r="N411">
        <v>10.1</v>
      </c>
      <c r="O411" t="s">
        <v>4054</v>
      </c>
      <c r="P411" t="s">
        <v>2486</v>
      </c>
      <c r="Q411">
        <v>2018</v>
      </c>
      <c r="R411">
        <v>2008</v>
      </c>
      <c r="S411" s="1">
        <v>44785</v>
      </c>
      <c r="T411" s="1">
        <v>44785</v>
      </c>
      <c r="U411" t="s">
        <v>4117</v>
      </c>
      <c r="V411" t="s">
        <v>4114</v>
      </c>
      <c r="W411" t="s">
        <v>4115</v>
      </c>
      <c r="X411" t="s">
        <v>2603</v>
      </c>
      <c r="Y411" t="s">
        <v>4116</v>
      </c>
    </row>
    <row r="412" spans="1:25" x14ac:dyDescent="0.25">
      <c r="A412">
        <v>411</v>
      </c>
      <c r="B412">
        <v>30090072</v>
      </c>
      <c r="C412" t="s">
        <v>3438</v>
      </c>
      <c r="D412" t="s">
        <v>2714</v>
      </c>
      <c r="E412" t="s">
        <v>280</v>
      </c>
      <c r="F412" t="s">
        <v>281</v>
      </c>
      <c r="G412" t="s">
        <v>2710</v>
      </c>
      <c r="H412" t="s">
        <v>3439</v>
      </c>
      <c r="I412" t="s">
        <v>2890</v>
      </c>
      <c r="J412" t="s">
        <v>2492</v>
      </c>
      <c r="K412" t="s">
        <v>112</v>
      </c>
      <c r="L412">
        <v>312</v>
      </c>
      <c r="M412">
        <v>0.42083333333333334</v>
      </c>
      <c r="N412">
        <v>10.1</v>
      </c>
      <c r="O412" t="s">
        <v>4054</v>
      </c>
      <c r="P412" t="s">
        <v>2486</v>
      </c>
      <c r="Q412">
        <v>2016</v>
      </c>
      <c r="R412">
        <v>2007</v>
      </c>
      <c r="S412" s="1">
        <v>44783</v>
      </c>
      <c r="T412" s="1">
        <v>44783</v>
      </c>
      <c r="U412" t="s">
        <v>4117</v>
      </c>
      <c r="V412" t="s">
        <v>4114</v>
      </c>
      <c r="W412" t="s">
        <v>4115</v>
      </c>
      <c r="X412" t="s">
        <v>2603</v>
      </c>
      <c r="Y412" t="s">
        <v>4116</v>
      </c>
    </row>
    <row r="413" spans="1:25" x14ac:dyDescent="0.25">
      <c r="A413">
        <v>412</v>
      </c>
      <c r="B413">
        <v>43790496</v>
      </c>
      <c r="C413" t="s">
        <v>3440</v>
      </c>
      <c r="D413" t="s">
        <v>995</v>
      </c>
      <c r="E413" t="s">
        <v>996</v>
      </c>
      <c r="F413" t="s">
        <v>997</v>
      </c>
      <c r="H413" t="s">
        <v>3441</v>
      </c>
      <c r="I413" t="s">
        <v>2901</v>
      </c>
      <c r="J413" t="s">
        <v>1878</v>
      </c>
      <c r="K413" t="s">
        <v>57</v>
      </c>
      <c r="L413">
        <v>384</v>
      </c>
      <c r="P413" t="s">
        <v>2486</v>
      </c>
      <c r="Q413">
        <v>2019</v>
      </c>
      <c r="R413">
        <v>2019</v>
      </c>
      <c r="S413" s="1">
        <v>44783</v>
      </c>
      <c r="T413" s="1">
        <v>44779</v>
      </c>
      <c r="U413" t="s">
        <v>4120</v>
      </c>
      <c r="V413" t="s">
        <v>4114</v>
      </c>
      <c r="W413" t="s">
        <v>4148</v>
      </c>
      <c r="X413" t="s">
        <v>2486</v>
      </c>
      <c r="Y413" t="s">
        <v>4125</v>
      </c>
    </row>
    <row r="414" spans="1:25" x14ac:dyDescent="0.25">
      <c r="A414">
        <v>413</v>
      </c>
      <c r="B414">
        <v>36486058</v>
      </c>
      <c r="C414" t="s">
        <v>3442</v>
      </c>
      <c r="D414" t="s">
        <v>999</v>
      </c>
      <c r="E414" t="s">
        <v>996</v>
      </c>
      <c r="F414" t="s">
        <v>997</v>
      </c>
      <c r="H414" t="s">
        <v>3443</v>
      </c>
      <c r="I414" t="s">
        <v>2901</v>
      </c>
      <c r="J414" t="s">
        <v>1878</v>
      </c>
      <c r="K414" t="s">
        <v>57</v>
      </c>
      <c r="L414">
        <v>320</v>
      </c>
      <c r="P414" t="s">
        <v>2486</v>
      </c>
      <c r="Q414">
        <v>2017</v>
      </c>
      <c r="R414">
        <v>2017</v>
      </c>
      <c r="S414" s="1">
        <v>44778</v>
      </c>
      <c r="T414" s="1">
        <v>44776</v>
      </c>
      <c r="U414" t="s">
        <v>4120</v>
      </c>
      <c r="V414" t="s">
        <v>4114</v>
      </c>
      <c r="W414" t="s">
        <v>4148</v>
      </c>
      <c r="X414" t="s">
        <v>2486</v>
      </c>
      <c r="Y414" t="s">
        <v>4125</v>
      </c>
    </row>
    <row r="415" spans="1:25" x14ac:dyDescent="0.25">
      <c r="A415">
        <v>414</v>
      </c>
      <c r="B415">
        <v>26081878</v>
      </c>
      <c r="C415" t="s">
        <v>3444</v>
      </c>
      <c r="D415" t="s">
        <v>2715</v>
      </c>
      <c r="E415" t="s">
        <v>280</v>
      </c>
      <c r="F415" t="s">
        <v>281</v>
      </c>
      <c r="G415" t="s">
        <v>2710</v>
      </c>
      <c r="H415" t="s">
        <v>3445</v>
      </c>
      <c r="I415" t="s">
        <v>2890</v>
      </c>
      <c r="J415" t="s">
        <v>2492</v>
      </c>
      <c r="K415" t="s">
        <v>112</v>
      </c>
      <c r="L415">
        <v>400</v>
      </c>
      <c r="M415">
        <v>0.48125000000000001</v>
      </c>
      <c r="N415">
        <v>11.55</v>
      </c>
      <c r="O415" t="s">
        <v>4055</v>
      </c>
      <c r="P415" t="s">
        <v>2486</v>
      </c>
      <c r="Q415">
        <v>2015</v>
      </c>
      <c r="R415">
        <v>2006</v>
      </c>
      <c r="S415" s="1">
        <v>44778</v>
      </c>
      <c r="T415" s="1">
        <v>44775</v>
      </c>
      <c r="U415" t="s">
        <v>4117</v>
      </c>
      <c r="V415" t="s">
        <v>4114</v>
      </c>
      <c r="W415" t="s">
        <v>4115</v>
      </c>
      <c r="X415" t="s">
        <v>2603</v>
      </c>
      <c r="Y415" t="s">
        <v>4116</v>
      </c>
    </row>
    <row r="416" spans="1:25" x14ac:dyDescent="0.25">
      <c r="A416">
        <v>415</v>
      </c>
      <c r="B416">
        <v>33012500</v>
      </c>
      <c r="C416" t="s">
        <v>1001</v>
      </c>
      <c r="D416" t="s">
        <v>17</v>
      </c>
      <c r="E416" t="s">
        <v>1002</v>
      </c>
      <c r="F416" t="s">
        <v>1003</v>
      </c>
      <c r="H416" t="s">
        <v>3446</v>
      </c>
      <c r="I416" t="s">
        <v>2917</v>
      </c>
      <c r="J416" t="s">
        <v>1944</v>
      </c>
      <c r="K416" t="s">
        <v>57</v>
      </c>
      <c r="L416">
        <v>288</v>
      </c>
      <c r="P416" t="s">
        <v>2494</v>
      </c>
      <c r="Q416">
        <v>2016</v>
      </c>
      <c r="R416">
        <v>2009</v>
      </c>
      <c r="S416" s="1">
        <v>44775</v>
      </c>
      <c r="T416" s="1">
        <v>44746</v>
      </c>
      <c r="U416" t="s">
        <v>4155</v>
      </c>
      <c r="V416" t="s">
        <v>4131</v>
      </c>
      <c r="W416" t="s">
        <v>4142</v>
      </c>
      <c r="X416" t="s">
        <v>4143</v>
      </c>
      <c r="Y416" t="s">
        <v>4116</v>
      </c>
    </row>
    <row r="417" spans="1:25" x14ac:dyDescent="0.25">
      <c r="A417">
        <v>416</v>
      </c>
      <c r="B417">
        <v>48776591</v>
      </c>
      <c r="C417" t="s">
        <v>3447</v>
      </c>
      <c r="D417" t="s">
        <v>1005</v>
      </c>
      <c r="E417" t="s">
        <v>1006</v>
      </c>
      <c r="F417" t="s">
        <v>1007</v>
      </c>
      <c r="H417" t="s">
        <v>3448</v>
      </c>
      <c r="I417" t="s">
        <v>2890</v>
      </c>
      <c r="J417" t="s">
        <v>1905</v>
      </c>
      <c r="K417" t="s">
        <v>57</v>
      </c>
      <c r="L417">
        <v>412</v>
      </c>
      <c r="P417" t="s">
        <v>2603</v>
      </c>
      <c r="Q417">
        <v>2022</v>
      </c>
      <c r="R417">
        <v>2019</v>
      </c>
      <c r="S417" s="1">
        <v>44773</v>
      </c>
      <c r="T417" s="1">
        <v>44725</v>
      </c>
      <c r="U417" t="s">
        <v>4117</v>
      </c>
      <c r="V417" t="s">
        <v>4114</v>
      </c>
      <c r="W417" t="s">
        <v>4115</v>
      </c>
      <c r="X417" t="s">
        <v>2603</v>
      </c>
      <c r="Y417" t="s">
        <v>4125</v>
      </c>
    </row>
    <row r="418" spans="1:25" x14ac:dyDescent="0.25">
      <c r="A418">
        <v>417</v>
      </c>
      <c r="B418">
        <v>7419807</v>
      </c>
      <c r="C418" t="s">
        <v>3449</v>
      </c>
      <c r="D418" t="s">
        <v>1009</v>
      </c>
      <c r="E418" t="s">
        <v>1010</v>
      </c>
      <c r="F418" t="s">
        <v>1011</v>
      </c>
      <c r="G418" t="s">
        <v>2716</v>
      </c>
      <c r="H418" t="s">
        <v>3450</v>
      </c>
      <c r="I418" t="s">
        <v>2917</v>
      </c>
      <c r="J418" t="s">
        <v>2492</v>
      </c>
      <c r="K418" t="s">
        <v>112</v>
      </c>
      <c r="L418">
        <v>432</v>
      </c>
      <c r="M418">
        <v>0.76944444444444449</v>
      </c>
      <c r="N418">
        <v>18.466666666666669</v>
      </c>
      <c r="O418" t="s">
        <v>4056</v>
      </c>
      <c r="P418" t="s">
        <v>2486</v>
      </c>
      <c r="Q418">
        <v>2022</v>
      </c>
      <c r="R418">
        <v>1976</v>
      </c>
      <c r="S418" s="1">
        <v>44772</v>
      </c>
      <c r="T418" s="1">
        <v>44766</v>
      </c>
      <c r="U418" t="s">
        <v>4113</v>
      </c>
      <c r="V418" t="s">
        <v>4114</v>
      </c>
      <c r="W418" t="s">
        <v>4121</v>
      </c>
      <c r="X418" t="s">
        <v>2603</v>
      </c>
      <c r="Y418" t="s">
        <v>4116</v>
      </c>
    </row>
    <row r="419" spans="1:25" x14ac:dyDescent="0.25">
      <c r="A419">
        <v>418</v>
      </c>
      <c r="B419">
        <v>61078268</v>
      </c>
      <c r="C419" t="s">
        <v>1012</v>
      </c>
      <c r="D419" t="s">
        <v>17</v>
      </c>
      <c r="E419" t="s">
        <v>1013</v>
      </c>
      <c r="F419" t="s">
        <v>1014</v>
      </c>
      <c r="H419" t="s">
        <v>3451</v>
      </c>
      <c r="I419" t="s">
        <v>2901</v>
      </c>
      <c r="J419" t="s">
        <v>1723</v>
      </c>
      <c r="K419" t="s">
        <v>2488</v>
      </c>
      <c r="L419">
        <v>368</v>
      </c>
      <c r="P419" t="s">
        <v>2494</v>
      </c>
      <c r="Q419">
        <v>2022</v>
      </c>
      <c r="R419">
        <v>2021</v>
      </c>
      <c r="S419" s="1">
        <v>44768</v>
      </c>
      <c r="T419" s="1">
        <v>44756</v>
      </c>
      <c r="U419" t="s">
        <v>4155</v>
      </c>
      <c r="V419" t="s">
        <v>4131</v>
      </c>
      <c r="W419" t="s">
        <v>4123</v>
      </c>
      <c r="X419" t="s">
        <v>2603</v>
      </c>
      <c r="Y419" t="s">
        <v>4116</v>
      </c>
    </row>
    <row r="420" spans="1:25" x14ac:dyDescent="0.25">
      <c r="A420">
        <v>419</v>
      </c>
      <c r="B420">
        <v>7419749</v>
      </c>
      <c r="C420" t="s">
        <v>3452</v>
      </c>
      <c r="D420" t="s">
        <v>1016</v>
      </c>
      <c r="E420" t="s">
        <v>1010</v>
      </c>
      <c r="F420" t="s">
        <v>1011</v>
      </c>
      <c r="G420" t="s">
        <v>2717</v>
      </c>
      <c r="H420" t="s">
        <v>3453</v>
      </c>
      <c r="I420" t="s">
        <v>2890</v>
      </c>
      <c r="J420" t="s">
        <v>2492</v>
      </c>
      <c r="K420" t="s">
        <v>112</v>
      </c>
      <c r="L420">
        <v>256</v>
      </c>
      <c r="M420">
        <v>0.40486111111111112</v>
      </c>
      <c r="N420">
        <v>9.7166666666666668</v>
      </c>
      <c r="O420" t="s">
        <v>3946</v>
      </c>
      <c r="P420" t="s">
        <v>2486</v>
      </c>
      <c r="Q420">
        <v>2021</v>
      </c>
      <c r="R420">
        <v>1969</v>
      </c>
      <c r="S420" s="1">
        <v>44766</v>
      </c>
      <c r="T420" s="1">
        <v>44760</v>
      </c>
      <c r="U420" t="s">
        <v>4113</v>
      </c>
      <c r="V420" t="s">
        <v>4114</v>
      </c>
      <c r="W420" t="s">
        <v>4121</v>
      </c>
      <c r="X420" t="s">
        <v>2603</v>
      </c>
      <c r="Y420" t="s">
        <v>4116</v>
      </c>
    </row>
    <row r="421" spans="1:25" x14ac:dyDescent="0.25">
      <c r="A421">
        <v>420</v>
      </c>
      <c r="B421">
        <v>7419732</v>
      </c>
      <c r="C421" t="s">
        <v>3454</v>
      </c>
      <c r="D421" t="s">
        <v>1018</v>
      </c>
      <c r="E421" t="s">
        <v>1010</v>
      </c>
      <c r="F421" t="s">
        <v>1011</v>
      </c>
      <c r="G421" t="s">
        <v>2718</v>
      </c>
      <c r="H421" t="s">
        <v>3455</v>
      </c>
      <c r="I421" t="s">
        <v>2890</v>
      </c>
      <c r="J421" t="s">
        <v>2492</v>
      </c>
      <c r="K421" t="s">
        <v>112</v>
      </c>
      <c r="L421">
        <v>638</v>
      </c>
      <c r="M421">
        <v>0.91666666666666663</v>
      </c>
      <c r="N421">
        <v>22</v>
      </c>
      <c r="O421" t="s">
        <v>4057</v>
      </c>
      <c r="P421" t="s">
        <v>2486</v>
      </c>
      <c r="Q421">
        <v>2016</v>
      </c>
      <c r="R421">
        <v>1965</v>
      </c>
      <c r="S421" s="1">
        <v>44762</v>
      </c>
      <c r="T421" s="1">
        <v>44757</v>
      </c>
      <c r="U421" t="s">
        <v>4113</v>
      </c>
      <c r="V421" t="s">
        <v>4114</v>
      </c>
      <c r="W421" t="s">
        <v>4121</v>
      </c>
      <c r="X421" t="s">
        <v>2603</v>
      </c>
      <c r="Y421" t="s">
        <v>4116</v>
      </c>
    </row>
    <row r="422" spans="1:25" x14ac:dyDescent="0.25">
      <c r="A422">
        <v>421</v>
      </c>
      <c r="B422">
        <v>39908713</v>
      </c>
      <c r="C422" t="s">
        <v>1019</v>
      </c>
      <c r="D422" t="s">
        <v>17</v>
      </c>
      <c r="E422" t="s">
        <v>1020</v>
      </c>
      <c r="F422" t="s">
        <v>1021</v>
      </c>
      <c r="H422" t="s">
        <v>3456</v>
      </c>
      <c r="I422" t="s">
        <v>2901</v>
      </c>
      <c r="J422" t="s">
        <v>2140</v>
      </c>
      <c r="K422" t="s">
        <v>2488</v>
      </c>
      <c r="L422">
        <v>336</v>
      </c>
      <c r="P422" t="s">
        <v>2494</v>
      </c>
      <c r="Q422">
        <v>2018</v>
      </c>
      <c r="R422">
        <v>2018</v>
      </c>
      <c r="S422" s="1">
        <v>44756</v>
      </c>
      <c r="T422" s="1">
        <v>44748</v>
      </c>
      <c r="U422" t="s">
        <v>4155</v>
      </c>
      <c r="V422" t="s">
        <v>4131</v>
      </c>
      <c r="W422" t="s">
        <v>4148</v>
      </c>
      <c r="X422" t="s">
        <v>2486</v>
      </c>
      <c r="Y422" t="s">
        <v>4125</v>
      </c>
    </row>
    <row r="423" spans="1:25" x14ac:dyDescent="0.25">
      <c r="A423">
        <v>422</v>
      </c>
      <c r="B423">
        <v>6495218</v>
      </c>
      <c r="C423" t="s">
        <v>3457</v>
      </c>
      <c r="D423" t="s">
        <v>1023</v>
      </c>
      <c r="E423" t="s">
        <v>174</v>
      </c>
      <c r="F423" t="s">
        <v>175</v>
      </c>
      <c r="H423" t="s">
        <v>3458</v>
      </c>
      <c r="I423" t="s">
        <v>2890</v>
      </c>
      <c r="J423" t="s">
        <v>1670</v>
      </c>
      <c r="K423" t="s">
        <v>57</v>
      </c>
      <c r="L423">
        <v>271</v>
      </c>
      <c r="P423" t="s">
        <v>2486</v>
      </c>
      <c r="Q423">
        <v>1996</v>
      </c>
      <c r="R423">
        <v>1986</v>
      </c>
      <c r="S423" s="1">
        <v>44755</v>
      </c>
      <c r="T423" s="1">
        <v>44751</v>
      </c>
      <c r="U423" t="s">
        <v>4120</v>
      </c>
      <c r="V423" t="s">
        <v>4114</v>
      </c>
      <c r="W423" t="s">
        <v>4115</v>
      </c>
      <c r="X423" t="s">
        <v>2603</v>
      </c>
      <c r="Y423" t="s">
        <v>4116</v>
      </c>
    </row>
    <row r="424" spans="1:25" x14ac:dyDescent="0.25">
      <c r="A424">
        <v>423</v>
      </c>
      <c r="B424">
        <v>6495199</v>
      </c>
      <c r="C424" t="s">
        <v>3459</v>
      </c>
      <c r="D424" t="s">
        <v>1025</v>
      </c>
      <c r="E424" t="s">
        <v>174</v>
      </c>
      <c r="F424" t="s">
        <v>175</v>
      </c>
      <c r="H424" t="s">
        <v>3460</v>
      </c>
      <c r="I424" t="s">
        <v>2890</v>
      </c>
      <c r="J424" t="s">
        <v>1670</v>
      </c>
      <c r="K424" t="s">
        <v>57</v>
      </c>
      <c r="L424">
        <v>292</v>
      </c>
      <c r="P424" t="s">
        <v>2486</v>
      </c>
      <c r="Q424">
        <v>1993</v>
      </c>
      <c r="R424">
        <v>1983</v>
      </c>
      <c r="S424" s="1">
        <v>44753</v>
      </c>
      <c r="T424" s="1">
        <v>44748</v>
      </c>
      <c r="U424" t="s">
        <v>4120</v>
      </c>
      <c r="V424" t="s">
        <v>4114</v>
      </c>
      <c r="W424" t="s">
        <v>4115</v>
      </c>
      <c r="X424" t="s">
        <v>2603</v>
      </c>
      <c r="Y424" t="s">
        <v>4116</v>
      </c>
    </row>
    <row r="425" spans="1:25" x14ac:dyDescent="0.25">
      <c r="A425">
        <v>424</v>
      </c>
      <c r="B425">
        <v>54141980</v>
      </c>
      <c r="C425" t="s">
        <v>1026</v>
      </c>
      <c r="D425" t="s">
        <v>17</v>
      </c>
      <c r="E425" t="s">
        <v>280</v>
      </c>
      <c r="F425" t="s">
        <v>281</v>
      </c>
      <c r="G425" t="s">
        <v>2719</v>
      </c>
      <c r="H425" t="s">
        <v>3461</v>
      </c>
      <c r="I425" t="s">
        <v>2890</v>
      </c>
      <c r="J425" t="s">
        <v>2492</v>
      </c>
      <c r="K425" t="s">
        <v>112</v>
      </c>
      <c r="L425">
        <v>380</v>
      </c>
      <c r="M425">
        <v>0.38819444444444445</v>
      </c>
      <c r="N425">
        <v>9.3166666666666664</v>
      </c>
      <c r="O425" t="s">
        <v>4058</v>
      </c>
      <c r="P425" t="s">
        <v>2486</v>
      </c>
      <c r="Q425">
        <v>2020</v>
      </c>
      <c r="R425">
        <v>2020</v>
      </c>
      <c r="S425" s="1">
        <v>44750</v>
      </c>
      <c r="T425" s="1">
        <v>44715</v>
      </c>
      <c r="U425" t="s">
        <v>4117</v>
      </c>
      <c r="V425" t="s">
        <v>4114</v>
      </c>
      <c r="W425" t="s">
        <v>4115</v>
      </c>
      <c r="X425" t="s">
        <v>2603</v>
      </c>
      <c r="Y425" t="s">
        <v>4116</v>
      </c>
    </row>
    <row r="426" spans="1:25" x14ac:dyDescent="0.25">
      <c r="A426">
        <v>425</v>
      </c>
      <c r="B426">
        <v>53122884</v>
      </c>
      <c r="C426" t="s">
        <v>3462</v>
      </c>
      <c r="D426" t="s">
        <v>1028</v>
      </c>
      <c r="E426" t="s">
        <v>359</v>
      </c>
      <c r="F426" t="s">
        <v>360</v>
      </c>
      <c r="G426" t="s">
        <v>2710</v>
      </c>
      <c r="H426" t="s">
        <v>3463</v>
      </c>
      <c r="I426" t="s">
        <v>2890</v>
      </c>
      <c r="J426" t="s">
        <v>2545</v>
      </c>
      <c r="K426" t="s">
        <v>112</v>
      </c>
      <c r="L426">
        <v>584</v>
      </c>
      <c r="M426">
        <v>0.8208333333333333</v>
      </c>
      <c r="N426">
        <v>19.7</v>
      </c>
      <c r="O426" t="s">
        <v>4059</v>
      </c>
      <c r="P426" t="s">
        <v>2486</v>
      </c>
      <c r="Q426">
        <v>2020</v>
      </c>
      <c r="R426">
        <v>2019</v>
      </c>
      <c r="S426" s="1">
        <v>44749</v>
      </c>
      <c r="T426" s="1">
        <v>44747</v>
      </c>
      <c r="U426" t="s">
        <v>4117</v>
      </c>
      <c r="V426" t="s">
        <v>4114</v>
      </c>
      <c r="W426" t="s">
        <v>4142</v>
      </c>
      <c r="X426" t="s">
        <v>4143</v>
      </c>
      <c r="Y426" t="s">
        <v>4116</v>
      </c>
    </row>
    <row r="427" spans="1:25" x14ac:dyDescent="0.25">
      <c r="A427">
        <v>426</v>
      </c>
      <c r="B427">
        <v>34469429</v>
      </c>
      <c r="C427" t="s">
        <v>1143</v>
      </c>
      <c r="D427" t="s">
        <v>1030</v>
      </c>
      <c r="E427" t="s">
        <v>359</v>
      </c>
      <c r="F427" t="s">
        <v>360</v>
      </c>
      <c r="G427" t="s">
        <v>2710</v>
      </c>
      <c r="H427" t="s">
        <v>3464</v>
      </c>
      <c r="I427" t="s">
        <v>2890</v>
      </c>
      <c r="J427" t="s">
        <v>1820</v>
      </c>
      <c r="K427" t="s">
        <v>112</v>
      </c>
      <c r="L427">
        <v>560</v>
      </c>
      <c r="M427">
        <v>0.81319444444444444</v>
      </c>
      <c r="N427">
        <v>19.516666666666666</v>
      </c>
      <c r="O427" t="s">
        <v>4060</v>
      </c>
      <c r="P427" t="s">
        <v>2486</v>
      </c>
      <c r="Q427">
        <v>2019</v>
      </c>
      <c r="R427">
        <v>2017</v>
      </c>
      <c r="S427" s="1">
        <v>44747</v>
      </c>
      <c r="T427" s="1">
        <v>44744</v>
      </c>
      <c r="U427" t="s">
        <v>4117</v>
      </c>
      <c r="V427" t="s">
        <v>4114</v>
      </c>
      <c r="W427" t="s">
        <v>4142</v>
      </c>
      <c r="X427" t="s">
        <v>4143</v>
      </c>
      <c r="Y427" t="s">
        <v>4116</v>
      </c>
    </row>
    <row r="428" spans="1:25" x14ac:dyDescent="0.25">
      <c r="A428">
        <v>427</v>
      </c>
      <c r="B428">
        <v>53958983</v>
      </c>
      <c r="C428" t="s">
        <v>1031</v>
      </c>
      <c r="D428" t="s">
        <v>17</v>
      </c>
      <c r="E428" t="s">
        <v>954</v>
      </c>
      <c r="F428" t="s">
        <v>955</v>
      </c>
      <c r="H428" t="s">
        <v>3465</v>
      </c>
      <c r="I428" t="s">
        <v>2890</v>
      </c>
      <c r="J428" t="s">
        <v>1770</v>
      </c>
      <c r="K428" t="s">
        <v>57</v>
      </c>
      <c r="L428">
        <v>384</v>
      </c>
      <c r="P428" t="s">
        <v>2494</v>
      </c>
      <c r="Q428">
        <v>2020</v>
      </c>
      <c r="R428">
        <v>2019</v>
      </c>
      <c r="S428" s="1">
        <v>44745</v>
      </c>
      <c r="T428" s="1">
        <v>44682</v>
      </c>
      <c r="U428" t="s">
        <v>4134</v>
      </c>
      <c r="V428" t="s">
        <v>4114</v>
      </c>
      <c r="W428" t="s">
        <v>4115</v>
      </c>
      <c r="X428" t="s">
        <v>2603</v>
      </c>
      <c r="Y428" t="s">
        <v>4125</v>
      </c>
    </row>
    <row r="429" spans="1:25" x14ac:dyDescent="0.25">
      <c r="A429">
        <v>428</v>
      </c>
      <c r="B429">
        <v>24580607</v>
      </c>
      <c r="C429" t="s">
        <v>3466</v>
      </c>
      <c r="D429" t="s">
        <v>1033</v>
      </c>
      <c r="E429" t="s">
        <v>359</v>
      </c>
      <c r="F429" t="s">
        <v>360</v>
      </c>
      <c r="G429" t="s">
        <v>2710</v>
      </c>
      <c r="H429" t="s">
        <v>3467</v>
      </c>
      <c r="I429" t="s">
        <v>2890</v>
      </c>
      <c r="J429" t="s">
        <v>2492</v>
      </c>
      <c r="K429" t="s">
        <v>112</v>
      </c>
      <c r="L429">
        <v>607</v>
      </c>
      <c r="M429">
        <v>0.58472222222222225</v>
      </c>
      <c r="N429">
        <v>14.033333333333335</v>
      </c>
      <c r="O429" t="s">
        <v>4061</v>
      </c>
      <c r="P429" t="s">
        <v>2486</v>
      </c>
      <c r="Q429">
        <v>2015</v>
      </c>
      <c r="R429">
        <v>2013</v>
      </c>
      <c r="S429" s="1">
        <v>44743</v>
      </c>
      <c r="T429" s="1">
        <v>44743</v>
      </c>
      <c r="U429" t="s">
        <v>4117</v>
      </c>
      <c r="V429" t="s">
        <v>4114</v>
      </c>
      <c r="W429" t="s">
        <v>4142</v>
      </c>
      <c r="X429" t="s">
        <v>4143</v>
      </c>
      <c r="Y429" t="s">
        <v>4116</v>
      </c>
    </row>
    <row r="430" spans="1:25" x14ac:dyDescent="0.25">
      <c r="A430">
        <v>429</v>
      </c>
      <c r="B430">
        <v>59967608</v>
      </c>
      <c r="C430" t="s">
        <v>1034</v>
      </c>
      <c r="D430" t="s">
        <v>17</v>
      </c>
      <c r="E430" t="s">
        <v>18</v>
      </c>
      <c r="F430" t="s">
        <v>19</v>
      </c>
      <c r="H430" t="s">
        <v>3468</v>
      </c>
      <c r="I430" t="s">
        <v>2901</v>
      </c>
      <c r="J430" t="s">
        <v>2148</v>
      </c>
      <c r="K430" t="s">
        <v>2488</v>
      </c>
      <c r="L430">
        <v>257</v>
      </c>
      <c r="P430" t="s">
        <v>2494</v>
      </c>
      <c r="Q430">
        <v>2021</v>
      </c>
      <c r="R430">
        <v>2021</v>
      </c>
      <c r="S430" s="1">
        <v>44737</v>
      </c>
      <c r="T430" s="1">
        <v>44606</v>
      </c>
      <c r="U430" t="s">
        <v>4130</v>
      </c>
      <c r="V430" t="s">
        <v>4131</v>
      </c>
      <c r="W430" t="s">
        <v>4133</v>
      </c>
      <c r="X430" t="s">
        <v>2494</v>
      </c>
      <c r="Y430" t="s">
        <v>4116</v>
      </c>
    </row>
    <row r="431" spans="1:25" x14ac:dyDescent="0.25">
      <c r="A431">
        <v>430</v>
      </c>
      <c r="B431">
        <v>22669982</v>
      </c>
      <c r="C431" t="s">
        <v>3469</v>
      </c>
      <c r="D431" t="s">
        <v>1036</v>
      </c>
      <c r="E431" t="s">
        <v>359</v>
      </c>
      <c r="F431" t="s">
        <v>360</v>
      </c>
      <c r="G431" t="s">
        <v>2720</v>
      </c>
      <c r="H431" t="s">
        <v>3470</v>
      </c>
      <c r="I431" t="s">
        <v>2890</v>
      </c>
      <c r="J431" t="s">
        <v>2492</v>
      </c>
      <c r="K431" t="s">
        <v>112</v>
      </c>
      <c r="L431">
        <v>515</v>
      </c>
      <c r="M431">
        <v>0.61458333333333337</v>
      </c>
      <c r="N431">
        <v>14.75</v>
      </c>
      <c r="O431" t="s">
        <v>4062</v>
      </c>
      <c r="P431" t="s">
        <v>2486</v>
      </c>
      <c r="Q431">
        <v>2014</v>
      </c>
      <c r="R431">
        <v>2011</v>
      </c>
      <c r="S431" s="1">
        <v>44735</v>
      </c>
      <c r="T431" s="1">
        <v>44733</v>
      </c>
      <c r="U431" t="s">
        <v>4117</v>
      </c>
      <c r="V431" t="s">
        <v>4114</v>
      </c>
      <c r="W431" t="s">
        <v>4142</v>
      </c>
      <c r="X431" t="s">
        <v>4143</v>
      </c>
      <c r="Y431" t="s">
        <v>4116</v>
      </c>
    </row>
    <row r="432" spans="1:25" x14ac:dyDescent="0.25">
      <c r="A432">
        <v>431</v>
      </c>
      <c r="B432">
        <v>51918871</v>
      </c>
      <c r="C432" t="s">
        <v>2721</v>
      </c>
      <c r="D432" t="s">
        <v>17</v>
      </c>
      <c r="E432" t="s">
        <v>1037</v>
      </c>
      <c r="F432" t="s">
        <v>1038</v>
      </c>
      <c r="H432" t="s">
        <v>3471</v>
      </c>
      <c r="I432" t="s">
        <v>2901</v>
      </c>
      <c r="J432" t="s">
        <v>1959</v>
      </c>
      <c r="K432" t="s">
        <v>2488</v>
      </c>
      <c r="L432">
        <v>470</v>
      </c>
      <c r="P432" t="s">
        <v>2494</v>
      </c>
      <c r="Q432">
        <v>2020</v>
      </c>
      <c r="R432">
        <v>2019</v>
      </c>
      <c r="S432" s="1">
        <v>44046</v>
      </c>
      <c r="T432" s="1">
        <v>44029</v>
      </c>
      <c r="U432" t="s">
        <v>4135</v>
      </c>
      <c r="V432" t="s">
        <v>4131</v>
      </c>
      <c r="W432" t="s">
        <v>4121</v>
      </c>
      <c r="X432" t="s">
        <v>2603</v>
      </c>
      <c r="Y432" t="s">
        <v>4125</v>
      </c>
    </row>
    <row r="433" spans="1:25" x14ac:dyDescent="0.25">
      <c r="A433">
        <v>432</v>
      </c>
      <c r="B433">
        <v>60616301</v>
      </c>
      <c r="C433" t="s">
        <v>1039</v>
      </c>
      <c r="D433" t="s">
        <v>17</v>
      </c>
      <c r="E433" t="s">
        <v>1040</v>
      </c>
      <c r="F433" t="s">
        <v>1041</v>
      </c>
      <c r="H433" t="s">
        <v>3472</v>
      </c>
      <c r="I433" t="s">
        <v>2890</v>
      </c>
      <c r="J433" t="s">
        <v>1723</v>
      </c>
      <c r="K433" t="s">
        <v>2488</v>
      </c>
      <c r="L433">
        <v>304</v>
      </c>
      <c r="P433" t="s">
        <v>2494</v>
      </c>
      <c r="Q433">
        <v>2022</v>
      </c>
      <c r="R433">
        <v>2022</v>
      </c>
      <c r="S433" s="1">
        <v>44729</v>
      </c>
      <c r="T433" s="1">
        <v>44711</v>
      </c>
      <c r="U433" t="s">
        <v>4130</v>
      </c>
      <c r="V433" t="s">
        <v>4131</v>
      </c>
      <c r="W433" t="s">
        <v>4115</v>
      </c>
      <c r="X433" t="s">
        <v>2603</v>
      </c>
      <c r="Y433" t="s">
        <v>4125</v>
      </c>
    </row>
    <row r="434" spans="1:25" x14ac:dyDescent="0.25">
      <c r="A434">
        <v>433</v>
      </c>
      <c r="B434">
        <v>23355220</v>
      </c>
      <c r="C434" t="s">
        <v>2722</v>
      </c>
      <c r="D434" t="s">
        <v>1042</v>
      </c>
      <c r="E434" t="s">
        <v>359</v>
      </c>
      <c r="F434" t="s">
        <v>360</v>
      </c>
      <c r="H434" t="s">
        <v>3473</v>
      </c>
      <c r="I434" t="s">
        <v>2890</v>
      </c>
      <c r="J434" t="s">
        <v>1820</v>
      </c>
      <c r="K434" t="s">
        <v>57</v>
      </c>
      <c r="L434">
        <v>634</v>
      </c>
      <c r="P434" t="s">
        <v>2486</v>
      </c>
      <c r="Q434">
        <v>2013</v>
      </c>
      <c r="R434">
        <v>2009</v>
      </c>
      <c r="S434" s="1">
        <v>44728</v>
      </c>
      <c r="T434" s="1">
        <v>44723</v>
      </c>
      <c r="U434" t="s">
        <v>4117</v>
      </c>
      <c r="V434" t="s">
        <v>4114</v>
      </c>
      <c r="W434" t="s">
        <v>4142</v>
      </c>
      <c r="X434" t="s">
        <v>4143</v>
      </c>
      <c r="Y434" t="s">
        <v>4116</v>
      </c>
    </row>
    <row r="435" spans="1:25" x14ac:dyDescent="0.25">
      <c r="A435">
        <v>434</v>
      </c>
      <c r="B435">
        <v>58294135</v>
      </c>
      <c r="C435" t="s">
        <v>3474</v>
      </c>
      <c r="D435" t="s">
        <v>1044</v>
      </c>
      <c r="E435" t="s">
        <v>1006</v>
      </c>
      <c r="F435" t="s">
        <v>1007</v>
      </c>
      <c r="H435" t="s">
        <v>3475</v>
      </c>
      <c r="I435" t="s">
        <v>2890</v>
      </c>
      <c r="J435" t="s">
        <v>1685</v>
      </c>
      <c r="K435" t="s">
        <v>57</v>
      </c>
      <c r="L435">
        <v>344</v>
      </c>
      <c r="P435" t="s">
        <v>2486</v>
      </c>
      <c r="Q435">
        <v>2021</v>
      </c>
      <c r="R435">
        <v>2019</v>
      </c>
      <c r="S435" s="1">
        <v>44723</v>
      </c>
      <c r="T435" s="1">
        <v>44721</v>
      </c>
      <c r="U435" t="s">
        <v>4117</v>
      </c>
      <c r="V435" t="s">
        <v>4114</v>
      </c>
      <c r="W435" t="s">
        <v>4115</v>
      </c>
      <c r="X435" t="s">
        <v>2603</v>
      </c>
      <c r="Y435" t="s">
        <v>4125</v>
      </c>
    </row>
    <row r="436" spans="1:25" x14ac:dyDescent="0.25">
      <c r="A436">
        <v>435</v>
      </c>
      <c r="B436">
        <v>16131706</v>
      </c>
      <c r="C436" t="s">
        <v>1045</v>
      </c>
      <c r="D436" t="s">
        <v>17</v>
      </c>
      <c r="E436" t="s">
        <v>359</v>
      </c>
      <c r="F436" t="s">
        <v>360</v>
      </c>
      <c r="G436" t="s">
        <v>2531</v>
      </c>
      <c r="H436" t="s">
        <v>3476</v>
      </c>
      <c r="I436" t="s">
        <v>2890</v>
      </c>
      <c r="J436" t="s">
        <v>1668</v>
      </c>
      <c r="K436" t="s">
        <v>112</v>
      </c>
      <c r="L436">
        <v>375</v>
      </c>
      <c r="M436">
        <v>0.58402777777777781</v>
      </c>
      <c r="N436">
        <v>14.016666666666667</v>
      </c>
      <c r="O436" t="s">
        <v>4063</v>
      </c>
      <c r="P436" t="s">
        <v>2494</v>
      </c>
      <c r="Q436">
        <v>2014</v>
      </c>
      <c r="R436">
        <v>2007</v>
      </c>
      <c r="S436" s="1">
        <v>44721</v>
      </c>
      <c r="T436" s="1">
        <v>44718</v>
      </c>
      <c r="U436" t="s">
        <v>4117</v>
      </c>
      <c r="V436" t="s">
        <v>4114</v>
      </c>
      <c r="W436" t="s">
        <v>4142</v>
      </c>
      <c r="X436" t="s">
        <v>4143</v>
      </c>
      <c r="Y436" t="s">
        <v>4116</v>
      </c>
    </row>
    <row r="437" spans="1:25" x14ac:dyDescent="0.25">
      <c r="A437">
        <v>436</v>
      </c>
      <c r="B437">
        <v>56233955</v>
      </c>
      <c r="C437" t="s">
        <v>3477</v>
      </c>
      <c r="D437" t="s">
        <v>1047</v>
      </c>
      <c r="E437" t="s">
        <v>1006</v>
      </c>
      <c r="F437" t="s">
        <v>1007</v>
      </c>
      <c r="H437" t="s">
        <v>3478</v>
      </c>
      <c r="I437" t="s">
        <v>2890</v>
      </c>
      <c r="J437" t="s">
        <v>1685</v>
      </c>
      <c r="K437" t="s">
        <v>57</v>
      </c>
      <c r="L437">
        <v>400</v>
      </c>
      <c r="P437" t="s">
        <v>2486</v>
      </c>
      <c r="Q437">
        <v>2020</v>
      </c>
      <c r="R437">
        <v>2019</v>
      </c>
      <c r="S437" s="1">
        <v>44716</v>
      </c>
      <c r="T437" s="1">
        <v>44713</v>
      </c>
      <c r="U437" t="s">
        <v>4117</v>
      </c>
      <c r="V437" t="s">
        <v>4114</v>
      </c>
      <c r="W437" t="s">
        <v>4115</v>
      </c>
      <c r="X437" t="s">
        <v>2603</v>
      </c>
      <c r="Y437" t="s">
        <v>4125</v>
      </c>
    </row>
    <row r="438" spans="1:25" x14ac:dyDescent="0.25">
      <c r="A438">
        <v>437</v>
      </c>
      <c r="B438">
        <v>13485637</v>
      </c>
      <c r="C438" t="s">
        <v>3479</v>
      </c>
      <c r="D438" t="s">
        <v>1049</v>
      </c>
      <c r="E438" t="s">
        <v>359</v>
      </c>
      <c r="F438" t="s">
        <v>360</v>
      </c>
      <c r="G438" t="s">
        <v>2710</v>
      </c>
      <c r="H438" t="s">
        <v>3480</v>
      </c>
      <c r="I438" t="s">
        <v>2890</v>
      </c>
      <c r="J438" t="s">
        <v>2545</v>
      </c>
      <c r="K438" t="s">
        <v>112</v>
      </c>
      <c r="L438">
        <v>526</v>
      </c>
      <c r="M438">
        <v>0.74583333333333335</v>
      </c>
      <c r="N438">
        <v>17.899999999999999</v>
      </c>
      <c r="O438" t="s">
        <v>4064</v>
      </c>
      <c r="P438" t="s">
        <v>2486</v>
      </c>
      <c r="Q438">
        <v>2020</v>
      </c>
      <c r="R438">
        <v>2005</v>
      </c>
      <c r="S438" s="1">
        <v>44716</v>
      </c>
      <c r="T438" s="1">
        <v>44716</v>
      </c>
      <c r="U438" t="s">
        <v>4117</v>
      </c>
      <c r="V438" t="s">
        <v>4114</v>
      </c>
      <c r="W438" t="s">
        <v>4142</v>
      </c>
      <c r="X438" t="s">
        <v>4143</v>
      </c>
      <c r="Y438" t="s">
        <v>4116</v>
      </c>
    </row>
    <row r="439" spans="1:25" x14ac:dyDescent="0.25">
      <c r="A439">
        <v>438</v>
      </c>
      <c r="B439">
        <v>26506</v>
      </c>
      <c r="C439" t="s">
        <v>3481</v>
      </c>
      <c r="D439" t="s">
        <v>17</v>
      </c>
      <c r="E439" t="s">
        <v>1050</v>
      </c>
      <c r="F439" t="s">
        <v>1051</v>
      </c>
      <c r="H439" t="s">
        <v>3482</v>
      </c>
      <c r="I439" t="s">
        <v>2890</v>
      </c>
      <c r="J439" t="s">
        <v>1668</v>
      </c>
      <c r="K439" t="s">
        <v>2488</v>
      </c>
      <c r="L439">
        <v>341</v>
      </c>
      <c r="P439" t="s">
        <v>2494</v>
      </c>
      <c r="Q439">
        <v>2007</v>
      </c>
      <c r="R439">
        <v>2007</v>
      </c>
      <c r="S439" s="1">
        <v>44712</v>
      </c>
      <c r="T439" s="1">
        <v>44707</v>
      </c>
      <c r="U439" t="s">
        <v>4149</v>
      </c>
      <c r="V439" t="s">
        <v>4114</v>
      </c>
      <c r="W439" t="s">
        <v>4121</v>
      </c>
      <c r="X439" t="s">
        <v>2603</v>
      </c>
      <c r="Y439" t="s">
        <v>4125</v>
      </c>
    </row>
    <row r="440" spans="1:25" x14ac:dyDescent="0.25">
      <c r="A440">
        <v>439</v>
      </c>
      <c r="B440">
        <v>10058900</v>
      </c>
      <c r="C440" t="s">
        <v>3483</v>
      </c>
      <c r="D440" t="s">
        <v>1053</v>
      </c>
      <c r="E440" t="s">
        <v>359</v>
      </c>
      <c r="F440" t="s">
        <v>360</v>
      </c>
      <c r="G440" t="s">
        <v>2710</v>
      </c>
      <c r="H440" t="s">
        <v>3484</v>
      </c>
      <c r="I440" t="s">
        <v>2890</v>
      </c>
      <c r="J440" t="s">
        <v>2545</v>
      </c>
      <c r="K440" t="s">
        <v>112</v>
      </c>
      <c r="L440">
        <v>376</v>
      </c>
      <c r="M440">
        <v>0.64652777777777781</v>
      </c>
      <c r="N440">
        <v>15.516666666666667</v>
      </c>
      <c r="O440" t="s">
        <v>4065</v>
      </c>
      <c r="P440" t="s">
        <v>2486</v>
      </c>
      <c r="Q440">
        <v>2020</v>
      </c>
      <c r="R440">
        <v>2003</v>
      </c>
      <c r="S440" s="1">
        <v>44707</v>
      </c>
      <c r="T440" s="1">
        <v>44703</v>
      </c>
      <c r="U440" t="s">
        <v>4117</v>
      </c>
      <c r="V440" t="s">
        <v>4114</v>
      </c>
      <c r="W440" t="s">
        <v>4142</v>
      </c>
      <c r="X440" t="s">
        <v>4143</v>
      </c>
      <c r="Y440" t="s">
        <v>4116</v>
      </c>
    </row>
    <row r="441" spans="1:25" x14ac:dyDescent="0.25">
      <c r="A441">
        <v>440</v>
      </c>
      <c r="B441">
        <v>53879647</v>
      </c>
      <c r="C441" t="s">
        <v>3485</v>
      </c>
      <c r="D441" t="s">
        <v>1055</v>
      </c>
      <c r="E441" t="s">
        <v>1006</v>
      </c>
      <c r="F441" t="s">
        <v>1007</v>
      </c>
      <c r="H441" t="s">
        <v>3486</v>
      </c>
      <c r="I441" t="s">
        <v>2890</v>
      </c>
      <c r="J441" t="s">
        <v>1685</v>
      </c>
      <c r="K441" t="s">
        <v>57</v>
      </c>
      <c r="L441">
        <v>368</v>
      </c>
      <c r="P441" t="s">
        <v>2486</v>
      </c>
      <c r="Q441">
        <v>2020</v>
      </c>
      <c r="R441">
        <v>2018</v>
      </c>
      <c r="S441" s="1">
        <v>44706</v>
      </c>
      <c r="T441" s="1">
        <v>44695</v>
      </c>
      <c r="U441" t="s">
        <v>4117</v>
      </c>
      <c r="V441" t="s">
        <v>4114</v>
      </c>
      <c r="W441" t="s">
        <v>4115</v>
      </c>
      <c r="X441" t="s">
        <v>2603</v>
      </c>
      <c r="Y441" t="s">
        <v>4125</v>
      </c>
    </row>
    <row r="442" spans="1:25" x14ac:dyDescent="0.25">
      <c r="A442">
        <v>441</v>
      </c>
      <c r="B442">
        <v>6979826</v>
      </c>
      <c r="C442" t="s">
        <v>3487</v>
      </c>
      <c r="D442" t="s">
        <v>1057</v>
      </c>
      <c r="E442" t="s">
        <v>359</v>
      </c>
      <c r="F442" t="s">
        <v>360</v>
      </c>
      <c r="G442" t="s">
        <v>2723</v>
      </c>
      <c r="H442" t="s">
        <v>3488</v>
      </c>
      <c r="I442" t="s">
        <v>2890</v>
      </c>
      <c r="J442" t="s">
        <v>2712</v>
      </c>
      <c r="K442" t="s">
        <v>112</v>
      </c>
      <c r="L442">
        <v>474</v>
      </c>
      <c r="M442">
        <v>0.20555555555555555</v>
      </c>
      <c r="N442">
        <v>4.9333333333333336</v>
      </c>
      <c r="O442" t="s">
        <v>4066</v>
      </c>
      <c r="P442" t="s">
        <v>2486</v>
      </c>
      <c r="Q442">
        <v>2013</v>
      </c>
      <c r="R442">
        <v>2002</v>
      </c>
      <c r="S442" s="1">
        <v>44701</v>
      </c>
      <c r="T442" s="1">
        <v>44701</v>
      </c>
      <c r="U442" t="s">
        <v>4117</v>
      </c>
      <c r="V442" t="s">
        <v>4114</v>
      </c>
      <c r="W442" t="s">
        <v>4142</v>
      </c>
      <c r="X442" t="s">
        <v>4143</v>
      </c>
      <c r="Y442" t="s">
        <v>4116</v>
      </c>
    </row>
    <row r="443" spans="1:25" x14ac:dyDescent="0.25">
      <c r="A443">
        <v>442</v>
      </c>
      <c r="B443">
        <v>20553047</v>
      </c>
      <c r="C443" t="s">
        <v>3489</v>
      </c>
      <c r="D443" t="s">
        <v>1059</v>
      </c>
      <c r="E443" t="s">
        <v>359</v>
      </c>
      <c r="F443" t="s">
        <v>360</v>
      </c>
      <c r="G443" t="s">
        <v>2720</v>
      </c>
      <c r="H443" t="s">
        <v>3490</v>
      </c>
      <c r="I443" t="s">
        <v>2890</v>
      </c>
      <c r="J443" t="s">
        <v>2492</v>
      </c>
      <c r="K443" t="s">
        <v>112</v>
      </c>
      <c r="L443">
        <v>578</v>
      </c>
      <c r="M443">
        <v>0.6118055555555556</v>
      </c>
      <c r="N443">
        <v>14.683333333333334</v>
      </c>
      <c r="O443" t="s">
        <v>4067</v>
      </c>
      <c r="P443" t="s">
        <v>2486</v>
      </c>
      <c r="Q443">
        <v>2014</v>
      </c>
      <c r="R443">
        <v>2000</v>
      </c>
      <c r="S443" s="1">
        <v>44700</v>
      </c>
      <c r="T443" s="1">
        <v>44699</v>
      </c>
      <c r="U443" t="s">
        <v>4117</v>
      </c>
      <c r="V443" t="s">
        <v>4114</v>
      </c>
      <c r="W443" t="s">
        <v>4142</v>
      </c>
      <c r="X443" t="s">
        <v>4143</v>
      </c>
      <c r="Y443" t="s">
        <v>4116</v>
      </c>
    </row>
    <row r="444" spans="1:25" x14ac:dyDescent="0.25">
      <c r="A444">
        <v>443</v>
      </c>
      <c r="B444">
        <v>21943841</v>
      </c>
      <c r="C444" t="s">
        <v>3491</v>
      </c>
      <c r="D444" t="s">
        <v>1061</v>
      </c>
      <c r="E444" t="s">
        <v>359</v>
      </c>
      <c r="F444" t="s">
        <v>360</v>
      </c>
      <c r="G444" t="s">
        <v>2720</v>
      </c>
      <c r="H444" t="s">
        <v>3492</v>
      </c>
      <c r="I444" t="s">
        <v>2890</v>
      </c>
      <c r="J444" t="s">
        <v>2492</v>
      </c>
      <c r="K444" t="s">
        <v>112</v>
      </c>
      <c r="L444">
        <v>368</v>
      </c>
      <c r="M444">
        <v>0.45347222222222222</v>
      </c>
      <c r="N444">
        <v>10.883333333333333</v>
      </c>
      <c r="O444" t="s">
        <v>4068</v>
      </c>
      <c r="P444" t="s">
        <v>2486</v>
      </c>
      <c r="Q444">
        <v>2016</v>
      </c>
      <c r="R444">
        <v>1998</v>
      </c>
      <c r="S444" s="1">
        <v>44698</v>
      </c>
      <c r="T444" s="1">
        <v>44698</v>
      </c>
      <c r="U444" t="s">
        <v>4117</v>
      </c>
      <c r="V444" t="s">
        <v>4114</v>
      </c>
      <c r="W444" t="s">
        <v>4142</v>
      </c>
      <c r="X444" t="s">
        <v>4143</v>
      </c>
      <c r="Y444" t="s">
        <v>4116</v>
      </c>
    </row>
    <row r="445" spans="1:25" x14ac:dyDescent="0.25">
      <c r="A445">
        <v>444</v>
      </c>
      <c r="B445">
        <v>17306574</v>
      </c>
      <c r="C445" t="s">
        <v>3493</v>
      </c>
      <c r="D445" t="s">
        <v>1063</v>
      </c>
      <c r="E445" t="s">
        <v>359</v>
      </c>
      <c r="F445" t="s">
        <v>360</v>
      </c>
      <c r="G445" t="s">
        <v>2720</v>
      </c>
      <c r="H445" t="s">
        <v>3494</v>
      </c>
      <c r="I445" t="s">
        <v>2890</v>
      </c>
      <c r="J445" t="s">
        <v>2492</v>
      </c>
      <c r="K445" t="s">
        <v>112</v>
      </c>
      <c r="L445">
        <v>398</v>
      </c>
      <c r="M445">
        <v>0.4513888888888889</v>
      </c>
      <c r="N445">
        <v>10.833333333333334</v>
      </c>
      <c r="O445" t="s">
        <v>4069</v>
      </c>
      <c r="P445" t="s">
        <v>2486</v>
      </c>
      <c r="Q445">
        <v>2013</v>
      </c>
      <c r="R445">
        <v>1997</v>
      </c>
      <c r="S445" s="1">
        <v>44695</v>
      </c>
      <c r="T445" s="1">
        <v>44692</v>
      </c>
      <c r="U445" t="s">
        <v>4117</v>
      </c>
      <c r="V445" t="s">
        <v>4114</v>
      </c>
      <c r="W445" t="s">
        <v>4142</v>
      </c>
      <c r="X445" t="s">
        <v>4143</v>
      </c>
      <c r="Y445" t="s">
        <v>4116</v>
      </c>
    </row>
    <row r="446" spans="1:25" x14ac:dyDescent="0.25">
      <c r="A446">
        <v>445</v>
      </c>
      <c r="B446">
        <v>41958085</v>
      </c>
      <c r="C446" t="s">
        <v>1064</v>
      </c>
      <c r="D446" t="s">
        <v>17</v>
      </c>
      <c r="E446" t="s">
        <v>1065</v>
      </c>
      <c r="F446" t="s">
        <v>1066</v>
      </c>
      <c r="H446" t="s">
        <v>3495</v>
      </c>
      <c r="I446" t="s">
        <v>2901</v>
      </c>
      <c r="J446" t="s">
        <v>1673</v>
      </c>
      <c r="K446" t="s">
        <v>2488</v>
      </c>
      <c r="L446">
        <v>488</v>
      </c>
      <c r="P446" t="s">
        <v>2494</v>
      </c>
      <c r="Q446">
        <v>2018</v>
      </c>
      <c r="R446">
        <v>2018</v>
      </c>
      <c r="S446" s="1">
        <v>44694</v>
      </c>
      <c r="T446" s="1">
        <v>44690</v>
      </c>
      <c r="U446" t="s">
        <v>4157</v>
      </c>
      <c r="V446" t="s">
        <v>4131</v>
      </c>
      <c r="W446" t="s">
        <v>4133</v>
      </c>
      <c r="X446" t="s">
        <v>2494</v>
      </c>
      <c r="Y446" t="s">
        <v>4125</v>
      </c>
    </row>
    <row r="447" spans="1:25" x14ac:dyDescent="0.25">
      <c r="A447">
        <v>446</v>
      </c>
      <c r="B447">
        <v>29612594</v>
      </c>
      <c r="C447" t="s">
        <v>1067</v>
      </c>
      <c r="D447" t="s">
        <v>17</v>
      </c>
      <c r="E447" t="s">
        <v>1068</v>
      </c>
      <c r="F447" t="s">
        <v>1069</v>
      </c>
      <c r="H447" t="s">
        <v>3496</v>
      </c>
      <c r="I447" t="s">
        <v>2890</v>
      </c>
      <c r="J447" t="s">
        <v>2164</v>
      </c>
      <c r="K447" t="s">
        <v>57</v>
      </c>
      <c r="L447">
        <v>360</v>
      </c>
      <c r="P447" t="s">
        <v>2486</v>
      </c>
      <c r="Q447">
        <v>2016</v>
      </c>
      <c r="R447">
        <v>2015</v>
      </c>
      <c r="S447" s="1">
        <v>44689</v>
      </c>
      <c r="T447" s="1">
        <v>44674</v>
      </c>
      <c r="U447" t="s">
        <v>4157</v>
      </c>
      <c r="V447" t="s">
        <v>4131</v>
      </c>
      <c r="W447" t="s">
        <v>4150</v>
      </c>
      <c r="X447" t="s">
        <v>4151</v>
      </c>
      <c r="Y447" t="s">
        <v>4116</v>
      </c>
    </row>
    <row r="448" spans="1:25" x14ac:dyDescent="0.25">
      <c r="A448">
        <v>447</v>
      </c>
      <c r="B448">
        <v>42096248</v>
      </c>
      <c r="C448" t="s">
        <v>3497</v>
      </c>
      <c r="D448" t="s">
        <v>1071</v>
      </c>
      <c r="E448" t="s">
        <v>954</v>
      </c>
      <c r="F448" t="s">
        <v>955</v>
      </c>
      <c r="H448" t="s">
        <v>3498</v>
      </c>
      <c r="I448" t="s">
        <v>2890</v>
      </c>
      <c r="J448" t="s">
        <v>1675</v>
      </c>
      <c r="K448" t="s">
        <v>57</v>
      </c>
      <c r="L448">
        <v>372</v>
      </c>
      <c r="P448" t="s">
        <v>2486</v>
      </c>
      <c r="Q448">
        <v>2018</v>
      </c>
      <c r="R448">
        <v>2017</v>
      </c>
      <c r="S448" s="1">
        <v>44675</v>
      </c>
      <c r="T448" s="1">
        <v>44559</v>
      </c>
      <c r="U448" t="s">
        <v>4134</v>
      </c>
      <c r="V448" t="s">
        <v>4114</v>
      </c>
      <c r="W448" t="s">
        <v>4115</v>
      </c>
      <c r="X448" t="s">
        <v>2603</v>
      </c>
      <c r="Y448" t="s">
        <v>4125</v>
      </c>
    </row>
    <row r="449" spans="1:25" x14ac:dyDescent="0.25">
      <c r="A449">
        <v>448</v>
      </c>
      <c r="B449">
        <v>6535812</v>
      </c>
      <c r="C449" t="s">
        <v>3499</v>
      </c>
      <c r="D449" t="s">
        <v>1073</v>
      </c>
      <c r="E449" t="s">
        <v>287</v>
      </c>
      <c r="F449" t="s">
        <v>288</v>
      </c>
      <c r="G449" t="s">
        <v>2724</v>
      </c>
      <c r="H449" t="s">
        <v>3500</v>
      </c>
      <c r="I449" t="s">
        <v>2917</v>
      </c>
      <c r="J449" t="s">
        <v>2627</v>
      </c>
      <c r="K449" t="s">
        <v>112</v>
      </c>
      <c r="L449">
        <v>725</v>
      </c>
      <c r="M449">
        <v>1.2548611111111112</v>
      </c>
      <c r="N449">
        <v>30.116666666666667</v>
      </c>
      <c r="O449" t="s">
        <v>4070</v>
      </c>
      <c r="P449" t="s">
        <v>2486</v>
      </c>
      <c r="Q449">
        <v>2018</v>
      </c>
      <c r="R449">
        <v>2004</v>
      </c>
      <c r="S449" s="1">
        <v>44674</v>
      </c>
      <c r="T449" s="1">
        <v>44664</v>
      </c>
      <c r="U449" t="s">
        <v>4132</v>
      </c>
      <c r="V449" t="s">
        <v>4114</v>
      </c>
      <c r="W449" t="s">
        <v>4121</v>
      </c>
      <c r="X449" t="s">
        <v>2603</v>
      </c>
      <c r="Y449" t="s">
        <v>4116</v>
      </c>
    </row>
    <row r="450" spans="1:25" x14ac:dyDescent="0.25">
      <c r="A450">
        <v>449</v>
      </c>
      <c r="B450">
        <v>59857</v>
      </c>
      <c r="C450" t="s">
        <v>1074</v>
      </c>
      <c r="D450" t="s">
        <v>17</v>
      </c>
      <c r="E450" t="s">
        <v>1050</v>
      </c>
      <c r="F450" t="s">
        <v>1051</v>
      </c>
      <c r="H450" t="s">
        <v>3501</v>
      </c>
      <c r="I450" t="s">
        <v>2890</v>
      </c>
      <c r="J450" t="s">
        <v>2168</v>
      </c>
      <c r="K450" t="s">
        <v>57</v>
      </c>
      <c r="L450">
        <v>336</v>
      </c>
      <c r="P450" t="s">
        <v>2486</v>
      </c>
      <c r="Q450">
        <v>2005</v>
      </c>
      <c r="R450">
        <v>2004</v>
      </c>
      <c r="S450" s="1">
        <v>44669</v>
      </c>
      <c r="T450" s="1">
        <v>44665</v>
      </c>
      <c r="U450" t="s">
        <v>4149</v>
      </c>
      <c r="V450" t="s">
        <v>4114</v>
      </c>
      <c r="W450" t="s">
        <v>4121</v>
      </c>
      <c r="X450" t="s">
        <v>2603</v>
      </c>
      <c r="Y450" t="s">
        <v>4125</v>
      </c>
    </row>
    <row r="451" spans="1:25" x14ac:dyDescent="0.25">
      <c r="A451">
        <v>450</v>
      </c>
      <c r="B451">
        <v>59773100</v>
      </c>
      <c r="C451" t="s">
        <v>1075</v>
      </c>
      <c r="D451" t="s">
        <v>17</v>
      </c>
      <c r="E451" t="s">
        <v>1076</v>
      </c>
      <c r="F451" t="s">
        <v>1077</v>
      </c>
      <c r="H451" t="s">
        <v>3502</v>
      </c>
      <c r="I451" t="s">
        <v>2917</v>
      </c>
      <c r="J451" t="s">
        <v>1668</v>
      </c>
      <c r="K451" t="s">
        <v>57</v>
      </c>
      <c r="L451">
        <v>264</v>
      </c>
      <c r="P451" t="s">
        <v>2494</v>
      </c>
      <c r="Q451">
        <v>2022</v>
      </c>
      <c r="R451">
        <v>1997</v>
      </c>
      <c r="S451" s="1">
        <v>44664</v>
      </c>
      <c r="T451" s="1">
        <v>44646</v>
      </c>
      <c r="U451" t="s">
        <v>4168</v>
      </c>
      <c r="V451" t="s">
        <v>4131</v>
      </c>
      <c r="W451" t="s">
        <v>4121</v>
      </c>
      <c r="X451" t="s">
        <v>2603</v>
      </c>
      <c r="Y451" t="s">
        <v>4116</v>
      </c>
    </row>
    <row r="452" spans="1:25" x14ac:dyDescent="0.25">
      <c r="A452">
        <v>451</v>
      </c>
      <c r="B452">
        <v>6535855</v>
      </c>
      <c r="C452" t="s">
        <v>3503</v>
      </c>
      <c r="D452" t="s">
        <v>1079</v>
      </c>
      <c r="E452" t="s">
        <v>287</v>
      </c>
      <c r="F452" t="s">
        <v>288</v>
      </c>
      <c r="G452" t="s">
        <v>2724</v>
      </c>
      <c r="H452" t="s">
        <v>3504</v>
      </c>
      <c r="I452" t="s">
        <v>2890</v>
      </c>
      <c r="J452" t="s">
        <v>2499</v>
      </c>
      <c r="K452" t="s">
        <v>112</v>
      </c>
      <c r="L452">
        <v>371</v>
      </c>
      <c r="M452">
        <v>0.58472222222222225</v>
      </c>
      <c r="N452">
        <v>14.033333333333335</v>
      </c>
      <c r="O452" t="s">
        <v>4061</v>
      </c>
      <c r="P452" t="s">
        <v>2486</v>
      </c>
      <c r="Q452">
        <v>2018</v>
      </c>
      <c r="R452">
        <v>2004</v>
      </c>
      <c r="S452" s="1">
        <v>44658</v>
      </c>
      <c r="T452" s="1">
        <v>44651</v>
      </c>
      <c r="U452" t="s">
        <v>4132</v>
      </c>
      <c r="V452" t="s">
        <v>4114</v>
      </c>
      <c r="W452" t="s">
        <v>4121</v>
      </c>
      <c r="X452" t="s">
        <v>2603</v>
      </c>
      <c r="Y452" t="s">
        <v>4116</v>
      </c>
    </row>
    <row r="453" spans="1:25" x14ac:dyDescent="0.25">
      <c r="A453">
        <v>452</v>
      </c>
      <c r="B453">
        <v>59937676</v>
      </c>
      <c r="C453" t="s">
        <v>1080</v>
      </c>
      <c r="D453" t="s">
        <v>2726</v>
      </c>
      <c r="E453" t="s">
        <v>1081</v>
      </c>
      <c r="F453" t="s">
        <v>1082</v>
      </c>
      <c r="G453" t="s">
        <v>2725</v>
      </c>
      <c r="H453" t="s">
        <v>3505</v>
      </c>
      <c r="I453" t="s">
        <v>2901</v>
      </c>
      <c r="J453" t="s">
        <v>2492</v>
      </c>
      <c r="K453" t="s">
        <v>112</v>
      </c>
      <c r="L453">
        <v>264</v>
      </c>
      <c r="M453">
        <v>0.24374999999999999</v>
      </c>
      <c r="N453">
        <v>5.85</v>
      </c>
      <c r="O453" t="s">
        <v>4071</v>
      </c>
      <c r="P453" t="s">
        <v>2486</v>
      </c>
      <c r="Q453">
        <v>2021</v>
      </c>
      <c r="R453">
        <v>2020</v>
      </c>
      <c r="S453" s="1">
        <v>44650</v>
      </c>
      <c r="T453" s="1">
        <v>44587</v>
      </c>
      <c r="U453" t="s">
        <v>4157</v>
      </c>
      <c r="V453" t="s">
        <v>4131</v>
      </c>
      <c r="W453" t="s">
        <v>4148</v>
      </c>
      <c r="X453" t="s">
        <v>2486</v>
      </c>
      <c r="Y453" t="s">
        <v>4125</v>
      </c>
    </row>
    <row r="454" spans="1:25" x14ac:dyDescent="0.25">
      <c r="A454">
        <v>453</v>
      </c>
      <c r="B454">
        <v>41462047</v>
      </c>
      <c r="C454" t="s">
        <v>1083</v>
      </c>
      <c r="D454" t="s">
        <v>17</v>
      </c>
      <c r="E454" t="s">
        <v>1084</v>
      </c>
      <c r="F454" t="s">
        <v>1085</v>
      </c>
      <c r="H454" t="s">
        <v>3506</v>
      </c>
      <c r="I454" t="s">
        <v>2917</v>
      </c>
      <c r="J454" t="s">
        <v>1944</v>
      </c>
      <c r="K454" t="s">
        <v>57</v>
      </c>
      <c r="L454">
        <v>344</v>
      </c>
      <c r="P454" t="s">
        <v>2494</v>
      </c>
      <c r="Q454">
        <v>2018</v>
      </c>
      <c r="R454">
        <v>2018</v>
      </c>
      <c r="S454" s="1">
        <v>44649</v>
      </c>
      <c r="T454" s="1">
        <v>44646</v>
      </c>
      <c r="U454" t="s">
        <v>4157</v>
      </c>
      <c r="V454" t="s">
        <v>4131</v>
      </c>
      <c r="W454" t="s">
        <v>4121</v>
      </c>
      <c r="X454" t="s">
        <v>2603</v>
      </c>
      <c r="Y454" t="s">
        <v>4116</v>
      </c>
    </row>
    <row r="455" spans="1:25" x14ac:dyDescent="0.25">
      <c r="A455">
        <v>454</v>
      </c>
      <c r="B455">
        <v>6535894</v>
      </c>
      <c r="C455" t="s">
        <v>3507</v>
      </c>
      <c r="D455" t="s">
        <v>1087</v>
      </c>
      <c r="E455" t="s">
        <v>287</v>
      </c>
      <c r="F455" t="s">
        <v>288</v>
      </c>
      <c r="G455" t="s">
        <v>2724</v>
      </c>
      <c r="H455" t="s">
        <v>3508</v>
      </c>
      <c r="I455" t="s">
        <v>2890</v>
      </c>
      <c r="J455" t="s">
        <v>2627</v>
      </c>
      <c r="K455" t="s">
        <v>112</v>
      </c>
      <c r="L455">
        <v>636</v>
      </c>
      <c r="M455">
        <v>1.1361111111111111</v>
      </c>
      <c r="N455">
        <v>27.266666666666666</v>
      </c>
      <c r="O455" t="s">
        <v>4072</v>
      </c>
      <c r="P455" t="s">
        <v>2486</v>
      </c>
      <c r="Q455">
        <v>2018</v>
      </c>
      <c r="R455">
        <v>2003</v>
      </c>
      <c r="S455" s="1">
        <v>44648</v>
      </c>
      <c r="T455" s="1">
        <v>44630</v>
      </c>
      <c r="U455" t="s">
        <v>4132</v>
      </c>
      <c r="V455" t="s">
        <v>4114</v>
      </c>
      <c r="W455" t="s">
        <v>4121</v>
      </c>
      <c r="X455" t="s">
        <v>2603</v>
      </c>
      <c r="Y455" t="s">
        <v>4116</v>
      </c>
    </row>
    <row r="456" spans="1:25" x14ac:dyDescent="0.25">
      <c r="A456">
        <v>455</v>
      </c>
      <c r="B456">
        <v>36433167</v>
      </c>
      <c r="C456" t="s">
        <v>1090</v>
      </c>
      <c r="D456" t="s">
        <v>17</v>
      </c>
      <c r="E456" t="s">
        <v>1091</v>
      </c>
      <c r="F456" t="s">
        <v>1092</v>
      </c>
      <c r="H456" t="s">
        <v>3509</v>
      </c>
      <c r="I456" t="s">
        <v>2901</v>
      </c>
      <c r="J456" t="s">
        <v>1944</v>
      </c>
      <c r="K456" t="s">
        <v>57</v>
      </c>
      <c r="L456">
        <v>248</v>
      </c>
      <c r="P456" t="s">
        <v>2494</v>
      </c>
      <c r="Q456">
        <v>2017</v>
      </c>
      <c r="R456">
        <v>2015</v>
      </c>
      <c r="S456" s="1">
        <v>44645</v>
      </c>
      <c r="T456" s="1">
        <v>44640</v>
      </c>
      <c r="U456" t="s">
        <v>4168</v>
      </c>
      <c r="V456" t="s">
        <v>4131</v>
      </c>
      <c r="W456" t="s">
        <v>4115</v>
      </c>
      <c r="X456" t="s">
        <v>2603</v>
      </c>
      <c r="Y456" t="s">
        <v>4116</v>
      </c>
    </row>
    <row r="457" spans="1:25" x14ac:dyDescent="0.25">
      <c r="A457">
        <v>456</v>
      </c>
      <c r="B457">
        <v>58302405</v>
      </c>
      <c r="C457" t="s">
        <v>1093</v>
      </c>
      <c r="D457" t="s">
        <v>17</v>
      </c>
      <c r="E457" t="s">
        <v>1094</v>
      </c>
      <c r="F457" t="s">
        <v>1095</v>
      </c>
      <c r="H457" t="s">
        <v>3510</v>
      </c>
      <c r="I457" t="s">
        <v>2901</v>
      </c>
      <c r="J457" t="s">
        <v>1916</v>
      </c>
      <c r="K457" t="s">
        <v>57</v>
      </c>
      <c r="L457">
        <v>224</v>
      </c>
      <c r="P457" t="s">
        <v>2494</v>
      </c>
      <c r="Q457">
        <v>2021</v>
      </c>
      <c r="R457">
        <v>2020</v>
      </c>
      <c r="S457" s="1">
        <v>44637</v>
      </c>
      <c r="T457" s="1">
        <v>44633</v>
      </c>
      <c r="U457" t="s">
        <v>4157</v>
      </c>
      <c r="V457" t="s">
        <v>4131</v>
      </c>
      <c r="W457" t="s">
        <v>4115</v>
      </c>
      <c r="X457" t="s">
        <v>2603</v>
      </c>
      <c r="Y457" t="s">
        <v>4116</v>
      </c>
    </row>
    <row r="458" spans="1:25" x14ac:dyDescent="0.25">
      <c r="A458">
        <v>457</v>
      </c>
      <c r="B458">
        <v>55850977</v>
      </c>
      <c r="C458" t="s">
        <v>1096</v>
      </c>
      <c r="D458" t="s">
        <v>17</v>
      </c>
      <c r="E458" t="s">
        <v>1097</v>
      </c>
      <c r="F458" t="s">
        <v>1098</v>
      </c>
      <c r="H458" t="s">
        <v>3511</v>
      </c>
      <c r="I458" t="s">
        <v>2933</v>
      </c>
      <c r="J458" t="s">
        <v>1916</v>
      </c>
      <c r="K458" t="s">
        <v>2488</v>
      </c>
      <c r="L458">
        <v>320</v>
      </c>
      <c r="P458" t="s">
        <v>2494</v>
      </c>
      <c r="Q458">
        <v>2020</v>
      </c>
      <c r="R458">
        <v>2020</v>
      </c>
      <c r="S458" s="1">
        <v>44635</v>
      </c>
      <c r="T458" s="1">
        <v>44630</v>
      </c>
      <c r="U458" t="s">
        <v>4129</v>
      </c>
      <c r="V458" t="s">
        <v>4114</v>
      </c>
      <c r="W458" t="s">
        <v>4133</v>
      </c>
      <c r="X458" t="s">
        <v>2494</v>
      </c>
      <c r="Y458" t="s">
        <v>4116</v>
      </c>
    </row>
    <row r="459" spans="1:25" x14ac:dyDescent="0.25">
      <c r="A459">
        <v>458</v>
      </c>
      <c r="B459">
        <v>6605739</v>
      </c>
      <c r="C459" t="s">
        <v>3512</v>
      </c>
      <c r="D459" t="s">
        <v>1100</v>
      </c>
      <c r="E459" t="s">
        <v>287</v>
      </c>
      <c r="F459" t="s">
        <v>288</v>
      </c>
      <c r="G459" t="s">
        <v>2724</v>
      </c>
      <c r="H459" t="s">
        <v>3513</v>
      </c>
      <c r="I459" t="s">
        <v>2917</v>
      </c>
      <c r="J459" t="s">
        <v>2627</v>
      </c>
      <c r="K459" t="s">
        <v>112</v>
      </c>
      <c r="L459">
        <v>653</v>
      </c>
      <c r="M459">
        <v>1.2097222222222221</v>
      </c>
      <c r="N459">
        <v>29.033333333333331</v>
      </c>
      <c r="O459" t="s">
        <v>4073</v>
      </c>
      <c r="P459" t="s">
        <v>2486</v>
      </c>
      <c r="Q459">
        <v>2017</v>
      </c>
      <c r="R459">
        <v>1997</v>
      </c>
      <c r="S459" s="1">
        <v>44629</v>
      </c>
      <c r="T459" s="1">
        <v>44608</v>
      </c>
      <c r="U459" t="s">
        <v>4132</v>
      </c>
      <c r="V459" t="s">
        <v>4114</v>
      </c>
      <c r="W459" t="s">
        <v>4121</v>
      </c>
      <c r="X459" t="s">
        <v>2603</v>
      </c>
      <c r="Y459" t="s">
        <v>4116</v>
      </c>
    </row>
    <row r="460" spans="1:25" x14ac:dyDescent="0.25">
      <c r="A460">
        <v>459</v>
      </c>
      <c r="B460">
        <v>52959302</v>
      </c>
      <c r="C460" t="s">
        <v>1101</v>
      </c>
      <c r="D460" t="s">
        <v>17</v>
      </c>
      <c r="E460" t="s">
        <v>1094</v>
      </c>
      <c r="F460" t="s">
        <v>1095</v>
      </c>
      <c r="H460" t="s">
        <v>3514</v>
      </c>
      <c r="I460" t="s">
        <v>2890</v>
      </c>
      <c r="J460" t="s">
        <v>1673</v>
      </c>
      <c r="K460" t="s">
        <v>57</v>
      </c>
      <c r="L460">
        <v>168</v>
      </c>
      <c r="P460" t="s">
        <v>2494</v>
      </c>
      <c r="Q460">
        <v>2019</v>
      </c>
      <c r="R460">
        <v>2019</v>
      </c>
      <c r="S460" s="1">
        <v>44624</v>
      </c>
      <c r="T460" s="1">
        <v>44621</v>
      </c>
      <c r="U460" t="s">
        <v>4168</v>
      </c>
      <c r="V460" t="s">
        <v>4131</v>
      </c>
      <c r="W460" t="s">
        <v>4115</v>
      </c>
      <c r="X460" t="s">
        <v>2603</v>
      </c>
      <c r="Y460" t="s">
        <v>4116</v>
      </c>
    </row>
    <row r="461" spans="1:25" x14ac:dyDescent="0.25">
      <c r="A461">
        <v>460</v>
      </c>
      <c r="B461">
        <v>45407221</v>
      </c>
      <c r="C461" t="s">
        <v>1102</v>
      </c>
      <c r="D461" t="s">
        <v>17</v>
      </c>
      <c r="E461" t="s">
        <v>1103</v>
      </c>
      <c r="F461" t="s">
        <v>1104</v>
      </c>
      <c r="H461" t="s">
        <v>3515</v>
      </c>
      <c r="I461" t="s">
        <v>2933</v>
      </c>
      <c r="J461" t="s">
        <v>2179</v>
      </c>
      <c r="K461" t="s">
        <v>57</v>
      </c>
      <c r="L461">
        <v>340</v>
      </c>
      <c r="P461" t="s">
        <v>2494</v>
      </c>
      <c r="Q461">
        <v>2019</v>
      </c>
      <c r="R461">
        <v>2019</v>
      </c>
      <c r="S461" s="1">
        <v>44621</v>
      </c>
      <c r="T461" s="1">
        <v>44617</v>
      </c>
      <c r="U461" t="s">
        <v>4168</v>
      </c>
      <c r="V461" t="s">
        <v>4131</v>
      </c>
      <c r="W461" t="s">
        <v>4133</v>
      </c>
      <c r="X461" t="s">
        <v>2494</v>
      </c>
      <c r="Y461" t="s">
        <v>4116</v>
      </c>
    </row>
    <row r="462" spans="1:25" x14ac:dyDescent="0.25">
      <c r="A462">
        <v>461</v>
      </c>
      <c r="B462">
        <v>29622067</v>
      </c>
      <c r="C462" t="s">
        <v>1105</v>
      </c>
      <c r="D462" t="s">
        <v>17</v>
      </c>
      <c r="E462" t="s">
        <v>1106</v>
      </c>
      <c r="F462" t="s">
        <v>1107</v>
      </c>
      <c r="H462" t="s">
        <v>3516</v>
      </c>
      <c r="I462" t="s">
        <v>2890</v>
      </c>
      <c r="J462" t="s">
        <v>1673</v>
      </c>
      <c r="K462" t="s">
        <v>2488</v>
      </c>
      <c r="L462">
        <v>413</v>
      </c>
      <c r="P462" t="s">
        <v>2494</v>
      </c>
      <c r="Q462">
        <v>2016</v>
      </c>
      <c r="R462">
        <v>2016</v>
      </c>
      <c r="S462" s="1">
        <v>44620</v>
      </c>
      <c r="T462" s="1">
        <v>44613</v>
      </c>
      <c r="U462" t="s">
        <v>4157</v>
      </c>
      <c r="V462" t="s">
        <v>4131</v>
      </c>
      <c r="W462" t="s">
        <v>4115</v>
      </c>
      <c r="X462" t="s">
        <v>2603</v>
      </c>
      <c r="Y462" t="s">
        <v>4116</v>
      </c>
    </row>
    <row r="463" spans="1:25" x14ac:dyDescent="0.25">
      <c r="A463">
        <v>462</v>
      </c>
      <c r="B463">
        <v>36216607</v>
      </c>
      <c r="C463" t="s">
        <v>3517</v>
      </c>
      <c r="D463" t="s">
        <v>1109</v>
      </c>
      <c r="E463" t="s">
        <v>1110</v>
      </c>
      <c r="F463" t="s">
        <v>1111</v>
      </c>
      <c r="H463" t="s">
        <v>3518</v>
      </c>
      <c r="I463" t="s">
        <v>2901</v>
      </c>
      <c r="J463" t="s">
        <v>2182</v>
      </c>
      <c r="K463" t="s">
        <v>57</v>
      </c>
      <c r="L463">
        <v>384</v>
      </c>
      <c r="P463" t="s">
        <v>2494</v>
      </c>
      <c r="Q463">
        <v>2018</v>
      </c>
      <c r="R463">
        <v>2017</v>
      </c>
      <c r="S463" s="1">
        <v>44611</v>
      </c>
      <c r="T463" s="1">
        <v>44607</v>
      </c>
      <c r="U463" t="s">
        <v>4113</v>
      </c>
      <c r="V463" t="s">
        <v>4114</v>
      </c>
      <c r="W463" t="s">
        <v>4123</v>
      </c>
      <c r="X463" t="s">
        <v>4124</v>
      </c>
      <c r="Y463" t="s">
        <v>4116</v>
      </c>
    </row>
    <row r="464" spans="1:25" x14ac:dyDescent="0.25">
      <c r="A464">
        <v>463</v>
      </c>
      <c r="B464">
        <v>49202543</v>
      </c>
      <c r="C464" t="s">
        <v>3519</v>
      </c>
      <c r="D464" t="s">
        <v>1113</v>
      </c>
      <c r="E464" t="s">
        <v>1006</v>
      </c>
      <c r="F464" t="s">
        <v>1007</v>
      </c>
      <c r="H464" t="s">
        <v>3520</v>
      </c>
      <c r="I464" t="s">
        <v>2890</v>
      </c>
      <c r="J464" t="s">
        <v>1685</v>
      </c>
      <c r="K464" t="s">
        <v>57</v>
      </c>
      <c r="L464">
        <v>376</v>
      </c>
      <c r="P464" t="s">
        <v>2486</v>
      </c>
      <c r="Q464">
        <v>2019</v>
      </c>
      <c r="R464">
        <v>2018</v>
      </c>
      <c r="S464" s="1">
        <v>44609</v>
      </c>
      <c r="T464" s="1">
        <v>44600</v>
      </c>
      <c r="U464" t="s">
        <v>4117</v>
      </c>
      <c r="V464" t="s">
        <v>4114</v>
      </c>
      <c r="W464" t="s">
        <v>4115</v>
      </c>
      <c r="X464" t="s">
        <v>2603</v>
      </c>
      <c r="Y464" t="s">
        <v>4125</v>
      </c>
    </row>
    <row r="465" spans="1:25" x14ac:dyDescent="0.25">
      <c r="A465">
        <v>464</v>
      </c>
      <c r="B465">
        <v>54581279</v>
      </c>
      <c r="C465" t="s">
        <v>1114</v>
      </c>
      <c r="D465" t="s">
        <v>17</v>
      </c>
      <c r="E465" t="s">
        <v>1115</v>
      </c>
      <c r="F465" t="s">
        <v>1116</v>
      </c>
      <c r="H465" t="s">
        <v>3521</v>
      </c>
      <c r="I465" t="s">
        <v>2933</v>
      </c>
      <c r="J465" t="s">
        <v>2185</v>
      </c>
      <c r="K465" t="s">
        <v>2488</v>
      </c>
      <c r="L465">
        <v>540</v>
      </c>
      <c r="P465" t="s">
        <v>2494</v>
      </c>
      <c r="Q465">
        <v>2020</v>
      </c>
      <c r="R465">
        <v>2020</v>
      </c>
      <c r="S465" s="1">
        <v>44608</v>
      </c>
      <c r="T465" s="1">
        <v>44602</v>
      </c>
      <c r="U465" t="s">
        <v>4149</v>
      </c>
      <c r="V465" t="s">
        <v>4114</v>
      </c>
      <c r="W465" t="s">
        <v>4115</v>
      </c>
      <c r="X465" t="s">
        <v>2603</v>
      </c>
      <c r="Y465" t="s">
        <v>4125</v>
      </c>
    </row>
    <row r="466" spans="1:25" x14ac:dyDescent="0.25">
      <c r="A466">
        <v>465</v>
      </c>
      <c r="B466">
        <v>6605707</v>
      </c>
      <c r="C466" t="s">
        <v>3522</v>
      </c>
      <c r="D466" t="s">
        <v>1118</v>
      </c>
      <c r="E466" t="s">
        <v>287</v>
      </c>
      <c r="F466" t="s">
        <v>288</v>
      </c>
      <c r="G466" t="s">
        <v>2724</v>
      </c>
      <c r="H466" t="s">
        <v>3523</v>
      </c>
      <c r="I466" t="s">
        <v>2890</v>
      </c>
      <c r="J466" t="s">
        <v>2499</v>
      </c>
      <c r="K466" t="s">
        <v>112</v>
      </c>
      <c r="L466">
        <v>462</v>
      </c>
      <c r="M466">
        <v>0.81319444444444444</v>
      </c>
      <c r="N466">
        <v>19.516666666666666</v>
      </c>
      <c r="O466" t="s">
        <v>4060</v>
      </c>
      <c r="P466" t="s">
        <v>2486</v>
      </c>
      <c r="Q466">
        <v>2017</v>
      </c>
      <c r="R466">
        <v>1991</v>
      </c>
      <c r="S466" s="1">
        <v>44605</v>
      </c>
      <c r="T466" s="1">
        <v>44595</v>
      </c>
      <c r="U466" t="s">
        <v>4132</v>
      </c>
      <c r="V466" t="s">
        <v>4114</v>
      </c>
      <c r="W466" t="s">
        <v>4121</v>
      </c>
      <c r="X466" t="s">
        <v>2603</v>
      </c>
      <c r="Y466" t="s">
        <v>4116</v>
      </c>
    </row>
    <row r="467" spans="1:25" x14ac:dyDescent="0.25">
      <c r="A467">
        <v>466</v>
      </c>
      <c r="B467">
        <v>35796024</v>
      </c>
      <c r="C467" t="s">
        <v>2727</v>
      </c>
      <c r="D467" t="s">
        <v>17</v>
      </c>
      <c r="E467" t="s">
        <v>1119</v>
      </c>
      <c r="F467" t="s">
        <v>1120</v>
      </c>
      <c r="H467" t="s">
        <v>3524</v>
      </c>
      <c r="I467" t="s">
        <v>2890</v>
      </c>
      <c r="J467" t="s">
        <v>2728</v>
      </c>
      <c r="K467" t="s">
        <v>2488</v>
      </c>
      <c r="L467">
        <v>192</v>
      </c>
      <c r="P467" t="s">
        <v>2494</v>
      </c>
      <c r="Q467">
        <v>2018</v>
      </c>
      <c r="R467">
        <v>2018</v>
      </c>
      <c r="S467" s="1">
        <v>44600</v>
      </c>
      <c r="T467" s="1">
        <v>44595</v>
      </c>
      <c r="U467" t="s">
        <v>4146</v>
      </c>
      <c r="V467" t="s">
        <v>4114</v>
      </c>
      <c r="W467" t="s">
        <v>4121</v>
      </c>
      <c r="X467" t="s">
        <v>2603</v>
      </c>
      <c r="Y467" t="s">
        <v>4125</v>
      </c>
    </row>
    <row r="468" spans="1:25" x14ac:dyDescent="0.25">
      <c r="A468">
        <v>467</v>
      </c>
      <c r="B468">
        <v>6603219</v>
      </c>
      <c r="C468" t="s">
        <v>3525</v>
      </c>
      <c r="D468" t="s">
        <v>1122</v>
      </c>
      <c r="E468" t="s">
        <v>287</v>
      </c>
      <c r="F468" t="s">
        <v>288</v>
      </c>
      <c r="G468" t="s">
        <v>2724</v>
      </c>
      <c r="H468" t="s">
        <v>3526</v>
      </c>
      <c r="I468" t="s">
        <v>2917</v>
      </c>
      <c r="J468" t="s">
        <v>2627</v>
      </c>
      <c r="K468" t="s">
        <v>112</v>
      </c>
      <c r="L468">
        <v>420</v>
      </c>
      <c r="M468">
        <v>0.60833333333333328</v>
      </c>
      <c r="N468">
        <v>14.599999999999998</v>
      </c>
      <c r="O468" t="s">
        <v>4050</v>
      </c>
      <c r="P468" t="s">
        <v>2486</v>
      </c>
      <c r="Q468">
        <v>2016</v>
      </c>
      <c r="R468">
        <v>1987</v>
      </c>
      <c r="S468" s="1">
        <v>44593</v>
      </c>
      <c r="T468" s="1">
        <v>44589</v>
      </c>
      <c r="U468" t="s">
        <v>4132</v>
      </c>
      <c r="V468" t="s">
        <v>4114</v>
      </c>
      <c r="W468" t="s">
        <v>4121</v>
      </c>
      <c r="X468" t="s">
        <v>2603</v>
      </c>
      <c r="Y468" t="s">
        <v>4116</v>
      </c>
    </row>
    <row r="469" spans="1:25" x14ac:dyDescent="0.25">
      <c r="A469">
        <v>468</v>
      </c>
      <c r="B469">
        <v>59927668</v>
      </c>
      <c r="C469" t="s">
        <v>1123</v>
      </c>
      <c r="D469" t="s">
        <v>17</v>
      </c>
      <c r="E469" t="s">
        <v>1124</v>
      </c>
      <c r="F469" t="s">
        <v>1125</v>
      </c>
      <c r="H469" t="s">
        <v>3527</v>
      </c>
      <c r="I469" t="s">
        <v>2890</v>
      </c>
      <c r="J469" t="s">
        <v>2189</v>
      </c>
      <c r="K469" t="s">
        <v>2488</v>
      </c>
      <c r="L469">
        <v>144</v>
      </c>
      <c r="P469" t="s">
        <v>2494</v>
      </c>
      <c r="Q469">
        <v>2021</v>
      </c>
      <c r="R469">
        <v>2021</v>
      </c>
      <c r="S469" s="1">
        <v>44598</v>
      </c>
      <c r="T469" s="1">
        <v>44594</v>
      </c>
      <c r="U469" t="s">
        <v>4155</v>
      </c>
      <c r="V469" t="s">
        <v>4131</v>
      </c>
      <c r="W469" t="s">
        <v>4133</v>
      </c>
      <c r="X469" t="s">
        <v>2494</v>
      </c>
      <c r="Y469" t="s">
        <v>4116</v>
      </c>
    </row>
    <row r="470" spans="1:25" x14ac:dyDescent="0.25">
      <c r="A470">
        <v>469</v>
      </c>
      <c r="B470">
        <v>58913978</v>
      </c>
      <c r="C470" t="s">
        <v>1126</v>
      </c>
      <c r="D470" t="s">
        <v>17</v>
      </c>
      <c r="E470" t="s">
        <v>1127</v>
      </c>
      <c r="F470" t="s">
        <v>1128</v>
      </c>
      <c r="H470" t="s">
        <v>3528</v>
      </c>
      <c r="I470" t="s">
        <v>2901</v>
      </c>
      <c r="J470" t="s">
        <v>1770</v>
      </c>
      <c r="K470" t="s">
        <v>2488</v>
      </c>
      <c r="L470">
        <v>456</v>
      </c>
      <c r="P470" t="s">
        <v>2494</v>
      </c>
      <c r="Q470">
        <v>2021</v>
      </c>
      <c r="R470">
        <v>2012</v>
      </c>
      <c r="S470" s="1">
        <v>44595</v>
      </c>
      <c r="T470" s="1">
        <v>44591</v>
      </c>
      <c r="U470" t="s">
        <v>4135</v>
      </c>
      <c r="V470" t="s">
        <v>4131</v>
      </c>
      <c r="W470" t="s">
        <v>4118</v>
      </c>
      <c r="X470" t="s">
        <v>4119</v>
      </c>
      <c r="Y470" t="s">
        <v>4116</v>
      </c>
    </row>
    <row r="471" spans="1:25" x14ac:dyDescent="0.25">
      <c r="A471">
        <v>470</v>
      </c>
      <c r="B471">
        <v>58187472</v>
      </c>
      <c r="C471" t="s">
        <v>1129</v>
      </c>
      <c r="D471" t="s">
        <v>17</v>
      </c>
      <c r="E471" t="s">
        <v>1130</v>
      </c>
      <c r="F471" t="s">
        <v>1131</v>
      </c>
      <c r="H471" t="s">
        <v>3529</v>
      </c>
      <c r="I471" t="s">
        <v>2933</v>
      </c>
      <c r="J471" t="s">
        <v>1668</v>
      </c>
      <c r="K471" t="s">
        <v>57</v>
      </c>
      <c r="L471">
        <v>280</v>
      </c>
      <c r="P471" t="s">
        <v>2486</v>
      </c>
      <c r="Q471">
        <v>2021</v>
      </c>
      <c r="R471">
        <v>2021</v>
      </c>
      <c r="S471" s="1">
        <v>44590</v>
      </c>
      <c r="T471" s="1">
        <v>44586</v>
      </c>
      <c r="U471" t="s">
        <v>4129</v>
      </c>
      <c r="V471" t="s">
        <v>4114</v>
      </c>
      <c r="W471" t="s">
        <v>4137</v>
      </c>
      <c r="X471" t="s">
        <v>2603</v>
      </c>
      <c r="Y471" t="s">
        <v>4125</v>
      </c>
    </row>
    <row r="472" spans="1:25" x14ac:dyDescent="0.25">
      <c r="A472">
        <v>471</v>
      </c>
      <c r="B472">
        <v>20742000</v>
      </c>
      <c r="C472" t="s">
        <v>3530</v>
      </c>
      <c r="D472" t="s">
        <v>1133</v>
      </c>
      <c r="E472" t="s">
        <v>302</v>
      </c>
      <c r="F472" t="s">
        <v>303</v>
      </c>
      <c r="H472" t="s">
        <v>3531</v>
      </c>
      <c r="I472" t="s">
        <v>2901</v>
      </c>
      <c r="J472" t="s">
        <v>1723</v>
      </c>
      <c r="K472" t="s">
        <v>57</v>
      </c>
      <c r="L472">
        <v>916</v>
      </c>
      <c r="P472" t="s">
        <v>2486</v>
      </c>
      <c r="Q472">
        <v>2011</v>
      </c>
      <c r="R472">
        <v>1989</v>
      </c>
      <c r="S472" s="1">
        <v>44589</v>
      </c>
      <c r="T472" s="1">
        <v>44563</v>
      </c>
      <c r="U472" t="s">
        <v>4138</v>
      </c>
      <c r="V472" t="s">
        <v>4114</v>
      </c>
      <c r="W472" t="s">
        <v>4115</v>
      </c>
      <c r="X472" t="s">
        <v>2603</v>
      </c>
      <c r="Y472" t="s">
        <v>4116</v>
      </c>
    </row>
    <row r="473" spans="1:25" x14ac:dyDescent="0.25">
      <c r="A473">
        <v>472</v>
      </c>
      <c r="B473">
        <v>57421571</v>
      </c>
      <c r="C473" t="s">
        <v>1134</v>
      </c>
      <c r="D473" t="s">
        <v>17</v>
      </c>
      <c r="E473" t="s">
        <v>1124</v>
      </c>
      <c r="F473" t="s">
        <v>1125</v>
      </c>
      <c r="H473" t="s">
        <v>3532</v>
      </c>
      <c r="I473" t="s">
        <v>2890</v>
      </c>
      <c r="J473" t="s">
        <v>1668</v>
      </c>
      <c r="K473" t="s">
        <v>2488</v>
      </c>
      <c r="L473">
        <v>216</v>
      </c>
      <c r="P473" t="s">
        <v>2494</v>
      </c>
      <c r="Q473">
        <v>2021</v>
      </c>
      <c r="R473">
        <v>2021</v>
      </c>
      <c r="S473" s="1">
        <v>44586</v>
      </c>
      <c r="T473" s="1">
        <v>44506</v>
      </c>
      <c r="U473" t="s">
        <v>4155</v>
      </c>
      <c r="V473" t="s">
        <v>4131</v>
      </c>
      <c r="W473" t="s">
        <v>4133</v>
      </c>
      <c r="X473" t="s">
        <v>2494</v>
      </c>
      <c r="Y473" t="s">
        <v>4116</v>
      </c>
    </row>
    <row r="474" spans="1:25" x14ac:dyDescent="0.25">
      <c r="A474">
        <v>473</v>
      </c>
      <c r="B474">
        <v>32018713</v>
      </c>
      <c r="C474" t="s">
        <v>2729</v>
      </c>
      <c r="D474" t="s">
        <v>2730</v>
      </c>
      <c r="E474" t="s">
        <v>1135</v>
      </c>
      <c r="F474" t="s">
        <v>1136</v>
      </c>
      <c r="H474" t="s">
        <v>3533</v>
      </c>
      <c r="I474" t="s">
        <v>2933</v>
      </c>
      <c r="J474" t="s">
        <v>2195</v>
      </c>
      <c r="K474" t="s">
        <v>2488</v>
      </c>
      <c r="L474">
        <v>256</v>
      </c>
      <c r="P474" t="s">
        <v>2494</v>
      </c>
      <c r="Q474">
        <v>2017</v>
      </c>
      <c r="R474">
        <v>2017</v>
      </c>
      <c r="S474" s="1">
        <v>44584</v>
      </c>
      <c r="T474" s="1">
        <v>44506</v>
      </c>
      <c r="U474" t="s">
        <v>4122</v>
      </c>
      <c r="V474" t="s">
        <v>4114</v>
      </c>
      <c r="W474" t="s">
        <v>4115</v>
      </c>
      <c r="X474" t="s">
        <v>2603</v>
      </c>
      <c r="Y474" t="s">
        <v>4147</v>
      </c>
    </row>
    <row r="475" spans="1:25" x14ac:dyDescent="0.25">
      <c r="A475">
        <v>474</v>
      </c>
      <c r="B475">
        <v>6603200</v>
      </c>
      <c r="C475" t="s">
        <v>3534</v>
      </c>
      <c r="D475" t="s">
        <v>1138</v>
      </c>
      <c r="E475" t="s">
        <v>287</v>
      </c>
      <c r="F475" t="s">
        <v>288</v>
      </c>
      <c r="G475" t="s">
        <v>2724</v>
      </c>
      <c r="H475" t="s">
        <v>3535</v>
      </c>
      <c r="I475" t="s">
        <v>2917</v>
      </c>
      <c r="J475" t="s">
        <v>2627</v>
      </c>
      <c r="K475" t="s">
        <v>112</v>
      </c>
      <c r="L475">
        <v>199</v>
      </c>
      <c r="M475">
        <v>0.31180555555555556</v>
      </c>
      <c r="N475">
        <v>7.4833333333333334</v>
      </c>
      <c r="O475" t="s">
        <v>4074</v>
      </c>
      <c r="P475" t="s">
        <v>2486</v>
      </c>
      <c r="Q475">
        <v>2016</v>
      </c>
      <c r="R475">
        <v>1982</v>
      </c>
      <c r="S475" s="1">
        <v>44583</v>
      </c>
      <c r="T475" s="1">
        <v>44566</v>
      </c>
      <c r="U475" t="s">
        <v>4132</v>
      </c>
      <c r="V475" t="s">
        <v>4114</v>
      </c>
      <c r="W475" t="s">
        <v>4121</v>
      </c>
      <c r="X475" t="s">
        <v>2603</v>
      </c>
      <c r="Y475" t="s">
        <v>4116</v>
      </c>
    </row>
    <row r="476" spans="1:25" x14ac:dyDescent="0.25">
      <c r="A476">
        <v>475</v>
      </c>
      <c r="B476">
        <v>52496980</v>
      </c>
      <c r="C476" t="s">
        <v>1139</v>
      </c>
      <c r="D476" t="s">
        <v>17</v>
      </c>
      <c r="E476" t="s">
        <v>552</v>
      </c>
      <c r="F476" t="s">
        <v>553</v>
      </c>
      <c r="G476" t="s">
        <v>2731</v>
      </c>
      <c r="H476" t="s">
        <v>3536</v>
      </c>
      <c r="I476" t="s">
        <v>2901</v>
      </c>
      <c r="J476" t="s">
        <v>2545</v>
      </c>
      <c r="K476" t="s">
        <v>112</v>
      </c>
      <c r="L476">
        <v>552</v>
      </c>
      <c r="M476">
        <v>0.73333333333333328</v>
      </c>
      <c r="N476">
        <v>17.599999999999998</v>
      </c>
      <c r="O476" t="s">
        <v>4017</v>
      </c>
      <c r="P476" t="s">
        <v>2486</v>
      </c>
      <c r="Q476">
        <v>2020</v>
      </c>
      <c r="R476">
        <v>2019</v>
      </c>
      <c r="S476" s="1">
        <v>44580</v>
      </c>
      <c r="T476" s="1">
        <v>44576</v>
      </c>
      <c r="U476" t="s">
        <v>4117</v>
      </c>
      <c r="V476" t="s">
        <v>4114</v>
      </c>
      <c r="W476" t="s">
        <v>4127</v>
      </c>
      <c r="X476" t="s">
        <v>4128</v>
      </c>
      <c r="Y476" t="s">
        <v>4116</v>
      </c>
    </row>
    <row r="477" spans="1:25" x14ac:dyDescent="0.25">
      <c r="A477">
        <v>476</v>
      </c>
      <c r="B477">
        <v>53437928</v>
      </c>
      <c r="C477" t="s">
        <v>1140</v>
      </c>
      <c r="D477" t="s">
        <v>17</v>
      </c>
      <c r="E477" t="s">
        <v>287</v>
      </c>
      <c r="F477" t="s">
        <v>288</v>
      </c>
      <c r="H477" t="s">
        <v>3537</v>
      </c>
      <c r="I477" t="s">
        <v>2933</v>
      </c>
      <c r="J477" t="s">
        <v>1668</v>
      </c>
      <c r="K477" t="s">
        <v>2488</v>
      </c>
      <c r="L477">
        <v>608</v>
      </c>
      <c r="P477" t="s">
        <v>2494</v>
      </c>
      <c r="Q477">
        <v>2020</v>
      </c>
      <c r="R477">
        <v>2019</v>
      </c>
      <c r="S477" s="1">
        <v>44580</v>
      </c>
      <c r="T477" s="1">
        <v>44545</v>
      </c>
      <c r="U477" t="s">
        <v>4132</v>
      </c>
      <c r="V477" t="s">
        <v>4114</v>
      </c>
      <c r="W477" t="s">
        <v>4121</v>
      </c>
      <c r="X477" t="s">
        <v>2603</v>
      </c>
      <c r="Y477" t="s">
        <v>4116</v>
      </c>
    </row>
    <row r="478" spans="1:25" x14ac:dyDescent="0.25">
      <c r="A478">
        <v>477</v>
      </c>
      <c r="B478">
        <v>34120884</v>
      </c>
      <c r="C478" t="s">
        <v>1141</v>
      </c>
      <c r="D478" t="s">
        <v>17</v>
      </c>
      <c r="E478" t="s">
        <v>552</v>
      </c>
      <c r="F478" t="s">
        <v>553</v>
      </c>
      <c r="G478" t="s">
        <v>2732</v>
      </c>
      <c r="H478" t="s">
        <v>3538</v>
      </c>
      <c r="I478" t="s">
        <v>2901</v>
      </c>
      <c r="J478" t="s">
        <v>2198</v>
      </c>
      <c r="K478" t="s">
        <v>112</v>
      </c>
      <c r="L478">
        <v>624</v>
      </c>
      <c r="M478">
        <v>0.7631944444444444</v>
      </c>
      <c r="N478">
        <v>18.316666666666666</v>
      </c>
      <c r="O478" t="s">
        <v>4075</v>
      </c>
      <c r="P478" t="s">
        <v>2486</v>
      </c>
      <c r="Q478">
        <v>2017</v>
      </c>
      <c r="R478">
        <v>2015</v>
      </c>
      <c r="S478" s="1">
        <v>44575</v>
      </c>
      <c r="T478" s="1">
        <v>44567</v>
      </c>
      <c r="U478" t="s">
        <v>4117</v>
      </c>
      <c r="V478" t="s">
        <v>4114</v>
      </c>
      <c r="W478" t="s">
        <v>4127</v>
      </c>
      <c r="X478" t="s">
        <v>4128</v>
      </c>
      <c r="Y478" t="s">
        <v>4116</v>
      </c>
    </row>
    <row r="479" spans="1:25" x14ac:dyDescent="0.25">
      <c r="A479">
        <v>478</v>
      </c>
      <c r="B479">
        <v>59004227</v>
      </c>
      <c r="C479" t="s">
        <v>1143</v>
      </c>
      <c r="D479" t="s">
        <v>17</v>
      </c>
      <c r="E479" t="s">
        <v>62</v>
      </c>
      <c r="F479" t="s">
        <v>63</v>
      </c>
      <c r="H479" t="s">
        <v>3539</v>
      </c>
      <c r="I479" t="s">
        <v>2890</v>
      </c>
      <c r="J479" t="s">
        <v>1668</v>
      </c>
      <c r="K479" t="s">
        <v>2488</v>
      </c>
      <c r="L479">
        <v>216</v>
      </c>
      <c r="P479" t="s">
        <v>2494</v>
      </c>
      <c r="Q479">
        <v>2021</v>
      </c>
      <c r="R479">
        <v>2021</v>
      </c>
      <c r="S479" s="1">
        <v>44572</v>
      </c>
      <c r="T479" s="1">
        <v>44569</v>
      </c>
      <c r="U479" t="s">
        <v>4132</v>
      </c>
      <c r="V479" t="s">
        <v>4114</v>
      </c>
      <c r="W479" t="s">
        <v>4133</v>
      </c>
      <c r="X479" t="s">
        <v>2494</v>
      </c>
      <c r="Y479" t="s">
        <v>4116</v>
      </c>
    </row>
    <row r="480" spans="1:25" x14ac:dyDescent="0.25">
      <c r="A480">
        <v>479</v>
      </c>
      <c r="B480">
        <v>59004220</v>
      </c>
      <c r="C480" t="s">
        <v>1144</v>
      </c>
      <c r="D480" t="s">
        <v>17</v>
      </c>
      <c r="E480" t="s">
        <v>62</v>
      </c>
      <c r="F480" t="s">
        <v>63</v>
      </c>
      <c r="H480" t="s">
        <v>3540</v>
      </c>
      <c r="I480" t="s">
        <v>2890</v>
      </c>
      <c r="J480" t="s">
        <v>1668</v>
      </c>
      <c r="K480" t="s">
        <v>2488</v>
      </c>
      <c r="L480">
        <v>248</v>
      </c>
      <c r="P480" t="s">
        <v>2494</v>
      </c>
      <c r="Q480">
        <v>2021</v>
      </c>
      <c r="R480">
        <v>2021</v>
      </c>
      <c r="S480" s="1">
        <v>44569</v>
      </c>
      <c r="T480" s="1">
        <v>44565</v>
      </c>
      <c r="U480" t="s">
        <v>4132</v>
      </c>
      <c r="V480" t="s">
        <v>4114</v>
      </c>
      <c r="W480" t="s">
        <v>4133</v>
      </c>
      <c r="X480" t="s">
        <v>2494</v>
      </c>
      <c r="Y480" t="s">
        <v>4116</v>
      </c>
    </row>
    <row r="481" spans="1:25" x14ac:dyDescent="0.25">
      <c r="A481">
        <v>480</v>
      </c>
      <c r="B481">
        <v>29036</v>
      </c>
      <c r="C481" t="s">
        <v>1145</v>
      </c>
      <c r="D481" t="s">
        <v>17</v>
      </c>
      <c r="E481" t="s">
        <v>1146</v>
      </c>
      <c r="F481" t="s">
        <v>1147</v>
      </c>
      <c r="H481" t="s">
        <v>3541</v>
      </c>
      <c r="I481" t="s">
        <v>2901</v>
      </c>
      <c r="J481" t="s">
        <v>2204</v>
      </c>
      <c r="K481" t="s">
        <v>57</v>
      </c>
      <c r="L481">
        <v>546</v>
      </c>
      <c r="P481" t="s">
        <v>2603</v>
      </c>
      <c r="Q481">
        <v>2005</v>
      </c>
      <c r="R481">
        <v>2004</v>
      </c>
      <c r="S481" s="1">
        <v>44568</v>
      </c>
      <c r="T481" s="1">
        <v>44532</v>
      </c>
      <c r="U481" t="s">
        <v>4157</v>
      </c>
      <c r="V481" t="s">
        <v>4131</v>
      </c>
      <c r="W481" t="s">
        <v>4121</v>
      </c>
      <c r="X481" t="s">
        <v>2603</v>
      </c>
      <c r="Y481" t="s">
        <v>4116</v>
      </c>
    </row>
    <row r="482" spans="1:25" x14ac:dyDescent="0.25">
      <c r="A482">
        <v>481</v>
      </c>
      <c r="B482">
        <v>56899806</v>
      </c>
      <c r="C482" t="s">
        <v>3542</v>
      </c>
      <c r="D482" t="s">
        <v>1149</v>
      </c>
      <c r="E482" t="s">
        <v>552</v>
      </c>
      <c r="F482" t="s">
        <v>553</v>
      </c>
      <c r="G482" t="s">
        <v>2731</v>
      </c>
      <c r="H482" t="s">
        <v>3543</v>
      </c>
      <c r="I482" t="s">
        <v>2890</v>
      </c>
      <c r="J482" t="s">
        <v>2545</v>
      </c>
      <c r="K482" t="s">
        <v>112</v>
      </c>
      <c r="L482">
        <v>552</v>
      </c>
      <c r="M482">
        <v>0.66666666666666663</v>
      </c>
      <c r="N482">
        <v>16</v>
      </c>
      <c r="O482" t="s">
        <v>4076</v>
      </c>
      <c r="P482" t="s">
        <v>2486</v>
      </c>
      <c r="Q482">
        <v>2021</v>
      </c>
      <c r="R482">
        <v>2020</v>
      </c>
      <c r="S482" s="1">
        <v>44567</v>
      </c>
      <c r="T482" s="1">
        <v>44561</v>
      </c>
      <c r="U482" t="s">
        <v>4117</v>
      </c>
      <c r="V482" t="s">
        <v>4114</v>
      </c>
      <c r="W482" t="s">
        <v>4127</v>
      </c>
      <c r="X482" t="s">
        <v>4128</v>
      </c>
      <c r="Y482" t="s">
        <v>4116</v>
      </c>
    </row>
    <row r="483" spans="1:25" x14ac:dyDescent="0.25">
      <c r="A483">
        <v>482</v>
      </c>
      <c r="B483">
        <v>43702450</v>
      </c>
      <c r="C483" t="s">
        <v>3481</v>
      </c>
      <c r="D483" t="s">
        <v>1151</v>
      </c>
      <c r="E483" t="s">
        <v>552</v>
      </c>
      <c r="F483" t="s">
        <v>553</v>
      </c>
      <c r="G483" t="s">
        <v>2731</v>
      </c>
      <c r="H483" t="s">
        <v>3544</v>
      </c>
      <c r="I483" t="s">
        <v>2901</v>
      </c>
      <c r="J483" t="s">
        <v>2545</v>
      </c>
      <c r="K483" t="s">
        <v>112</v>
      </c>
      <c r="L483">
        <v>432</v>
      </c>
      <c r="M483">
        <v>0.60486111111111107</v>
      </c>
      <c r="N483">
        <v>14.516666666666666</v>
      </c>
      <c r="O483" t="s">
        <v>3917</v>
      </c>
      <c r="P483" t="s">
        <v>2486</v>
      </c>
      <c r="Q483">
        <v>2019</v>
      </c>
      <c r="R483">
        <v>2018</v>
      </c>
      <c r="S483" s="1">
        <v>44560</v>
      </c>
      <c r="T483" s="1">
        <v>44558</v>
      </c>
      <c r="U483" t="s">
        <v>4117</v>
      </c>
      <c r="V483" t="s">
        <v>4114</v>
      </c>
      <c r="W483" t="s">
        <v>4127</v>
      </c>
      <c r="X483" t="s">
        <v>4128</v>
      </c>
      <c r="Y483" t="s">
        <v>4116</v>
      </c>
    </row>
    <row r="484" spans="1:25" x14ac:dyDescent="0.25">
      <c r="A484">
        <v>483</v>
      </c>
      <c r="B484">
        <v>40654090</v>
      </c>
      <c r="C484" t="s">
        <v>3545</v>
      </c>
      <c r="D484" t="s">
        <v>1153</v>
      </c>
      <c r="E484" t="s">
        <v>1006</v>
      </c>
      <c r="F484" t="s">
        <v>1007</v>
      </c>
      <c r="H484" t="s">
        <v>3546</v>
      </c>
      <c r="I484" t="s">
        <v>2890</v>
      </c>
      <c r="J484" t="s">
        <v>2208</v>
      </c>
      <c r="K484" t="s">
        <v>57</v>
      </c>
      <c r="L484">
        <v>367</v>
      </c>
      <c r="P484" t="s">
        <v>2486</v>
      </c>
      <c r="Q484">
        <v>2018</v>
      </c>
      <c r="R484">
        <v>2016</v>
      </c>
      <c r="S484" s="1">
        <v>44559</v>
      </c>
      <c r="T484" s="1">
        <v>44558</v>
      </c>
      <c r="U484" t="s">
        <v>4117</v>
      </c>
      <c r="V484" t="s">
        <v>4114</v>
      </c>
      <c r="W484" t="s">
        <v>4115</v>
      </c>
      <c r="X484" t="s">
        <v>2603</v>
      </c>
      <c r="Y484" t="s">
        <v>4125</v>
      </c>
    </row>
    <row r="485" spans="1:25" x14ac:dyDescent="0.25">
      <c r="A485">
        <v>484</v>
      </c>
      <c r="B485">
        <v>16071295</v>
      </c>
      <c r="C485" t="s">
        <v>3547</v>
      </c>
      <c r="D485" t="s">
        <v>1155</v>
      </c>
      <c r="E485" t="s">
        <v>1156</v>
      </c>
      <c r="F485" t="s">
        <v>1157</v>
      </c>
      <c r="G485" t="s">
        <v>2733</v>
      </c>
      <c r="H485" t="s">
        <v>3548</v>
      </c>
      <c r="I485" t="s">
        <v>2890</v>
      </c>
      <c r="J485" t="s">
        <v>2492</v>
      </c>
      <c r="K485" t="s">
        <v>112</v>
      </c>
      <c r="L485">
        <v>244</v>
      </c>
      <c r="M485">
        <v>0.27152777777777776</v>
      </c>
      <c r="N485">
        <v>6.5166666666666657</v>
      </c>
      <c r="O485" t="s">
        <v>4077</v>
      </c>
      <c r="P485" t="s">
        <v>2486</v>
      </c>
      <c r="Q485">
        <v>2012</v>
      </c>
      <c r="R485">
        <v>2012</v>
      </c>
      <c r="S485" s="1">
        <v>44433</v>
      </c>
      <c r="T485" s="1">
        <v>44430</v>
      </c>
      <c r="U485" t="s">
        <v>4134</v>
      </c>
      <c r="V485" t="s">
        <v>4114</v>
      </c>
      <c r="W485" t="s">
        <v>4148</v>
      </c>
      <c r="X485" t="s">
        <v>2486</v>
      </c>
      <c r="Y485" t="s">
        <v>4116</v>
      </c>
    </row>
    <row r="486" spans="1:25" x14ac:dyDescent="0.25">
      <c r="A486">
        <v>485</v>
      </c>
      <c r="B486">
        <v>55260956</v>
      </c>
      <c r="C486" t="s">
        <v>1158</v>
      </c>
      <c r="D486" t="s">
        <v>17</v>
      </c>
      <c r="E486" t="s">
        <v>62</v>
      </c>
      <c r="F486" t="s">
        <v>63</v>
      </c>
      <c r="H486" t="s">
        <v>3549</v>
      </c>
      <c r="I486" t="s">
        <v>2901</v>
      </c>
      <c r="J486" t="s">
        <v>1668</v>
      </c>
      <c r="K486" t="s">
        <v>2488</v>
      </c>
      <c r="L486">
        <v>248</v>
      </c>
      <c r="P486" t="s">
        <v>2494</v>
      </c>
      <c r="Q486">
        <v>2020</v>
      </c>
      <c r="R486">
        <v>2020</v>
      </c>
      <c r="S486" s="1">
        <v>44209</v>
      </c>
      <c r="T486" s="1">
        <v>44154</v>
      </c>
      <c r="U486" t="s">
        <v>4132</v>
      </c>
      <c r="V486" t="s">
        <v>4114</v>
      </c>
      <c r="W486" t="s">
        <v>4133</v>
      </c>
      <c r="X486" t="s">
        <v>2494</v>
      </c>
      <c r="Y486" t="s">
        <v>4116</v>
      </c>
    </row>
    <row r="487" spans="1:25" x14ac:dyDescent="0.25">
      <c r="A487">
        <v>486</v>
      </c>
      <c r="B487">
        <v>8540533</v>
      </c>
      <c r="C487" t="s">
        <v>1159</v>
      </c>
      <c r="D487" t="s">
        <v>17</v>
      </c>
      <c r="E487" t="s">
        <v>1160</v>
      </c>
      <c r="F487" t="s">
        <v>1161</v>
      </c>
      <c r="H487" t="s">
        <v>3550</v>
      </c>
      <c r="I487" t="s">
        <v>3006</v>
      </c>
      <c r="J487" t="s">
        <v>2212</v>
      </c>
      <c r="K487" t="s">
        <v>57</v>
      </c>
      <c r="L487">
        <v>877</v>
      </c>
      <c r="P487" t="s">
        <v>2494</v>
      </c>
      <c r="Q487">
        <v>2009</v>
      </c>
      <c r="R487">
        <v>1878</v>
      </c>
      <c r="S487" s="1">
        <v>44215</v>
      </c>
      <c r="T487" s="1">
        <v>44076</v>
      </c>
      <c r="U487" t="s">
        <v>4126</v>
      </c>
      <c r="V487" t="s">
        <v>4114</v>
      </c>
      <c r="W487" t="s">
        <v>4150</v>
      </c>
      <c r="X487" t="s">
        <v>4151</v>
      </c>
      <c r="Y487" t="s">
        <v>4116</v>
      </c>
    </row>
    <row r="488" spans="1:25" x14ac:dyDescent="0.25">
      <c r="A488">
        <v>487</v>
      </c>
      <c r="B488">
        <v>55850937</v>
      </c>
      <c r="C488" t="s">
        <v>1162</v>
      </c>
      <c r="D488" t="s">
        <v>17</v>
      </c>
      <c r="E488" t="s">
        <v>1163</v>
      </c>
      <c r="F488" t="s">
        <v>1164</v>
      </c>
      <c r="H488" t="s">
        <v>3551</v>
      </c>
      <c r="I488" t="s">
        <v>2901</v>
      </c>
      <c r="J488" t="s">
        <v>1668</v>
      </c>
      <c r="K488" t="s">
        <v>2488</v>
      </c>
      <c r="L488">
        <v>424</v>
      </c>
      <c r="P488" t="s">
        <v>2494</v>
      </c>
      <c r="Q488">
        <v>2020</v>
      </c>
      <c r="R488">
        <v>2020</v>
      </c>
      <c r="S488" s="1">
        <v>44235</v>
      </c>
      <c r="T488" s="1">
        <v>44169</v>
      </c>
      <c r="U488" t="s">
        <v>4157</v>
      </c>
      <c r="V488" t="s">
        <v>4131</v>
      </c>
      <c r="W488" t="s">
        <v>4121</v>
      </c>
      <c r="X488" t="s">
        <v>2603</v>
      </c>
      <c r="Y488" t="s">
        <v>4116</v>
      </c>
    </row>
    <row r="489" spans="1:25" x14ac:dyDescent="0.25">
      <c r="A489">
        <v>488</v>
      </c>
      <c r="B489">
        <v>28224373</v>
      </c>
      <c r="C489" t="s">
        <v>1165</v>
      </c>
      <c r="D489" t="s">
        <v>17</v>
      </c>
      <c r="E489" t="s">
        <v>1166</v>
      </c>
      <c r="F489" t="s">
        <v>1167</v>
      </c>
      <c r="H489" t="s">
        <v>3552</v>
      </c>
      <c r="I489" t="s">
        <v>2901</v>
      </c>
      <c r="J489" t="s">
        <v>1668</v>
      </c>
      <c r="K489" t="s">
        <v>2488</v>
      </c>
      <c r="L489">
        <v>208</v>
      </c>
      <c r="P489" t="s">
        <v>2494</v>
      </c>
      <c r="Q489">
        <v>2015</v>
      </c>
      <c r="R489">
        <v>2014</v>
      </c>
      <c r="S489" s="1">
        <v>44269</v>
      </c>
      <c r="T489" s="1">
        <v>44265</v>
      </c>
      <c r="U489" t="s">
        <v>4135</v>
      </c>
      <c r="V489" t="s">
        <v>4131</v>
      </c>
      <c r="W489" t="s">
        <v>4156</v>
      </c>
      <c r="X489" t="s">
        <v>2603</v>
      </c>
      <c r="Y489" t="s">
        <v>4125</v>
      </c>
    </row>
    <row r="490" spans="1:25" x14ac:dyDescent="0.25">
      <c r="A490">
        <v>489</v>
      </c>
      <c r="B490">
        <v>6567017</v>
      </c>
      <c r="C490" t="s">
        <v>1168</v>
      </c>
      <c r="D490" t="s">
        <v>17</v>
      </c>
      <c r="E490" t="s">
        <v>1169</v>
      </c>
      <c r="F490" t="s">
        <v>1170</v>
      </c>
      <c r="H490" t="s">
        <v>3553</v>
      </c>
      <c r="I490" t="s">
        <v>2890</v>
      </c>
      <c r="J490" t="s">
        <v>1668</v>
      </c>
      <c r="K490" t="s">
        <v>2488</v>
      </c>
      <c r="L490">
        <v>320</v>
      </c>
      <c r="P490" t="s">
        <v>2494</v>
      </c>
      <c r="Q490">
        <v>2010</v>
      </c>
      <c r="R490">
        <v>2010</v>
      </c>
      <c r="S490" s="1">
        <v>44272</v>
      </c>
      <c r="T490" s="1">
        <v>44270</v>
      </c>
      <c r="U490" t="s">
        <v>4136</v>
      </c>
      <c r="V490" t="s">
        <v>4114</v>
      </c>
      <c r="W490" t="s">
        <v>4121</v>
      </c>
      <c r="X490" t="s">
        <v>2603</v>
      </c>
      <c r="Y490" t="s">
        <v>4116</v>
      </c>
    </row>
    <row r="491" spans="1:25" x14ac:dyDescent="0.25">
      <c r="A491">
        <v>490</v>
      </c>
      <c r="B491">
        <v>25008928</v>
      </c>
      <c r="C491" t="s">
        <v>1171</v>
      </c>
      <c r="D491" t="s">
        <v>17</v>
      </c>
      <c r="E491" t="s">
        <v>265</v>
      </c>
      <c r="F491" t="s">
        <v>266</v>
      </c>
      <c r="H491" t="s">
        <v>3554</v>
      </c>
      <c r="I491" t="s">
        <v>2901</v>
      </c>
      <c r="J491" t="s">
        <v>2217</v>
      </c>
      <c r="K491" t="s">
        <v>2488</v>
      </c>
      <c r="L491">
        <v>168</v>
      </c>
      <c r="P491" t="s">
        <v>2494</v>
      </c>
      <c r="Q491">
        <v>2010</v>
      </c>
      <c r="R491">
        <v>1939</v>
      </c>
      <c r="S491" s="1">
        <v>44307</v>
      </c>
      <c r="T491" s="1">
        <v>44237</v>
      </c>
      <c r="U491" t="s">
        <v>4117</v>
      </c>
      <c r="V491" t="s">
        <v>4114</v>
      </c>
      <c r="W491" t="s">
        <v>4115</v>
      </c>
      <c r="X491" t="s">
        <v>2603</v>
      </c>
      <c r="Y491" t="s">
        <v>4125</v>
      </c>
    </row>
    <row r="492" spans="1:25" x14ac:dyDescent="0.25">
      <c r="A492">
        <v>491</v>
      </c>
      <c r="B492">
        <v>42935117</v>
      </c>
      <c r="C492" t="s">
        <v>1172</v>
      </c>
      <c r="D492" t="s">
        <v>17</v>
      </c>
      <c r="E492" t="s">
        <v>1173</v>
      </c>
      <c r="F492" t="s">
        <v>1174</v>
      </c>
      <c r="G492" t="s">
        <v>2734</v>
      </c>
      <c r="H492" t="s">
        <v>3555</v>
      </c>
      <c r="I492" t="s">
        <v>3006</v>
      </c>
      <c r="J492" t="s">
        <v>2492</v>
      </c>
      <c r="K492" t="s">
        <v>112</v>
      </c>
      <c r="L492">
        <v>280</v>
      </c>
      <c r="M492">
        <v>0.34652777777777777</v>
      </c>
      <c r="N492">
        <v>8.3166666666666664</v>
      </c>
      <c r="O492" t="s">
        <v>3886</v>
      </c>
      <c r="P492" t="s">
        <v>2486</v>
      </c>
      <c r="Q492">
        <v>2020</v>
      </c>
      <c r="R492">
        <v>1966</v>
      </c>
      <c r="S492" s="1">
        <v>44312</v>
      </c>
      <c r="T492" s="1">
        <v>44309</v>
      </c>
      <c r="U492" t="s">
        <v>4113</v>
      </c>
      <c r="V492" t="s">
        <v>4114</v>
      </c>
      <c r="W492" t="s">
        <v>4121</v>
      </c>
      <c r="X492" t="s">
        <v>2603</v>
      </c>
      <c r="Y492" t="s">
        <v>4116</v>
      </c>
    </row>
    <row r="493" spans="1:25" x14ac:dyDescent="0.25">
      <c r="A493">
        <v>492</v>
      </c>
      <c r="B493">
        <v>30274539</v>
      </c>
      <c r="C493" t="s">
        <v>1175</v>
      </c>
      <c r="D493" t="s">
        <v>17</v>
      </c>
      <c r="E493" t="s">
        <v>1176</v>
      </c>
      <c r="F493" t="s">
        <v>1177</v>
      </c>
      <c r="G493" t="s">
        <v>2735</v>
      </c>
      <c r="H493" t="s">
        <v>3556</v>
      </c>
      <c r="I493" t="s">
        <v>2933</v>
      </c>
      <c r="J493" t="s">
        <v>2266</v>
      </c>
      <c r="K493" t="s">
        <v>112</v>
      </c>
      <c r="L493">
        <v>192</v>
      </c>
      <c r="M493">
        <v>0.2298611111111111</v>
      </c>
      <c r="N493">
        <v>5.5166666666666666</v>
      </c>
      <c r="O493" t="s">
        <v>4078</v>
      </c>
      <c r="P493" t="s">
        <v>2486</v>
      </c>
      <c r="Q493">
        <v>2015</v>
      </c>
      <c r="R493">
        <v>1963</v>
      </c>
      <c r="S493" s="1">
        <v>44317</v>
      </c>
      <c r="T493" s="1">
        <v>44317</v>
      </c>
      <c r="U493" t="s">
        <v>4113</v>
      </c>
      <c r="V493" t="s">
        <v>4114</v>
      </c>
      <c r="W493" t="s">
        <v>4121</v>
      </c>
      <c r="X493" t="s">
        <v>2603</v>
      </c>
      <c r="Y493" t="s">
        <v>4116</v>
      </c>
    </row>
    <row r="494" spans="1:25" x14ac:dyDescent="0.25">
      <c r="A494">
        <v>493</v>
      </c>
      <c r="B494">
        <v>53047316</v>
      </c>
      <c r="C494" t="s">
        <v>1178</v>
      </c>
      <c r="D494" t="s">
        <v>17</v>
      </c>
      <c r="E494" t="s">
        <v>1179</v>
      </c>
      <c r="F494" t="s">
        <v>1180</v>
      </c>
      <c r="H494" t="s">
        <v>3557</v>
      </c>
      <c r="I494" t="s">
        <v>2901</v>
      </c>
      <c r="J494" t="s">
        <v>2221</v>
      </c>
      <c r="K494" t="s">
        <v>2488</v>
      </c>
      <c r="L494">
        <v>344</v>
      </c>
      <c r="P494" t="s">
        <v>2494</v>
      </c>
      <c r="Q494">
        <v>2019</v>
      </c>
      <c r="R494">
        <v>2016</v>
      </c>
      <c r="S494" s="1">
        <v>44332</v>
      </c>
      <c r="T494" s="1">
        <v>44326</v>
      </c>
      <c r="U494" t="s">
        <v>4130</v>
      </c>
      <c r="V494" t="s">
        <v>4131</v>
      </c>
      <c r="W494" t="s">
        <v>4144</v>
      </c>
      <c r="X494" t="s">
        <v>4124</v>
      </c>
      <c r="Y494" t="s">
        <v>4125</v>
      </c>
    </row>
    <row r="495" spans="1:25" x14ac:dyDescent="0.25">
      <c r="A495">
        <v>494</v>
      </c>
      <c r="B495">
        <v>25335540</v>
      </c>
      <c r="C495" t="s">
        <v>1181</v>
      </c>
      <c r="D495" t="s">
        <v>17</v>
      </c>
      <c r="E495" t="s">
        <v>503</v>
      </c>
      <c r="F495" t="s">
        <v>504</v>
      </c>
      <c r="G495" t="s">
        <v>2736</v>
      </c>
      <c r="H495" t="s">
        <v>3558</v>
      </c>
      <c r="I495" t="s">
        <v>2901</v>
      </c>
      <c r="J495" t="s">
        <v>2492</v>
      </c>
      <c r="K495" t="s">
        <v>112</v>
      </c>
      <c r="L495">
        <v>336</v>
      </c>
      <c r="P495" t="s">
        <v>2486</v>
      </c>
      <c r="Q495">
        <v>2015</v>
      </c>
      <c r="R495">
        <v>2012</v>
      </c>
      <c r="S495" s="1">
        <v>44372</v>
      </c>
      <c r="T495" s="1">
        <v>44372</v>
      </c>
      <c r="U495" t="s">
        <v>4134</v>
      </c>
      <c r="V495" t="s">
        <v>4114</v>
      </c>
      <c r="W495" t="s">
        <v>4118</v>
      </c>
      <c r="X495" t="s">
        <v>4119</v>
      </c>
      <c r="Y495" t="s">
        <v>4116</v>
      </c>
    </row>
    <row r="496" spans="1:25" x14ac:dyDescent="0.25">
      <c r="A496">
        <v>495</v>
      </c>
      <c r="B496">
        <v>55369220</v>
      </c>
      <c r="C496" t="s">
        <v>1182</v>
      </c>
      <c r="D496" t="s">
        <v>17</v>
      </c>
      <c r="E496" t="s">
        <v>1183</v>
      </c>
      <c r="F496" t="s">
        <v>1184</v>
      </c>
      <c r="H496" t="s">
        <v>3559</v>
      </c>
      <c r="I496" t="s">
        <v>2890</v>
      </c>
      <c r="J496" t="s">
        <v>1723</v>
      </c>
      <c r="K496" t="s">
        <v>2488</v>
      </c>
      <c r="L496">
        <v>264</v>
      </c>
      <c r="P496" t="s">
        <v>2494</v>
      </c>
      <c r="Q496">
        <v>2020</v>
      </c>
      <c r="R496">
        <v>2019</v>
      </c>
      <c r="S496" s="1">
        <v>44377</v>
      </c>
      <c r="T496" s="1">
        <v>44317</v>
      </c>
      <c r="U496" t="s">
        <v>4140</v>
      </c>
      <c r="V496" t="s">
        <v>4131</v>
      </c>
      <c r="W496" t="s">
        <v>4115</v>
      </c>
      <c r="X496" t="s">
        <v>2603</v>
      </c>
      <c r="Y496" t="s">
        <v>4125</v>
      </c>
    </row>
    <row r="497" spans="1:25" x14ac:dyDescent="0.25">
      <c r="A497">
        <v>496</v>
      </c>
      <c r="B497">
        <v>18589289</v>
      </c>
      <c r="C497" t="s">
        <v>3560</v>
      </c>
      <c r="D497" t="s">
        <v>1186</v>
      </c>
      <c r="E497" t="s">
        <v>62</v>
      </c>
      <c r="F497" t="s">
        <v>63</v>
      </c>
      <c r="H497" t="s">
        <v>3561</v>
      </c>
      <c r="I497" t="s">
        <v>2933</v>
      </c>
      <c r="J497" t="s">
        <v>1668</v>
      </c>
      <c r="K497" t="s">
        <v>57</v>
      </c>
      <c r="L497">
        <v>360</v>
      </c>
      <c r="P497" t="s">
        <v>2494</v>
      </c>
      <c r="Q497">
        <v>2013</v>
      </c>
      <c r="R497">
        <v>2013</v>
      </c>
      <c r="S497" s="1">
        <v>44382</v>
      </c>
      <c r="T497" s="1">
        <v>44378</v>
      </c>
      <c r="U497" t="s">
        <v>4132</v>
      </c>
      <c r="V497" t="s">
        <v>4114</v>
      </c>
      <c r="W497" t="s">
        <v>4133</v>
      </c>
      <c r="X497" t="s">
        <v>2494</v>
      </c>
      <c r="Y497" t="s">
        <v>4116</v>
      </c>
    </row>
    <row r="498" spans="1:25" x14ac:dyDescent="0.25">
      <c r="A498">
        <v>497</v>
      </c>
      <c r="B498">
        <v>57813264</v>
      </c>
      <c r="C498" t="s">
        <v>1187</v>
      </c>
      <c r="D498" t="s">
        <v>17</v>
      </c>
      <c r="E498" t="s">
        <v>1188</v>
      </c>
      <c r="F498" t="s">
        <v>1189</v>
      </c>
      <c r="H498" t="s">
        <v>3562</v>
      </c>
      <c r="I498" t="s">
        <v>2901</v>
      </c>
      <c r="J498" t="s">
        <v>1723</v>
      </c>
      <c r="K498" t="s">
        <v>2488</v>
      </c>
      <c r="L498">
        <v>380</v>
      </c>
      <c r="P498" t="s">
        <v>2494</v>
      </c>
      <c r="Q498">
        <v>2021</v>
      </c>
      <c r="R498">
        <v>2021</v>
      </c>
      <c r="S498" s="1">
        <v>44392</v>
      </c>
      <c r="T498" s="1">
        <v>44317</v>
      </c>
      <c r="U498" t="s">
        <v>4135</v>
      </c>
      <c r="V498" t="s">
        <v>4131</v>
      </c>
      <c r="W498" t="s">
        <v>4133</v>
      </c>
      <c r="X498" t="s">
        <v>2494</v>
      </c>
      <c r="Y498" t="s">
        <v>4125</v>
      </c>
    </row>
    <row r="499" spans="1:25" x14ac:dyDescent="0.25">
      <c r="A499">
        <v>498</v>
      </c>
      <c r="B499">
        <v>32828647</v>
      </c>
      <c r="C499" t="s">
        <v>1190</v>
      </c>
      <c r="D499" t="s">
        <v>17</v>
      </c>
      <c r="E499" t="s">
        <v>1191</v>
      </c>
      <c r="F499" t="s">
        <v>1192</v>
      </c>
      <c r="H499" t="s">
        <v>3563</v>
      </c>
      <c r="I499" t="s">
        <v>2890</v>
      </c>
      <c r="J499" t="s">
        <v>2227</v>
      </c>
      <c r="K499" t="s">
        <v>57</v>
      </c>
      <c r="L499">
        <v>271</v>
      </c>
      <c r="P499" t="s">
        <v>2486</v>
      </c>
      <c r="Q499">
        <v>2016</v>
      </c>
      <c r="R499">
        <v>1972</v>
      </c>
      <c r="S499" s="1">
        <v>44394</v>
      </c>
      <c r="T499" s="1">
        <v>44390</v>
      </c>
      <c r="U499" t="s">
        <v>4149</v>
      </c>
      <c r="V499" t="s">
        <v>4114</v>
      </c>
      <c r="W499" t="s">
        <v>4115</v>
      </c>
      <c r="X499" t="s">
        <v>2603</v>
      </c>
      <c r="Y499" t="s">
        <v>4125</v>
      </c>
    </row>
    <row r="500" spans="1:25" x14ac:dyDescent="0.25">
      <c r="A500">
        <v>499</v>
      </c>
      <c r="B500">
        <v>25492472</v>
      </c>
      <c r="C500" t="s">
        <v>1193</v>
      </c>
      <c r="D500" t="s">
        <v>17</v>
      </c>
      <c r="E500" t="s">
        <v>503</v>
      </c>
      <c r="F500" t="s">
        <v>504</v>
      </c>
      <c r="G500" t="s">
        <v>2737</v>
      </c>
      <c r="H500" t="s">
        <v>3564</v>
      </c>
      <c r="I500" t="s">
        <v>2901</v>
      </c>
      <c r="J500" t="s">
        <v>2492</v>
      </c>
      <c r="K500" t="s">
        <v>112</v>
      </c>
      <c r="L500">
        <v>424</v>
      </c>
      <c r="M500">
        <v>0.53194444444444444</v>
      </c>
      <c r="N500">
        <v>12.766666666666666</v>
      </c>
      <c r="O500" t="s">
        <v>4079</v>
      </c>
      <c r="P500" t="s">
        <v>2486</v>
      </c>
      <c r="Q500">
        <v>2015</v>
      </c>
      <c r="R500">
        <v>2013</v>
      </c>
      <c r="S500" s="1">
        <v>44397</v>
      </c>
      <c r="T500" s="1">
        <v>44397</v>
      </c>
      <c r="U500" t="s">
        <v>4134</v>
      </c>
      <c r="V500" t="s">
        <v>4114</v>
      </c>
      <c r="W500" t="s">
        <v>4118</v>
      </c>
      <c r="X500" t="s">
        <v>4119</v>
      </c>
      <c r="Y500" t="s">
        <v>4116</v>
      </c>
    </row>
    <row r="501" spans="1:25" x14ac:dyDescent="0.25">
      <c r="A501">
        <v>500</v>
      </c>
      <c r="B501">
        <v>35994949</v>
      </c>
      <c r="C501" t="s">
        <v>1194</v>
      </c>
      <c r="D501" t="s">
        <v>17</v>
      </c>
      <c r="E501" t="s">
        <v>503</v>
      </c>
      <c r="F501" t="s">
        <v>504</v>
      </c>
      <c r="G501" t="s">
        <v>2738</v>
      </c>
      <c r="H501" t="s">
        <v>3565</v>
      </c>
      <c r="I501" t="s">
        <v>2890</v>
      </c>
      <c r="J501" t="s">
        <v>2492</v>
      </c>
      <c r="K501" t="s">
        <v>112</v>
      </c>
      <c r="L501">
        <v>192</v>
      </c>
      <c r="M501">
        <v>0.11736111111111111</v>
      </c>
      <c r="N501">
        <v>2.8166666666666664</v>
      </c>
      <c r="O501" t="s">
        <v>4080</v>
      </c>
      <c r="P501" t="s">
        <v>2486</v>
      </c>
      <c r="Q501">
        <v>2017</v>
      </c>
      <c r="R501">
        <v>2012</v>
      </c>
      <c r="S501" s="1">
        <v>44400</v>
      </c>
      <c r="T501" s="1">
        <v>44400</v>
      </c>
      <c r="U501" t="s">
        <v>4134</v>
      </c>
      <c r="V501" t="s">
        <v>4114</v>
      </c>
      <c r="W501" t="s">
        <v>4118</v>
      </c>
      <c r="X501" t="s">
        <v>4119</v>
      </c>
      <c r="Y501" t="s">
        <v>4116</v>
      </c>
    </row>
    <row r="502" spans="1:25" x14ac:dyDescent="0.25">
      <c r="A502">
        <v>501</v>
      </c>
      <c r="B502">
        <v>26368846</v>
      </c>
      <c r="C502" t="s">
        <v>1195</v>
      </c>
      <c r="D502" t="s">
        <v>17</v>
      </c>
      <c r="E502" t="s">
        <v>1196</v>
      </c>
      <c r="F502" t="s">
        <v>1197</v>
      </c>
      <c r="H502" t="s">
        <v>3566</v>
      </c>
      <c r="I502" t="s">
        <v>2890</v>
      </c>
      <c r="J502" t="s">
        <v>1944</v>
      </c>
      <c r="K502" t="s">
        <v>57</v>
      </c>
      <c r="L502">
        <v>224</v>
      </c>
      <c r="P502" t="s">
        <v>2494</v>
      </c>
      <c r="Q502">
        <v>2015</v>
      </c>
      <c r="R502">
        <v>2010</v>
      </c>
      <c r="S502" s="1">
        <v>44413</v>
      </c>
      <c r="T502" s="1">
        <v>44411</v>
      </c>
      <c r="U502" t="s">
        <v>4130</v>
      </c>
      <c r="V502" t="s">
        <v>4131</v>
      </c>
      <c r="W502" t="s">
        <v>4166</v>
      </c>
      <c r="X502" t="s">
        <v>4167</v>
      </c>
      <c r="Y502" t="s">
        <v>4125</v>
      </c>
    </row>
    <row r="503" spans="1:25" x14ac:dyDescent="0.25">
      <c r="A503">
        <v>502</v>
      </c>
      <c r="B503">
        <v>34614536</v>
      </c>
      <c r="C503" t="s">
        <v>1198</v>
      </c>
      <c r="D503" t="s">
        <v>17</v>
      </c>
      <c r="E503" t="s">
        <v>503</v>
      </c>
      <c r="F503" t="s">
        <v>504</v>
      </c>
      <c r="G503" t="s">
        <v>2737</v>
      </c>
      <c r="H503" t="s">
        <v>3567</v>
      </c>
      <c r="I503" t="s">
        <v>2901</v>
      </c>
      <c r="J503" t="s">
        <v>2492</v>
      </c>
      <c r="K503" t="s">
        <v>112</v>
      </c>
      <c r="L503">
        <v>360</v>
      </c>
      <c r="M503">
        <v>0.42986111111111114</v>
      </c>
      <c r="N503">
        <v>10.316666666666666</v>
      </c>
      <c r="O503" t="s">
        <v>4081</v>
      </c>
      <c r="P503" t="s">
        <v>2486</v>
      </c>
      <c r="Q503">
        <v>2017</v>
      </c>
      <c r="R503">
        <v>2014</v>
      </c>
      <c r="S503" s="1">
        <v>44414</v>
      </c>
      <c r="T503" s="1">
        <v>44413</v>
      </c>
      <c r="U503" t="s">
        <v>4134</v>
      </c>
      <c r="V503" t="s">
        <v>4114</v>
      </c>
      <c r="W503" t="s">
        <v>4118</v>
      </c>
      <c r="X503" t="s">
        <v>4119</v>
      </c>
      <c r="Y503" t="s">
        <v>4116</v>
      </c>
    </row>
    <row r="504" spans="1:25" x14ac:dyDescent="0.25">
      <c r="A504">
        <v>503</v>
      </c>
      <c r="B504">
        <v>40597210</v>
      </c>
      <c r="C504" t="s">
        <v>1199</v>
      </c>
      <c r="D504" t="s">
        <v>2739</v>
      </c>
      <c r="E504" t="s">
        <v>503</v>
      </c>
      <c r="F504" t="s">
        <v>504</v>
      </c>
      <c r="G504" t="s">
        <v>2602</v>
      </c>
      <c r="H504" t="s">
        <v>3568</v>
      </c>
      <c r="I504" t="s">
        <v>2890</v>
      </c>
      <c r="J504" t="s">
        <v>2492</v>
      </c>
      <c r="K504" t="s">
        <v>112</v>
      </c>
      <c r="L504">
        <v>440</v>
      </c>
      <c r="M504">
        <v>0.63194444444444442</v>
      </c>
      <c r="N504">
        <v>15.166666666666666</v>
      </c>
      <c r="O504" t="s">
        <v>4082</v>
      </c>
      <c r="P504" t="s">
        <v>2486</v>
      </c>
      <c r="Q504">
        <v>2018</v>
      </c>
      <c r="R504">
        <v>2016</v>
      </c>
      <c r="S504" s="1">
        <v>44429</v>
      </c>
      <c r="T504" s="1">
        <v>44423</v>
      </c>
      <c r="U504" t="s">
        <v>4134</v>
      </c>
      <c r="V504" t="s">
        <v>4114</v>
      </c>
      <c r="W504" t="s">
        <v>4118</v>
      </c>
      <c r="X504" t="s">
        <v>4119</v>
      </c>
      <c r="Y504" t="s">
        <v>4116</v>
      </c>
    </row>
    <row r="505" spans="1:25" x14ac:dyDescent="0.25">
      <c r="A505">
        <v>504</v>
      </c>
      <c r="B505">
        <v>56780957</v>
      </c>
      <c r="C505" t="s">
        <v>1200</v>
      </c>
      <c r="D505" t="s">
        <v>17</v>
      </c>
      <c r="E505" t="s">
        <v>329</v>
      </c>
      <c r="F505" t="s">
        <v>330</v>
      </c>
      <c r="H505" t="s">
        <v>3569</v>
      </c>
      <c r="I505" t="s">
        <v>2933</v>
      </c>
      <c r="J505" t="s">
        <v>1811</v>
      </c>
      <c r="K505" t="s">
        <v>57</v>
      </c>
      <c r="L505">
        <v>300</v>
      </c>
      <c r="P505" t="s">
        <v>2486</v>
      </c>
      <c r="Q505">
        <v>2021</v>
      </c>
      <c r="R505">
        <v>2021</v>
      </c>
      <c r="S505" s="1">
        <v>44434</v>
      </c>
      <c r="T505" s="1">
        <v>44428</v>
      </c>
      <c r="U505" t="s">
        <v>4126</v>
      </c>
      <c r="V505" t="s">
        <v>4114</v>
      </c>
      <c r="W505" t="s">
        <v>4148</v>
      </c>
      <c r="X505" t="s">
        <v>2486</v>
      </c>
      <c r="Y505" t="s">
        <v>4125</v>
      </c>
    </row>
    <row r="506" spans="1:25" x14ac:dyDescent="0.25">
      <c r="A506">
        <v>505</v>
      </c>
      <c r="B506">
        <v>13487869</v>
      </c>
      <c r="C506" t="s">
        <v>1201</v>
      </c>
      <c r="D506" t="s">
        <v>17</v>
      </c>
      <c r="E506" t="s">
        <v>1202</v>
      </c>
      <c r="F506" t="s">
        <v>1203</v>
      </c>
      <c r="H506" t="s">
        <v>3570</v>
      </c>
      <c r="I506" t="s">
        <v>2917</v>
      </c>
      <c r="J506" t="s">
        <v>2235</v>
      </c>
      <c r="K506" t="s">
        <v>2488</v>
      </c>
      <c r="L506">
        <v>310</v>
      </c>
      <c r="P506" t="s">
        <v>2494</v>
      </c>
      <c r="Q506">
        <v>2012</v>
      </c>
      <c r="R506">
        <v>2012</v>
      </c>
      <c r="S506" s="1">
        <v>44441</v>
      </c>
      <c r="T506" s="1">
        <v>44440</v>
      </c>
      <c r="U506" t="s">
        <v>4149</v>
      </c>
      <c r="V506" t="s">
        <v>4114</v>
      </c>
      <c r="W506" t="s">
        <v>4133</v>
      </c>
      <c r="X506" t="s">
        <v>2494</v>
      </c>
      <c r="Y506" t="s">
        <v>4125</v>
      </c>
    </row>
    <row r="507" spans="1:25" x14ac:dyDescent="0.25">
      <c r="A507">
        <v>506</v>
      </c>
      <c r="B507">
        <v>35291687</v>
      </c>
      <c r="C507" t="s">
        <v>1204</v>
      </c>
      <c r="D507" t="s">
        <v>17</v>
      </c>
      <c r="E507" t="s">
        <v>1205</v>
      </c>
      <c r="F507" t="s">
        <v>1206</v>
      </c>
      <c r="H507" t="s">
        <v>3571</v>
      </c>
      <c r="I507" t="s">
        <v>2890</v>
      </c>
      <c r="J507" t="s">
        <v>1668</v>
      </c>
      <c r="K507" t="s">
        <v>2488</v>
      </c>
      <c r="L507">
        <v>304</v>
      </c>
      <c r="P507" t="s">
        <v>2494</v>
      </c>
      <c r="Q507">
        <v>2017</v>
      </c>
      <c r="R507">
        <v>2016</v>
      </c>
      <c r="S507" s="1">
        <v>44445</v>
      </c>
      <c r="T507" s="1">
        <v>44442</v>
      </c>
      <c r="U507" t="s">
        <v>4139</v>
      </c>
      <c r="V507" t="s">
        <v>4131</v>
      </c>
      <c r="W507" t="s">
        <v>4115</v>
      </c>
      <c r="X507" t="s">
        <v>2603</v>
      </c>
      <c r="Y507" t="s">
        <v>4125</v>
      </c>
    </row>
    <row r="508" spans="1:25" x14ac:dyDescent="0.25">
      <c r="A508">
        <v>507</v>
      </c>
      <c r="B508">
        <v>40935775</v>
      </c>
      <c r="C508" t="s">
        <v>3572</v>
      </c>
      <c r="D508" t="s">
        <v>1208</v>
      </c>
      <c r="E508" t="s">
        <v>503</v>
      </c>
      <c r="F508" t="s">
        <v>504</v>
      </c>
      <c r="G508" t="s">
        <v>2602</v>
      </c>
      <c r="H508" t="s">
        <v>3573</v>
      </c>
      <c r="I508" t="s">
        <v>2890</v>
      </c>
      <c r="J508" t="s">
        <v>2492</v>
      </c>
      <c r="K508" t="s">
        <v>112</v>
      </c>
      <c r="L508">
        <v>440</v>
      </c>
      <c r="M508">
        <v>0.62361111111111112</v>
      </c>
      <c r="N508">
        <v>14.966666666666667</v>
      </c>
      <c r="O508" t="s">
        <v>4083</v>
      </c>
      <c r="P508" t="s">
        <v>2486</v>
      </c>
      <c r="Q508">
        <v>2018</v>
      </c>
      <c r="R508">
        <v>2017</v>
      </c>
      <c r="S508" s="1">
        <v>44449</v>
      </c>
      <c r="T508" s="1">
        <v>44446</v>
      </c>
      <c r="U508" t="s">
        <v>4134</v>
      </c>
      <c r="V508" t="s">
        <v>4114</v>
      </c>
      <c r="W508" t="s">
        <v>4118</v>
      </c>
      <c r="X508" t="s">
        <v>4119</v>
      </c>
      <c r="Y508" t="s">
        <v>4116</v>
      </c>
    </row>
    <row r="509" spans="1:25" x14ac:dyDescent="0.25">
      <c r="A509">
        <v>508</v>
      </c>
      <c r="B509">
        <v>48888554</v>
      </c>
      <c r="C509" t="s">
        <v>1209</v>
      </c>
      <c r="D509" t="s">
        <v>17</v>
      </c>
      <c r="E509" t="s">
        <v>1210</v>
      </c>
      <c r="F509" t="s">
        <v>1211</v>
      </c>
      <c r="H509" t="s">
        <v>3574</v>
      </c>
      <c r="I509" t="s">
        <v>2901</v>
      </c>
      <c r="J509" t="s">
        <v>1770</v>
      </c>
      <c r="K509" t="s">
        <v>2488</v>
      </c>
      <c r="L509">
        <v>232</v>
      </c>
      <c r="P509" t="s">
        <v>2494</v>
      </c>
      <c r="Q509">
        <v>2019</v>
      </c>
      <c r="R509">
        <v>2016</v>
      </c>
      <c r="S509" s="1">
        <v>44454</v>
      </c>
      <c r="T509" s="1">
        <v>44448</v>
      </c>
      <c r="U509" t="s">
        <v>4138</v>
      </c>
      <c r="V509" t="s">
        <v>4114</v>
      </c>
      <c r="W509" t="s">
        <v>4176</v>
      </c>
      <c r="X509" t="s">
        <v>4171</v>
      </c>
      <c r="Y509" t="s">
        <v>4116</v>
      </c>
    </row>
    <row r="510" spans="1:25" x14ac:dyDescent="0.25">
      <c r="A510">
        <v>509</v>
      </c>
      <c r="B510">
        <v>18637181</v>
      </c>
      <c r="C510" t="s">
        <v>3575</v>
      </c>
      <c r="D510" t="s">
        <v>1213</v>
      </c>
      <c r="E510" t="s">
        <v>1156</v>
      </c>
      <c r="F510" t="s">
        <v>1157</v>
      </c>
      <c r="G510" t="s">
        <v>2733</v>
      </c>
      <c r="H510" t="s">
        <v>3576</v>
      </c>
      <c r="I510" t="s">
        <v>2890</v>
      </c>
      <c r="J510" t="s">
        <v>2492</v>
      </c>
      <c r="K510" t="s">
        <v>112</v>
      </c>
      <c r="L510">
        <v>118</v>
      </c>
      <c r="M510">
        <v>0.15208333333333332</v>
      </c>
      <c r="N510">
        <v>3.6499999999999995</v>
      </c>
      <c r="O510" t="s">
        <v>4084</v>
      </c>
      <c r="P510" t="s">
        <v>2486</v>
      </c>
      <c r="Q510">
        <v>2013</v>
      </c>
      <c r="R510">
        <v>2013</v>
      </c>
      <c r="S510" s="1">
        <v>44469</v>
      </c>
      <c r="T510" s="1">
        <v>44469</v>
      </c>
      <c r="U510" t="s">
        <v>4134</v>
      </c>
      <c r="V510" t="s">
        <v>4114</v>
      </c>
      <c r="W510" t="s">
        <v>4148</v>
      </c>
      <c r="X510" t="s">
        <v>2486</v>
      </c>
      <c r="Y510" t="s">
        <v>4116</v>
      </c>
    </row>
    <row r="511" spans="1:25" x14ac:dyDescent="0.25">
      <c r="A511">
        <v>510</v>
      </c>
      <c r="B511">
        <v>55362531</v>
      </c>
      <c r="C511" t="s">
        <v>1214</v>
      </c>
      <c r="D511" t="s">
        <v>17</v>
      </c>
      <c r="E511" t="s">
        <v>1215</v>
      </c>
      <c r="F511" t="s">
        <v>1216</v>
      </c>
      <c r="H511" t="s">
        <v>3577</v>
      </c>
      <c r="I511" t="s">
        <v>2890</v>
      </c>
      <c r="J511" t="s">
        <v>1668</v>
      </c>
      <c r="K511" t="s">
        <v>2488</v>
      </c>
      <c r="L511">
        <v>264</v>
      </c>
      <c r="P511" t="s">
        <v>2494</v>
      </c>
      <c r="Q511">
        <v>2020</v>
      </c>
      <c r="R511">
        <v>2020</v>
      </c>
      <c r="S511" s="1">
        <v>44477</v>
      </c>
      <c r="T511" s="1">
        <v>44455</v>
      </c>
      <c r="U511" t="s">
        <v>4130</v>
      </c>
      <c r="V511" t="s">
        <v>4131</v>
      </c>
      <c r="W511" t="s">
        <v>4133</v>
      </c>
      <c r="X511" t="s">
        <v>2494</v>
      </c>
      <c r="Y511" t="s">
        <v>4145</v>
      </c>
    </row>
    <row r="512" spans="1:25" x14ac:dyDescent="0.25">
      <c r="A512">
        <v>511</v>
      </c>
      <c r="B512">
        <v>48557446</v>
      </c>
      <c r="C512" t="s">
        <v>3578</v>
      </c>
      <c r="D512" t="s">
        <v>2744</v>
      </c>
      <c r="E512" t="s">
        <v>1006</v>
      </c>
      <c r="F512" t="s">
        <v>1007</v>
      </c>
      <c r="H512" t="s">
        <v>3579</v>
      </c>
      <c r="I512" t="s">
        <v>2890</v>
      </c>
      <c r="J512" t="s">
        <v>1668</v>
      </c>
      <c r="K512" t="s">
        <v>57</v>
      </c>
      <c r="L512">
        <v>408</v>
      </c>
      <c r="P512" t="s">
        <v>2486</v>
      </c>
      <c r="Q512">
        <v>2019</v>
      </c>
      <c r="R512">
        <v>2017</v>
      </c>
      <c r="S512" s="1">
        <v>44495</v>
      </c>
      <c r="T512" s="1">
        <v>44485</v>
      </c>
      <c r="U512" t="s">
        <v>4117</v>
      </c>
      <c r="V512" t="s">
        <v>4114</v>
      </c>
      <c r="W512" t="s">
        <v>4115</v>
      </c>
      <c r="X512" t="s">
        <v>2603</v>
      </c>
      <c r="Y512" t="s">
        <v>4125</v>
      </c>
    </row>
    <row r="513" spans="1:25" x14ac:dyDescent="0.25">
      <c r="A513">
        <v>512</v>
      </c>
      <c r="B513">
        <v>24560948</v>
      </c>
      <c r="C513" t="s">
        <v>3580</v>
      </c>
      <c r="D513" t="s">
        <v>1219</v>
      </c>
      <c r="E513" t="s">
        <v>552</v>
      </c>
      <c r="F513" t="s">
        <v>553</v>
      </c>
      <c r="G513" t="s">
        <v>1142</v>
      </c>
      <c r="H513" t="s">
        <v>3581</v>
      </c>
      <c r="I513" t="s">
        <v>2890</v>
      </c>
      <c r="J513" t="s">
        <v>2198</v>
      </c>
      <c r="K513" t="s">
        <v>112</v>
      </c>
      <c r="L513">
        <v>632</v>
      </c>
      <c r="M513">
        <v>0.8041666666666667</v>
      </c>
      <c r="N513">
        <v>19.3</v>
      </c>
      <c r="O513" t="s">
        <v>4085</v>
      </c>
      <c r="P513" t="s">
        <v>2486</v>
      </c>
      <c r="Q513">
        <v>2015</v>
      </c>
      <c r="R513">
        <v>2011</v>
      </c>
      <c r="S513" s="1">
        <v>44506</v>
      </c>
      <c r="T513" s="1">
        <v>44499</v>
      </c>
      <c r="U513" t="s">
        <v>4117</v>
      </c>
      <c r="V513" t="s">
        <v>4114</v>
      </c>
      <c r="W513" t="s">
        <v>4127</v>
      </c>
      <c r="X513" t="s">
        <v>4128</v>
      </c>
      <c r="Y513" t="s">
        <v>4116</v>
      </c>
    </row>
    <row r="514" spans="1:25" x14ac:dyDescent="0.25">
      <c r="A514">
        <v>513</v>
      </c>
      <c r="B514">
        <v>26592542</v>
      </c>
      <c r="C514" t="s">
        <v>3582</v>
      </c>
      <c r="D514" t="s">
        <v>1221</v>
      </c>
      <c r="E514" t="s">
        <v>552</v>
      </c>
      <c r="F514" t="s">
        <v>553</v>
      </c>
      <c r="G514" t="s">
        <v>1142</v>
      </c>
      <c r="H514" t="s">
        <v>3583</v>
      </c>
      <c r="I514" t="s">
        <v>2901</v>
      </c>
      <c r="J514" t="s">
        <v>2198</v>
      </c>
      <c r="K514" t="s">
        <v>112</v>
      </c>
      <c r="L514">
        <v>640</v>
      </c>
      <c r="M514">
        <v>0.79374999999999996</v>
      </c>
      <c r="N514">
        <v>19.049999999999997</v>
      </c>
      <c r="O514" t="s">
        <v>4086</v>
      </c>
      <c r="P514" t="s">
        <v>2486</v>
      </c>
      <c r="Q514">
        <v>2015</v>
      </c>
      <c r="R514">
        <v>2012</v>
      </c>
      <c r="S514" s="1">
        <v>44518</v>
      </c>
      <c r="T514" s="1">
        <v>44516</v>
      </c>
      <c r="U514" t="s">
        <v>4117</v>
      </c>
      <c r="V514" t="s">
        <v>4114</v>
      </c>
      <c r="W514" t="s">
        <v>4127</v>
      </c>
      <c r="X514" t="s">
        <v>4128</v>
      </c>
      <c r="Y514" t="s">
        <v>4116</v>
      </c>
    </row>
    <row r="515" spans="1:25" x14ac:dyDescent="0.25">
      <c r="A515">
        <v>514</v>
      </c>
      <c r="B515">
        <v>30305449</v>
      </c>
      <c r="C515" t="s">
        <v>906</v>
      </c>
      <c r="D515" t="s">
        <v>1223</v>
      </c>
      <c r="E515" t="s">
        <v>552</v>
      </c>
      <c r="F515" t="s">
        <v>553</v>
      </c>
      <c r="G515" t="s">
        <v>1142</v>
      </c>
      <c r="H515" t="s">
        <v>3584</v>
      </c>
      <c r="I515" t="s">
        <v>2901</v>
      </c>
      <c r="J515" t="s">
        <v>2198</v>
      </c>
      <c r="K515" t="s">
        <v>112</v>
      </c>
      <c r="L515">
        <v>616</v>
      </c>
      <c r="M515">
        <v>0.76180555555555551</v>
      </c>
      <c r="N515">
        <v>18.283333333333331</v>
      </c>
      <c r="O515" t="s">
        <v>4087</v>
      </c>
      <c r="P515" t="s">
        <v>2486</v>
      </c>
      <c r="Q515">
        <v>2016</v>
      </c>
      <c r="R515">
        <v>2016</v>
      </c>
      <c r="S515" s="1">
        <v>44524</v>
      </c>
      <c r="T515" s="1">
        <v>44512</v>
      </c>
      <c r="U515" t="s">
        <v>4117</v>
      </c>
      <c r="V515" t="s">
        <v>4114</v>
      </c>
      <c r="W515" t="s">
        <v>4127</v>
      </c>
      <c r="X515" t="s">
        <v>4128</v>
      </c>
      <c r="Y515" t="s">
        <v>4116</v>
      </c>
    </row>
    <row r="516" spans="1:25" x14ac:dyDescent="0.25">
      <c r="A516">
        <v>515</v>
      </c>
      <c r="B516">
        <v>38091498</v>
      </c>
      <c r="C516" t="s">
        <v>3585</v>
      </c>
      <c r="D516" t="s">
        <v>1225</v>
      </c>
      <c r="E516" t="s">
        <v>552</v>
      </c>
      <c r="F516" t="s">
        <v>553</v>
      </c>
      <c r="G516" t="s">
        <v>1142</v>
      </c>
      <c r="H516" t="s">
        <v>3586</v>
      </c>
      <c r="I516" t="s">
        <v>2901</v>
      </c>
      <c r="J516" t="s">
        <v>2198</v>
      </c>
      <c r="K516" t="s">
        <v>112</v>
      </c>
      <c r="L516">
        <v>526</v>
      </c>
      <c r="M516">
        <v>0.625</v>
      </c>
      <c r="N516">
        <v>15</v>
      </c>
      <c r="O516" t="s">
        <v>4088</v>
      </c>
      <c r="P516" t="s">
        <v>2486</v>
      </c>
      <c r="Q516">
        <v>2018</v>
      </c>
      <c r="R516">
        <v>2017</v>
      </c>
      <c r="S516" s="1">
        <v>44542</v>
      </c>
      <c r="T516" s="1">
        <v>44536</v>
      </c>
      <c r="U516" t="s">
        <v>4117</v>
      </c>
      <c r="V516" t="s">
        <v>4114</v>
      </c>
      <c r="W516" t="s">
        <v>4127</v>
      </c>
      <c r="X516" t="s">
        <v>4128</v>
      </c>
      <c r="Y516" t="s">
        <v>4116</v>
      </c>
    </row>
    <row r="517" spans="1:25" x14ac:dyDescent="0.25">
      <c r="A517">
        <v>516</v>
      </c>
      <c r="B517">
        <v>37808857</v>
      </c>
      <c r="C517" t="s">
        <v>1226</v>
      </c>
      <c r="D517" t="s">
        <v>17</v>
      </c>
      <c r="E517" t="s">
        <v>1227</v>
      </c>
      <c r="F517" t="s">
        <v>1228</v>
      </c>
      <c r="H517" t="s">
        <v>3587</v>
      </c>
      <c r="I517" t="s">
        <v>2890</v>
      </c>
      <c r="J517" t="s">
        <v>2247</v>
      </c>
      <c r="K517" t="s">
        <v>2488</v>
      </c>
      <c r="L517">
        <v>176</v>
      </c>
      <c r="P517" t="s">
        <v>2494</v>
      </c>
      <c r="Q517">
        <v>2013</v>
      </c>
      <c r="R517">
        <v>1972</v>
      </c>
      <c r="S517" s="1">
        <v>44544</v>
      </c>
      <c r="T517" s="1">
        <v>44540</v>
      </c>
      <c r="U517" t="s">
        <v>4130</v>
      </c>
      <c r="V517" t="s">
        <v>4131</v>
      </c>
      <c r="W517" t="s">
        <v>4121</v>
      </c>
      <c r="X517" t="s">
        <v>2603</v>
      </c>
      <c r="Y517" t="s">
        <v>4125</v>
      </c>
    </row>
    <row r="518" spans="1:25" x14ac:dyDescent="0.25">
      <c r="A518">
        <v>517</v>
      </c>
      <c r="B518">
        <v>24886265</v>
      </c>
      <c r="C518" t="s">
        <v>2740</v>
      </c>
      <c r="D518" t="s">
        <v>2741</v>
      </c>
      <c r="E518" t="s">
        <v>1229</v>
      </c>
      <c r="F518" t="s">
        <v>1230</v>
      </c>
      <c r="H518" t="s">
        <v>3588</v>
      </c>
      <c r="I518" t="s">
        <v>2917</v>
      </c>
      <c r="J518" t="s">
        <v>1723</v>
      </c>
      <c r="K518" t="s">
        <v>2488</v>
      </c>
      <c r="L518">
        <v>365</v>
      </c>
      <c r="P518" t="s">
        <v>2494</v>
      </c>
      <c r="Q518">
        <v>2015</v>
      </c>
      <c r="R518">
        <v>2015</v>
      </c>
      <c r="S518" s="1">
        <v>44541</v>
      </c>
      <c r="T518" s="1">
        <v>44506</v>
      </c>
      <c r="U518" t="s">
        <v>4155</v>
      </c>
      <c r="V518" t="s">
        <v>4131</v>
      </c>
      <c r="W518" t="s">
        <v>4121</v>
      </c>
      <c r="X518" t="s">
        <v>2603</v>
      </c>
      <c r="Y518" t="s">
        <v>4116</v>
      </c>
    </row>
    <row r="519" spans="1:25" x14ac:dyDescent="0.25">
      <c r="A519">
        <v>518</v>
      </c>
      <c r="B519">
        <v>30344622</v>
      </c>
      <c r="C519" t="s">
        <v>3589</v>
      </c>
      <c r="D519" t="s">
        <v>1232</v>
      </c>
      <c r="E519" t="s">
        <v>1006</v>
      </c>
      <c r="F519" t="s">
        <v>1007</v>
      </c>
      <c r="H519" t="s">
        <v>3590</v>
      </c>
      <c r="I519" t="s">
        <v>2890</v>
      </c>
      <c r="J519" t="s">
        <v>2208</v>
      </c>
      <c r="K519" t="s">
        <v>57</v>
      </c>
      <c r="L519">
        <v>334</v>
      </c>
      <c r="P519" t="s">
        <v>2486</v>
      </c>
      <c r="Q519">
        <v>2016</v>
      </c>
      <c r="R519">
        <v>2015</v>
      </c>
      <c r="S519" s="1">
        <v>44540</v>
      </c>
      <c r="T519" s="1">
        <v>44506</v>
      </c>
      <c r="U519" t="s">
        <v>4117</v>
      </c>
      <c r="V519" t="s">
        <v>4114</v>
      </c>
      <c r="W519" t="s">
        <v>4115</v>
      </c>
      <c r="X519" t="s">
        <v>2603</v>
      </c>
      <c r="Y519" t="s">
        <v>4125</v>
      </c>
    </row>
    <row r="520" spans="1:25" x14ac:dyDescent="0.25">
      <c r="A520">
        <v>519</v>
      </c>
      <c r="B520">
        <v>25613395</v>
      </c>
      <c r="C520" t="s">
        <v>2742</v>
      </c>
      <c r="D520" t="s">
        <v>17</v>
      </c>
      <c r="E520" t="s">
        <v>2743</v>
      </c>
      <c r="F520" t="s">
        <v>1233</v>
      </c>
      <c r="H520" t="s">
        <v>3591</v>
      </c>
      <c r="I520" t="s">
        <v>2890</v>
      </c>
      <c r="J520" t="s">
        <v>1723</v>
      </c>
      <c r="K520" t="s">
        <v>2488</v>
      </c>
      <c r="L520">
        <v>336</v>
      </c>
      <c r="P520" t="s">
        <v>2494</v>
      </c>
      <c r="Q520">
        <v>2016</v>
      </c>
      <c r="R520">
        <v>2016</v>
      </c>
      <c r="S520" s="1">
        <v>44516</v>
      </c>
      <c r="T520" s="1">
        <v>44513</v>
      </c>
      <c r="U520" t="s">
        <v>4135</v>
      </c>
      <c r="V520" t="s">
        <v>4131</v>
      </c>
      <c r="W520" t="s">
        <v>4115</v>
      </c>
      <c r="X520" t="s">
        <v>2603</v>
      </c>
      <c r="Y520" t="s">
        <v>4125</v>
      </c>
    </row>
    <row r="521" spans="1:25" x14ac:dyDescent="0.25">
      <c r="A521">
        <v>520</v>
      </c>
      <c r="B521">
        <v>50615414</v>
      </c>
      <c r="C521" t="s">
        <v>1234</v>
      </c>
      <c r="D521" t="s">
        <v>2745</v>
      </c>
      <c r="E521" t="s">
        <v>1006</v>
      </c>
      <c r="F521" t="s">
        <v>1007</v>
      </c>
      <c r="H521" t="s">
        <v>3592</v>
      </c>
      <c r="I521" t="s">
        <v>2890</v>
      </c>
      <c r="J521" t="s">
        <v>1668</v>
      </c>
      <c r="K521" t="s">
        <v>57</v>
      </c>
      <c r="L521">
        <v>360</v>
      </c>
      <c r="P521" t="s">
        <v>2486</v>
      </c>
      <c r="Q521">
        <v>2020</v>
      </c>
      <c r="R521">
        <v>2017</v>
      </c>
      <c r="S521" s="1">
        <v>44502</v>
      </c>
      <c r="T521" s="1">
        <v>44496</v>
      </c>
      <c r="U521" t="s">
        <v>4117</v>
      </c>
      <c r="V521" t="s">
        <v>4114</v>
      </c>
      <c r="W521" t="s">
        <v>4115</v>
      </c>
      <c r="X521" t="s">
        <v>2603</v>
      </c>
      <c r="Y521" t="s">
        <v>4125</v>
      </c>
    </row>
    <row r="522" spans="1:25" x14ac:dyDescent="0.25">
      <c r="A522">
        <v>521</v>
      </c>
      <c r="B522">
        <v>50523311</v>
      </c>
      <c r="C522" t="s">
        <v>1235</v>
      </c>
      <c r="D522" t="s">
        <v>17</v>
      </c>
      <c r="E522" t="s">
        <v>1236</v>
      </c>
      <c r="F522" t="s">
        <v>1237</v>
      </c>
      <c r="H522" t="s">
        <v>3593</v>
      </c>
      <c r="I522" t="s">
        <v>2901</v>
      </c>
      <c r="J522" t="s">
        <v>2253</v>
      </c>
      <c r="K522" t="s">
        <v>2488</v>
      </c>
      <c r="L522">
        <v>282</v>
      </c>
      <c r="P522" t="s">
        <v>2494</v>
      </c>
      <c r="Q522">
        <v>2019</v>
      </c>
      <c r="R522">
        <v>2017</v>
      </c>
      <c r="S522" s="1">
        <v>44355</v>
      </c>
      <c r="T522" s="1">
        <v>44333</v>
      </c>
      <c r="U522" t="s">
        <v>4155</v>
      </c>
      <c r="V522" t="s">
        <v>4131</v>
      </c>
      <c r="W522" t="s">
        <v>4133</v>
      </c>
      <c r="X522" t="s">
        <v>2494</v>
      </c>
      <c r="Y522" t="s">
        <v>4116</v>
      </c>
    </row>
    <row r="523" spans="1:25" x14ac:dyDescent="0.25">
      <c r="A523">
        <v>522</v>
      </c>
      <c r="B523">
        <v>36413262</v>
      </c>
      <c r="C523" t="s">
        <v>3594</v>
      </c>
      <c r="D523" t="s">
        <v>2746</v>
      </c>
      <c r="E523" t="s">
        <v>1006</v>
      </c>
      <c r="F523" t="s">
        <v>1007</v>
      </c>
      <c r="H523" t="s">
        <v>3595</v>
      </c>
      <c r="I523" t="s">
        <v>2890</v>
      </c>
      <c r="J523" t="s">
        <v>1668</v>
      </c>
      <c r="K523" t="s">
        <v>57</v>
      </c>
      <c r="L523">
        <v>397</v>
      </c>
      <c r="P523" t="s">
        <v>2486</v>
      </c>
      <c r="Q523">
        <v>2017</v>
      </c>
      <c r="R523">
        <v>2016</v>
      </c>
      <c r="S523" s="1">
        <v>44481</v>
      </c>
      <c r="T523" s="1">
        <v>44469</v>
      </c>
      <c r="U523" t="s">
        <v>4117</v>
      </c>
      <c r="V523" t="s">
        <v>4114</v>
      </c>
      <c r="W523" t="s">
        <v>4115</v>
      </c>
      <c r="X523" t="s">
        <v>2603</v>
      </c>
      <c r="Y523" t="s">
        <v>4125</v>
      </c>
    </row>
    <row r="524" spans="1:25" x14ac:dyDescent="0.25">
      <c r="A524">
        <v>523</v>
      </c>
      <c r="B524">
        <v>29096381</v>
      </c>
      <c r="C524" t="s">
        <v>3596</v>
      </c>
      <c r="D524" t="s">
        <v>1240</v>
      </c>
      <c r="E524" t="s">
        <v>1156</v>
      </c>
      <c r="F524" t="s">
        <v>1157</v>
      </c>
      <c r="G524" t="s">
        <v>2733</v>
      </c>
      <c r="H524" t="s">
        <v>3597</v>
      </c>
      <c r="I524" t="s">
        <v>2890</v>
      </c>
      <c r="J524" t="s">
        <v>2492</v>
      </c>
      <c r="K524" t="s">
        <v>112</v>
      </c>
      <c r="L524">
        <v>171</v>
      </c>
      <c r="M524">
        <v>0.15902777777777777</v>
      </c>
      <c r="N524">
        <v>3.8166666666666664</v>
      </c>
      <c r="O524" t="s">
        <v>4089</v>
      </c>
      <c r="P524" t="s">
        <v>2486</v>
      </c>
      <c r="Q524">
        <v>2016</v>
      </c>
      <c r="R524">
        <v>2016</v>
      </c>
      <c r="S524" s="1">
        <v>44471</v>
      </c>
      <c r="T524" s="1">
        <v>44469</v>
      </c>
      <c r="U524" t="s">
        <v>4134</v>
      </c>
      <c r="V524" t="s">
        <v>4114</v>
      </c>
      <c r="W524" t="s">
        <v>4148</v>
      </c>
      <c r="X524" t="s">
        <v>2486</v>
      </c>
      <c r="Y524" t="s">
        <v>4116</v>
      </c>
    </row>
    <row r="525" spans="1:25" x14ac:dyDescent="0.25">
      <c r="A525">
        <v>524</v>
      </c>
      <c r="B525">
        <v>36569799</v>
      </c>
      <c r="C525" t="s">
        <v>1241</v>
      </c>
      <c r="D525" t="s">
        <v>17</v>
      </c>
      <c r="E525" t="s">
        <v>1242</v>
      </c>
      <c r="F525" t="s">
        <v>1243</v>
      </c>
      <c r="H525" t="s">
        <v>3598</v>
      </c>
      <c r="I525" t="s">
        <v>3006</v>
      </c>
      <c r="J525" t="s">
        <v>2687</v>
      </c>
      <c r="K525" t="s">
        <v>2488</v>
      </c>
      <c r="L525">
        <v>336</v>
      </c>
      <c r="P525" t="s">
        <v>2494</v>
      </c>
      <c r="Q525">
        <v>2017</v>
      </c>
      <c r="R525">
        <v>2015</v>
      </c>
      <c r="S525" s="1">
        <v>44468</v>
      </c>
      <c r="T525" s="1">
        <v>44455</v>
      </c>
      <c r="U525" t="s">
        <v>4126</v>
      </c>
      <c r="V525" t="s">
        <v>4114</v>
      </c>
      <c r="W525" t="s">
        <v>4121</v>
      </c>
      <c r="X525" t="s">
        <v>2603</v>
      </c>
      <c r="Y525" t="s">
        <v>4116</v>
      </c>
    </row>
    <row r="526" spans="1:25" x14ac:dyDescent="0.25">
      <c r="A526">
        <v>525</v>
      </c>
      <c r="B526">
        <v>44417842</v>
      </c>
      <c r="C526" t="s">
        <v>1244</v>
      </c>
      <c r="D526" t="s">
        <v>17</v>
      </c>
      <c r="E526" t="s">
        <v>329</v>
      </c>
      <c r="F526" t="s">
        <v>330</v>
      </c>
      <c r="G526" t="s">
        <v>2747</v>
      </c>
      <c r="H526" t="s">
        <v>3599</v>
      </c>
      <c r="I526" t="s">
        <v>2901</v>
      </c>
      <c r="J526" t="s">
        <v>2492</v>
      </c>
      <c r="K526" t="s">
        <v>2748</v>
      </c>
      <c r="L526">
        <v>296</v>
      </c>
      <c r="M526">
        <v>0.35416666666666669</v>
      </c>
      <c r="N526">
        <v>8.5</v>
      </c>
      <c r="O526" t="s">
        <v>4090</v>
      </c>
      <c r="P526" t="s">
        <v>2486</v>
      </c>
      <c r="Q526">
        <v>2019</v>
      </c>
      <c r="R526">
        <v>2019</v>
      </c>
      <c r="S526" s="1">
        <v>44463</v>
      </c>
      <c r="T526" s="1">
        <v>44459</v>
      </c>
      <c r="U526" t="s">
        <v>4126</v>
      </c>
      <c r="V526" t="s">
        <v>4114</v>
      </c>
      <c r="W526" t="s">
        <v>4148</v>
      </c>
      <c r="X526" t="s">
        <v>2486</v>
      </c>
      <c r="Y526" t="s">
        <v>4125</v>
      </c>
    </row>
    <row r="527" spans="1:25" x14ac:dyDescent="0.25">
      <c r="A527">
        <v>526</v>
      </c>
      <c r="B527">
        <v>38746485</v>
      </c>
      <c r="C527" t="s">
        <v>2749</v>
      </c>
      <c r="D527" t="s">
        <v>17</v>
      </c>
      <c r="E527" t="s">
        <v>1245</v>
      </c>
      <c r="F527" t="s">
        <v>1246</v>
      </c>
      <c r="H527" t="s">
        <v>3600</v>
      </c>
      <c r="I527" t="s">
        <v>2890</v>
      </c>
      <c r="J527" t="s">
        <v>2532</v>
      </c>
      <c r="K527" t="s">
        <v>112</v>
      </c>
      <c r="L527">
        <v>448</v>
      </c>
      <c r="M527">
        <v>0.79236111111111107</v>
      </c>
      <c r="N527">
        <v>19.016666666666666</v>
      </c>
      <c r="O527" t="s">
        <v>4091</v>
      </c>
      <c r="P527" t="s">
        <v>2494</v>
      </c>
      <c r="Q527">
        <v>2018</v>
      </c>
      <c r="R527">
        <v>2018</v>
      </c>
      <c r="S527" s="1">
        <v>44456</v>
      </c>
      <c r="T527" s="1">
        <v>44454</v>
      </c>
      <c r="U527" t="s">
        <v>4135</v>
      </c>
      <c r="V527" t="s">
        <v>4131</v>
      </c>
      <c r="W527" t="s">
        <v>4121</v>
      </c>
      <c r="X527" t="s">
        <v>2603</v>
      </c>
      <c r="Y527" t="s">
        <v>4125</v>
      </c>
    </row>
    <row r="528" spans="1:25" x14ac:dyDescent="0.25">
      <c r="A528">
        <v>527</v>
      </c>
      <c r="B528">
        <v>42844737</v>
      </c>
      <c r="C528" t="s">
        <v>1247</v>
      </c>
      <c r="D528" t="s">
        <v>17</v>
      </c>
      <c r="E528" t="s">
        <v>1248</v>
      </c>
      <c r="F528" t="s">
        <v>1249</v>
      </c>
      <c r="H528" t="s">
        <v>3601</v>
      </c>
      <c r="I528" t="s">
        <v>2890</v>
      </c>
      <c r="J528" t="s">
        <v>1668</v>
      </c>
      <c r="K528" t="s">
        <v>2488</v>
      </c>
      <c r="L528">
        <v>320</v>
      </c>
      <c r="P528" t="s">
        <v>2494</v>
      </c>
      <c r="Q528">
        <v>2018</v>
      </c>
      <c r="R528">
        <v>2018</v>
      </c>
      <c r="S528" s="1">
        <v>44449</v>
      </c>
      <c r="T528" s="1">
        <v>44447</v>
      </c>
      <c r="U528" t="s">
        <v>4129</v>
      </c>
      <c r="V528" t="s">
        <v>4114</v>
      </c>
      <c r="W528" t="s">
        <v>4137</v>
      </c>
      <c r="X528" t="s">
        <v>2603</v>
      </c>
      <c r="Y528" t="s">
        <v>4125</v>
      </c>
    </row>
    <row r="529" spans="1:25" x14ac:dyDescent="0.25">
      <c r="A529">
        <v>528</v>
      </c>
      <c r="B529">
        <v>57828721</v>
      </c>
      <c r="C529" t="s">
        <v>1250</v>
      </c>
      <c r="D529" t="s">
        <v>17</v>
      </c>
      <c r="E529" t="s">
        <v>1251</v>
      </c>
      <c r="F529" t="s">
        <v>1252</v>
      </c>
      <c r="H529" t="s">
        <v>3602</v>
      </c>
      <c r="I529" t="s">
        <v>2901</v>
      </c>
      <c r="J529" t="s">
        <v>1668</v>
      </c>
      <c r="K529" t="s">
        <v>2488</v>
      </c>
      <c r="L529">
        <v>424</v>
      </c>
      <c r="P529" t="s">
        <v>2494</v>
      </c>
      <c r="Q529">
        <v>2021</v>
      </c>
      <c r="R529">
        <v>2019</v>
      </c>
      <c r="S529" s="1">
        <v>44430</v>
      </c>
      <c r="T529" s="1">
        <v>44350</v>
      </c>
      <c r="U529" t="s">
        <v>4129</v>
      </c>
      <c r="V529" t="s">
        <v>4114</v>
      </c>
      <c r="W529" t="s">
        <v>4118</v>
      </c>
      <c r="X529" t="s">
        <v>4119</v>
      </c>
      <c r="Y529" t="s">
        <v>4116</v>
      </c>
    </row>
    <row r="530" spans="1:25" x14ac:dyDescent="0.25">
      <c r="A530">
        <v>529</v>
      </c>
      <c r="B530">
        <v>40051366</v>
      </c>
      <c r="C530" t="s">
        <v>1253</v>
      </c>
      <c r="D530" t="s">
        <v>17</v>
      </c>
      <c r="E530" t="s">
        <v>228</v>
      </c>
      <c r="F530" t="s">
        <v>229</v>
      </c>
      <c r="H530" t="s">
        <v>3603</v>
      </c>
      <c r="I530" t="s">
        <v>2933</v>
      </c>
      <c r="J530" t="s">
        <v>1668</v>
      </c>
      <c r="K530" t="s">
        <v>2488</v>
      </c>
      <c r="L530">
        <v>304</v>
      </c>
      <c r="P530" t="s">
        <v>2494</v>
      </c>
      <c r="Q530">
        <v>2018</v>
      </c>
      <c r="R530">
        <v>2017</v>
      </c>
      <c r="S530" s="1">
        <v>44406</v>
      </c>
      <c r="T530" s="1">
        <v>44402</v>
      </c>
      <c r="U530" t="s">
        <v>4129</v>
      </c>
      <c r="V530" t="s">
        <v>4114</v>
      </c>
      <c r="W530" t="s">
        <v>4121</v>
      </c>
      <c r="X530" t="s">
        <v>2603</v>
      </c>
      <c r="Y530" t="s">
        <v>4116</v>
      </c>
    </row>
    <row r="531" spans="1:25" x14ac:dyDescent="0.25">
      <c r="A531">
        <v>530</v>
      </c>
      <c r="B531">
        <v>17312529</v>
      </c>
      <c r="C531" t="s">
        <v>3604</v>
      </c>
      <c r="D531" t="s">
        <v>1257</v>
      </c>
      <c r="E531" t="s">
        <v>62</v>
      </c>
      <c r="F531" t="s">
        <v>63</v>
      </c>
      <c r="H531" t="s">
        <v>3605</v>
      </c>
      <c r="I531" t="s">
        <v>2901</v>
      </c>
      <c r="J531" t="s">
        <v>1668</v>
      </c>
      <c r="K531" t="s">
        <v>57</v>
      </c>
      <c r="L531">
        <v>375</v>
      </c>
      <c r="P531" t="s">
        <v>2494</v>
      </c>
      <c r="Q531">
        <v>2012</v>
      </c>
      <c r="R531">
        <v>2012</v>
      </c>
      <c r="S531" s="1">
        <v>44367</v>
      </c>
      <c r="T531" s="1">
        <v>44345</v>
      </c>
      <c r="U531" t="s">
        <v>4132</v>
      </c>
      <c r="V531" t="s">
        <v>4114</v>
      </c>
      <c r="W531" t="s">
        <v>4133</v>
      </c>
      <c r="X531" t="s">
        <v>2494</v>
      </c>
      <c r="Y531" t="s">
        <v>4116</v>
      </c>
    </row>
    <row r="532" spans="1:25" x14ac:dyDescent="0.25">
      <c r="A532">
        <v>531</v>
      </c>
      <c r="B532">
        <v>51832906</v>
      </c>
      <c r="C532" t="s">
        <v>3606</v>
      </c>
      <c r="D532" t="s">
        <v>1259</v>
      </c>
      <c r="E532" t="s">
        <v>241</v>
      </c>
      <c r="F532" t="s">
        <v>242</v>
      </c>
      <c r="G532" t="s">
        <v>2527</v>
      </c>
      <c r="H532" t="s">
        <v>3607</v>
      </c>
      <c r="I532" t="s">
        <v>2890</v>
      </c>
      <c r="J532" t="s">
        <v>2545</v>
      </c>
      <c r="K532" t="s">
        <v>112</v>
      </c>
      <c r="L532">
        <v>672</v>
      </c>
      <c r="M532">
        <v>1.3333333333333333</v>
      </c>
      <c r="N532">
        <v>32</v>
      </c>
      <c r="O532" t="s">
        <v>4092</v>
      </c>
      <c r="P532" t="s">
        <v>2486</v>
      </c>
      <c r="Q532">
        <v>2019</v>
      </c>
      <c r="R532">
        <v>2018</v>
      </c>
      <c r="S532" s="1">
        <v>44366</v>
      </c>
      <c r="T532" s="1">
        <v>44349</v>
      </c>
      <c r="U532" t="s">
        <v>4117</v>
      </c>
      <c r="V532" t="s">
        <v>4114</v>
      </c>
      <c r="W532" t="s">
        <v>4115</v>
      </c>
      <c r="X532" t="s">
        <v>2603</v>
      </c>
      <c r="Y532" t="s">
        <v>4125</v>
      </c>
    </row>
    <row r="533" spans="1:25" x14ac:dyDescent="0.25">
      <c r="A533">
        <v>532</v>
      </c>
      <c r="B533">
        <v>29541801</v>
      </c>
      <c r="C533" t="s">
        <v>3608</v>
      </c>
      <c r="D533" t="s">
        <v>1261</v>
      </c>
      <c r="E533" t="s">
        <v>241</v>
      </c>
      <c r="F533" t="s">
        <v>242</v>
      </c>
      <c r="G533" t="s">
        <v>2527</v>
      </c>
      <c r="H533" t="s">
        <v>3609</v>
      </c>
      <c r="I533" t="s">
        <v>2901</v>
      </c>
      <c r="J533" t="s">
        <v>2266</v>
      </c>
      <c r="K533" t="s">
        <v>112</v>
      </c>
      <c r="L533">
        <v>571</v>
      </c>
      <c r="M533">
        <v>0.95972222222222225</v>
      </c>
      <c r="N533">
        <v>23.033333333333335</v>
      </c>
      <c r="O533" t="s">
        <v>4093</v>
      </c>
      <c r="P533" t="s">
        <v>2486</v>
      </c>
      <c r="Q533">
        <v>2016</v>
      </c>
      <c r="R533">
        <v>2015</v>
      </c>
      <c r="S533" s="1">
        <v>44349</v>
      </c>
      <c r="T533" s="1">
        <v>44339</v>
      </c>
      <c r="U533" t="s">
        <v>4117</v>
      </c>
      <c r="V533" t="s">
        <v>4114</v>
      </c>
      <c r="W533" t="s">
        <v>4115</v>
      </c>
      <c r="X533" t="s">
        <v>2603</v>
      </c>
      <c r="Y533" t="s">
        <v>4125</v>
      </c>
    </row>
    <row r="534" spans="1:25" x14ac:dyDescent="0.25">
      <c r="A534">
        <v>533</v>
      </c>
      <c r="B534">
        <v>57177129</v>
      </c>
      <c r="C534" t="s">
        <v>1262</v>
      </c>
      <c r="D534" t="s">
        <v>17</v>
      </c>
      <c r="E534" t="s">
        <v>1263</v>
      </c>
      <c r="F534" t="s">
        <v>1264</v>
      </c>
      <c r="H534" t="s">
        <v>3610</v>
      </c>
      <c r="I534" t="s">
        <v>2901</v>
      </c>
      <c r="J534" t="s">
        <v>2217</v>
      </c>
      <c r="K534" t="s">
        <v>57</v>
      </c>
      <c r="L534">
        <v>376</v>
      </c>
      <c r="P534" t="s">
        <v>2494</v>
      </c>
      <c r="Q534">
        <v>2021</v>
      </c>
      <c r="R534">
        <v>2020</v>
      </c>
      <c r="S534" s="1">
        <v>44339</v>
      </c>
      <c r="T534" s="1">
        <v>44326</v>
      </c>
      <c r="U534" t="s">
        <v>4129</v>
      </c>
      <c r="V534" t="s">
        <v>4114</v>
      </c>
      <c r="W534" t="s">
        <v>4142</v>
      </c>
      <c r="X534" t="s">
        <v>2603</v>
      </c>
      <c r="Y534" t="s">
        <v>4125</v>
      </c>
    </row>
    <row r="535" spans="1:25" x14ac:dyDescent="0.25">
      <c r="A535">
        <v>534</v>
      </c>
      <c r="B535">
        <v>23354059</v>
      </c>
      <c r="C535" t="s">
        <v>3611</v>
      </c>
      <c r="D535" t="s">
        <v>1266</v>
      </c>
      <c r="E535" t="s">
        <v>241</v>
      </c>
      <c r="F535" t="s">
        <v>242</v>
      </c>
      <c r="G535" t="s">
        <v>2751</v>
      </c>
      <c r="H535" t="s">
        <v>3612</v>
      </c>
      <c r="I535" t="s">
        <v>2890</v>
      </c>
      <c r="J535" t="s">
        <v>2266</v>
      </c>
      <c r="K535" t="s">
        <v>112</v>
      </c>
      <c r="L535">
        <v>480</v>
      </c>
      <c r="M535">
        <v>0.8</v>
      </c>
      <c r="N535">
        <v>19.200000000000003</v>
      </c>
      <c r="O535" t="s">
        <v>4094</v>
      </c>
      <c r="P535" t="s">
        <v>2486</v>
      </c>
      <c r="Q535">
        <v>2015</v>
      </c>
      <c r="R535">
        <v>2014</v>
      </c>
      <c r="S535" s="1">
        <v>44335</v>
      </c>
      <c r="T535" s="1">
        <v>44326</v>
      </c>
      <c r="U535" t="s">
        <v>4117</v>
      </c>
      <c r="V535" t="s">
        <v>4114</v>
      </c>
      <c r="W535" t="s">
        <v>4115</v>
      </c>
      <c r="X535" t="s">
        <v>2603</v>
      </c>
      <c r="Y535" t="s">
        <v>4125</v>
      </c>
    </row>
    <row r="536" spans="1:25" x14ac:dyDescent="0.25">
      <c r="A536">
        <v>535</v>
      </c>
      <c r="B536">
        <v>56587219</v>
      </c>
      <c r="C536" t="s">
        <v>1267</v>
      </c>
      <c r="D536" t="s">
        <v>17</v>
      </c>
      <c r="E536" t="s">
        <v>1251</v>
      </c>
      <c r="F536" t="s">
        <v>1252</v>
      </c>
      <c r="H536" t="s">
        <v>3613</v>
      </c>
      <c r="I536" t="s">
        <v>2901</v>
      </c>
      <c r="J536" t="s">
        <v>1668</v>
      </c>
      <c r="K536" t="s">
        <v>2488</v>
      </c>
      <c r="L536">
        <v>496</v>
      </c>
      <c r="P536" t="s">
        <v>2494</v>
      </c>
      <c r="Q536">
        <v>2021</v>
      </c>
      <c r="R536">
        <v>2018</v>
      </c>
      <c r="S536" s="1">
        <v>44331</v>
      </c>
      <c r="T536" s="1">
        <v>44326</v>
      </c>
      <c r="U536" t="s">
        <v>4129</v>
      </c>
      <c r="V536" t="s">
        <v>4114</v>
      </c>
      <c r="W536" t="s">
        <v>4118</v>
      </c>
      <c r="X536" t="s">
        <v>4119</v>
      </c>
      <c r="Y536" t="s">
        <v>4116</v>
      </c>
    </row>
    <row r="537" spans="1:25" x14ac:dyDescent="0.25">
      <c r="A537">
        <v>536</v>
      </c>
      <c r="B537">
        <v>20565610</v>
      </c>
      <c r="C537" t="s">
        <v>3614</v>
      </c>
      <c r="D537" t="s">
        <v>1269</v>
      </c>
      <c r="E537" t="s">
        <v>241</v>
      </c>
      <c r="F537" t="s">
        <v>242</v>
      </c>
      <c r="G537" t="s">
        <v>2751</v>
      </c>
      <c r="H537" t="s">
        <v>3615</v>
      </c>
      <c r="I537" t="s">
        <v>2901</v>
      </c>
      <c r="J537" t="s">
        <v>2266</v>
      </c>
      <c r="K537" t="s">
        <v>112</v>
      </c>
      <c r="L537">
        <v>448</v>
      </c>
      <c r="M537">
        <v>0.73611111111111116</v>
      </c>
      <c r="N537">
        <v>17.666666666666668</v>
      </c>
      <c r="O537" t="s">
        <v>4095</v>
      </c>
      <c r="P537" t="s">
        <v>2486</v>
      </c>
      <c r="Q537">
        <v>2014</v>
      </c>
      <c r="R537">
        <v>2013</v>
      </c>
      <c r="S537" s="1">
        <v>44326</v>
      </c>
      <c r="T537" s="1">
        <v>44323</v>
      </c>
      <c r="U537" t="s">
        <v>4117</v>
      </c>
      <c r="V537" t="s">
        <v>4114</v>
      </c>
      <c r="W537" t="s">
        <v>4115</v>
      </c>
      <c r="X537" t="s">
        <v>2603</v>
      </c>
      <c r="Y537" t="s">
        <v>4125</v>
      </c>
    </row>
    <row r="538" spans="1:25" x14ac:dyDescent="0.25">
      <c r="A538">
        <v>537</v>
      </c>
      <c r="B538">
        <v>34850181</v>
      </c>
      <c r="C538" t="s">
        <v>3616</v>
      </c>
      <c r="D538" t="s">
        <v>1271</v>
      </c>
      <c r="E538" t="s">
        <v>798</v>
      </c>
      <c r="F538" t="s">
        <v>799</v>
      </c>
      <c r="H538" t="s">
        <v>3617</v>
      </c>
      <c r="I538" t="s">
        <v>2890</v>
      </c>
      <c r="J538" t="s">
        <v>2272</v>
      </c>
      <c r="K538" t="s">
        <v>57</v>
      </c>
      <c r="L538">
        <v>544</v>
      </c>
      <c r="P538" t="s">
        <v>2603</v>
      </c>
      <c r="Q538">
        <v>2017</v>
      </c>
      <c r="R538">
        <v>2017</v>
      </c>
      <c r="S538" s="1">
        <v>44323</v>
      </c>
      <c r="T538" s="1">
        <v>44286</v>
      </c>
      <c r="U538" t="s">
        <v>4113</v>
      </c>
      <c r="V538" t="s">
        <v>4114</v>
      </c>
      <c r="W538" t="s">
        <v>4121</v>
      </c>
      <c r="X538" t="s">
        <v>2603</v>
      </c>
      <c r="Y538" t="s">
        <v>4116</v>
      </c>
    </row>
    <row r="539" spans="1:25" x14ac:dyDescent="0.25">
      <c r="A539">
        <v>538</v>
      </c>
      <c r="B539">
        <v>13399910</v>
      </c>
      <c r="C539" t="s">
        <v>1272</v>
      </c>
      <c r="D539" t="s">
        <v>17</v>
      </c>
      <c r="E539" t="s">
        <v>1273</v>
      </c>
      <c r="F539" t="s">
        <v>1274</v>
      </c>
      <c r="G539" t="s">
        <v>2719</v>
      </c>
      <c r="H539" t="s">
        <v>3618</v>
      </c>
      <c r="I539" t="s">
        <v>2901</v>
      </c>
      <c r="J539" t="s">
        <v>2492</v>
      </c>
      <c r="K539" t="s">
        <v>112</v>
      </c>
      <c r="L539">
        <v>575</v>
      </c>
      <c r="M539">
        <v>0.91388888888888886</v>
      </c>
      <c r="N539">
        <v>21.933333333333334</v>
      </c>
      <c r="O539" t="s">
        <v>4096</v>
      </c>
      <c r="P539" t="s">
        <v>2486</v>
      </c>
      <c r="Q539">
        <v>2019</v>
      </c>
      <c r="R539">
        <v>1992</v>
      </c>
      <c r="S539" s="1">
        <v>44322</v>
      </c>
      <c r="T539" s="1">
        <v>44317</v>
      </c>
      <c r="U539" t="s">
        <v>4126</v>
      </c>
      <c r="V539" t="s">
        <v>4114</v>
      </c>
      <c r="W539" t="s">
        <v>4121</v>
      </c>
      <c r="X539" t="s">
        <v>2603</v>
      </c>
      <c r="Y539" t="s">
        <v>4125</v>
      </c>
    </row>
    <row r="540" spans="1:25" x14ac:dyDescent="0.25">
      <c r="A540">
        <v>539</v>
      </c>
      <c r="B540">
        <v>23120062</v>
      </c>
      <c r="C540" t="s">
        <v>1275</v>
      </c>
      <c r="D540" t="s">
        <v>17</v>
      </c>
      <c r="E540" t="s">
        <v>1276</v>
      </c>
      <c r="F540" t="s">
        <v>1277</v>
      </c>
      <c r="H540" t="s">
        <v>3619</v>
      </c>
      <c r="I540" t="s">
        <v>2917</v>
      </c>
      <c r="J540" t="s">
        <v>3620</v>
      </c>
      <c r="K540" t="s">
        <v>2488</v>
      </c>
      <c r="L540">
        <v>344</v>
      </c>
      <c r="P540" t="s">
        <v>2494</v>
      </c>
      <c r="Q540">
        <v>2014</v>
      </c>
      <c r="R540">
        <v>2012</v>
      </c>
      <c r="S540" s="1">
        <v>44317</v>
      </c>
      <c r="T540" s="1">
        <v>44311</v>
      </c>
      <c r="U540" t="s">
        <v>4126</v>
      </c>
      <c r="V540" t="s">
        <v>4114</v>
      </c>
      <c r="W540" t="s">
        <v>4123</v>
      </c>
      <c r="X540" t="s">
        <v>4124</v>
      </c>
      <c r="Y540" t="s">
        <v>4116</v>
      </c>
    </row>
    <row r="541" spans="1:25" x14ac:dyDescent="0.25">
      <c r="A541">
        <v>540</v>
      </c>
      <c r="B541">
        <v>44297679</v>
      </c>
      <c r="C541" t="s">
        <v>1278</v>
      </c>
      <c r="D541" t="s">
        <v>17</v>
      </c>
      <c r="E541" t="s">
        <v>1279</v>
      </c>
      <c r="F541" t="s">
        <v>1280</v>
      </c>
      <c r="G541" t="s">
        <v>2752</v>
      </c>
      <c r="H541" t="s">
        <v>3621</v>
      </c>
      <c r="I541" t="s">
        <v>2901</v>
      </c>
      <c r="J541" t="s">
        <v>2545</v>
      </c>
      <c r="K541" t="s">
        <v>112</v>
      </c>
      <c r="L541">
        <v>320</v>
      </c>
      <c r="M541">
        <v>0.50069444444444444</v>
      </c>
      <c r="N541">
        <v>12.016666666666666</v>
      </c>
      <c r="O541" t="s">
        <v>4097</v>
      </c>
      <c r="P541" t="s">
        <v>2486</v>
      </c>
      <c r="Q541">
        <v>2020</v>
      </c>
      <c r="R541">
        <v>2017</v>
      </c>
      <c r="S541" s="1">
        <v>44315</v>
      </c>
      <c r="T541" s="1">
        <v>44312</v>
      </c>
      <c r="U541" t="s">
        <v>4129</v>
      </c>
      <c r="V541" t="s">
        <v>4114</v>
      </c>
      <c r="W541" t="s">
        <v>4121</v>
      </c>
      <c r="X541" t="s">
        <v>2603</v>
      </c>
      <c r="Y541" t="s">
        <v>4145</v>
      </c>
    </row>
    <row r="542" spans="1:25" x14ac:dyDescent="0.25">
      <c r="A542">
        <v>541</v>
      </c>
      <c r="B542">
        <v>19219489</v>
      </c>
      <c r="C542" t="s">
        <v>2753</v>
      </c>
      <c r="D542" t="s">
        <v>17</v>
      </c>
      <c r="E542" t="s">
        <v>1281</v>
      </c>
      <c r="F542" t="s">
        <v>1282</v>
      </c>
      <c r="H542" t="s">
        <v>3622</v>
      </c>
      <c r="I542" t="s">
        <v>2890</v>
      </c>
      <c r="J542" t="s">
        <v>2277</v>
      </c>
      <c r="K542" t="s">
        <v>2488</v>
      </c>
      <c r="L542">
        <v>336</v>
      </c>
      <c r="P542" t="s">
        <v>2494</v>
      </c>
      <c r="Q542">
        <v>2011</v>
      </c>
      <c r="R542">
        <v>2011</v>
      </c>
      <c r="S542" s="1">
        <v>44314</v>
      </c>
      <c r="T542" s="1">
        <v>44301</v>
      </c>
      <c r="U542" t="s">
        <v>4149</v>
      </c>
      <c r="V542" t="s">
        <v>4114</v>
      </c>
      <c r="W542" t="s">
        <v>4123</v>
      </c>
      <c r="X542" t="s">
        <v>4124</v>
      </c>
      <c r="Y542" t="s">
        <v>4125</v>
      </c>
    </row>
    <row r="543" spans="1:25" x14ac:dyDescent="0.25">
      <c r="A543">
        <v>542</v>
      </c>
      <c r="B543">
        <v>33819853</v>
      </c>
      <c r="C543" t="s">
        <v>1283</v>
      </c>
      <c r="D543" t="s">
        <v>17</v>
      </c>
      <c r="E543" t="s">
        <v>329</v>
      </c>
      <c r="F543" t="s">
        <v>330</v>
      </c>
      <c r="G543" t="s">
        <v>2754</v>
      </c>
      <c r="H543" t="s">
        <v>3623</v>
      </c>
      <c r="I543" t="s">
        <v>2933</v>
      </c>
      <c r="J543" t="s">
        <v>2492</v>
      </c>
      <c r="K543" t="s">
        <v>112</v>
      </c>
      <c r="L543">
        <v>306</v>
      </c>
      <c r="M543">
        <v>0.3888888888888889</v>
      </c>
      <c r="N543">
        <v>9.3333333333333339</v>
      </c>
      <c r="O543" t="s">
        <v>4098</v>
      </c>
      <c r="P543" t="s">
        <v>2486</v>
      </c>
      <c r="Q543">
        <v>2018</v>
      </c>
      <c r="R543">
        <v>2017</v>
      </c>
      <c r="S543" s="1">
        <v>44311</v>
      </c>
      <c r="T543" s="1">
        <v>44305</v>
      </c>
      <c r="U543" t="s">
        <v>4126</v>
      </c>
      <c r="V543" t="s">
        <v>4114</v>
      </c>
      <c r="W543" t="s">
        <v>4148</v>
      </c>
      <c r="X543" t="s">
        <v>2486</v>
      </c>
      <c r="Y543" t="s">
        <v>4125</v>
      </c>
    </row>
    <row r="544" spans="1:25" x14ac:dyDescent="0.25">
      <c r="A544">
        <v>543</v>
      </c>
      <c r="B544">
        <v>23505783</v>
      </c>
      <c r="C544" t="s">
        <v>1284</v>
      </c>
      <c r="D544" t="s">
        <v>1288</v>
      </c>
      <c r="E544" t="s">
        <v>1285</v>
      </c>
      <c r="F544" t="s">
        <v>1286</v>
      </c>
      <c r="G544" t="s">
        <v>2755</v>
      </c>
      <c r="H544" t="s">
        <v>3624</v>
      </c>
      <c r="I544" t="s">
        <v>2917</v>
      </c>
      <c r="J544" t="s">
        <v>2590</v>
      </c>
      <c r="K544" t="s">
        <v>112</v>
      </c>
      <c r="L544">
        <v>368</v>
      </c>
      <c r="M544">
        <v>0.52708333333333335</v>
      </c>
      <c r="N544">
        <v>12.65</v>
      </c>
      <c r="O544" t="s">
        <v>4099</v>
      </c>
      <c r="P544" t="s">
        <v>2486</v>
      </c>
      <c r="Q544">
        <v>2015</v>
      </c>
      <c r="R544">
        <v>2013</v>
      </c>
      <c r="S544" s="1">
        <v>44305</v>
      </c>
      <c r="T544" s="1">
        <v>44300</v>
      </c>
      <c r="U544" t="s">
        <v>4120</v>
      </c>
      <c r="V544" t="s">
        <v>4114</v>
      </c>
      <c r="W544" t="s">
        <v>4177</v>
      </c>
      <c r="X544" t="s">
        <v>4178</v>
      </c>
      <c r="Y544" t="s">
        <v>4116</v>
      </c>
    </row>
    <row r="545" spans="1:25" x14ac:dyDescent="0.25">
      <c r="A545">
        <v>544</v>
      </c>
      <c r="B545">
        <v>6821429</v>
      </c>
      <c r="C545" t="s">
        <v>3625</v>
      </c>
      <c r="D545" t="s">
        <v>1297</v>
      </c>
      <c r="E545" t="s">
        <v>1285</v>
      </c>
      <c r="F545" t="s">
        <v>1286</v>
      </c>
      <c r="G545" t="s">
        <v>2755</v>
      </c>
      <c r="H545" t="s">
        <v>3626</v>
      </c>
      <c r="I545" t="s">
        <v>2917</v>
      </c>
      <c r="J545" t="s">
        <v>2590</v>
      </c>
      <c r="K545" t="s">
        <v>112</v>
      </c>
      <c r="L545">
        <v>561</v>
      </c>
      <c r="M545">
        <v>0.88055555555555554</v>
      </c>
      <c r="N545">
        <v>21.133333333333333</v>
      </c>
      <c r="O545" t="s">
        <v>4100</v>
      </c>
      <c r="P545" t="s">
        <v>2486</v>
      </c>
      <c r="Q545">
        <v>2017</v>
      </c>
      <c r="R545">
        <v>1999</v>
      </c>
      <c r="S545" s="1">
        <v>44300</v>
      </c>
      <c r="T545" s="1">
        <v>44287</v>
      </c>
      <c r="U545" t="s">
        <v>4120</v>
      </c>
      <c r="V545" t="s">
        <v>4114</v>
      </c>
      <c r="W545" t="s">
        <v>4177</v>
      </c>
      <c r="X545" t="s">
        <v>4178</v>
      </c>
      <c r="Y545" t="s">
        <v>4116</v>
      </c>
    </row>
    <row r="546" spans="1:25" x14ac:dyDescent="0.25">
      <c r="A546">
        <v>545</v>
      </c>
      <c r="B546">
        <v>28178221</v>
      </c>
      <c r="C546" t="s">
        <v>3627</v>
      </c>
      <c r="D546" t="s">
        <v>1290</v>
      </c>
      <c r="E546" t="s">
        <v>1291</v>
      </c>
      <c r="F546" t="s">
        <v>1292</v>
      </c>
      <c r="H546" t="s">
        <v>3628</v>
      </c>
      <c r="I546" t="s">
        <v>2890</v>
      </c>
      <c r="J546" t="s">
        <v>1668</v>
      </c>
      <c r="K546" t="s">
        <v>2488</v>
      </c>
      <c r="L546">
        <v>392</v>
      </c>
      <c r="P546" t="s">
        <v>2494</v>
      </c>
      <c r="Q546">
        <v>2015</v>
      </c>
      <c r="R546">
        <v>2014</v>
      </c>
      <c r="S546" s="1">
        <v>44300</v>
      </c>
      <c r="T546" s="1">
        <v>44294</v>
      </c>
      <c r="U546" t="s">
        <v>4117</v>
      </c>
      <c r="V546" t="s">
        <v>4114</v>
      </c>
      <c r="W546" t="s">
        <v>4118</v>
      </c>
      <c r="X546" t="s">
        <v>4119</v>
      </c>
      <c r="Y546" t="s">
        <v>4145</v>
      </c>
    </row>
    <row r="547" spans="1:25" x14ac:dyDescent="0.25">
      <c r="A547">
        <v>546</v>
      </c>
      <c r="B547">
        <v>15840258</v>
      </c>
      <c r="C547" t="s">
        <v>1293</v>
      </c>
      <c r="D547" t="s">
        <v>17</v>
      </c>
      <c r="E547" t="s">
        <v>1294</v>
      </c>
      <c r="F547" t="s">
        <v>1295</v>
      </c>
      <c r="H547" t="s">
        <v>3629</v>
      </c>
      <c r="I547" t="s">
        <v>2917</v>
      </c>
      <c r="J547" t="s">
        <v>2283</v>
      </c>
      <c r="K547" t="s">
        <v>2488</v>
      </c>
      <c r="L547">
        <v>192</v>
      </c>
      <c r="P547" t="s">
        <v>2486</v>
      </c>
      <c r="Q547">
        <v>2012</v>
      </c>
      <c r="R547">
        <v>2009</v>
      </c>
      <c r="S547" s="1">
        <v>44294</v>
      </c>
      <c r="T547" s="1">
        <v>44274</v>
      </c>
      <c r="U547" t="s">
        <v>4140</v>
      </c>
      <c r="V547" t="s">
        <v>4131</v>
      </c>
      <c r="W547" t="s">
        <v>4148</v>
      </c>
      <c r="X547" t="s">
        <v>4124</v>
      </c>
      <c r="Y547" t="s">
        <v>4125</v>
      </c>
    </row>
    <row r="548" spans="1:25" x14ac:dyDescent="0.25">
      <c r="A548">
        <v>547</v>
      </c>
      <c r="B548">
        <v>6821410</v>
      </c>
      <c r="C548" t="s">
        <v>3630</v>
      </c>
      <c r="D548" t="s">
        <v>1299</v>
      </c>
      <c r="E548" t="s">
        <v>1285</v>
      </c>
      <c r="F548" t="s">
        <v>1286</v>
      </c>
      <c r="G548" t="s">
        <v>2755</v>
      </c>
      <c r="H548" t="s">
        <v>3631</v>
      </c>
      <c r="I548" t="s">
        <v>2890</v>
      </c>
      <c r="J548" t="s">
        <v>2590</v>
      </c>
      <c r="K548" t="s">
        <v>112</v>
      </c>
      <c r="L548">
        <v>433</v>
      </c>
      <c r="M548">
        <v>0.72152777777777777</v>
      </c>
      <c r="N548">
        <v>17.316666666666666</v>
      </c>
      <c r="O548" t="s">
        <v>4101</v>
      </c>
      <c r="P548" t="s">
        <v>2486</v>
      </c>
      <c r="Q548">
        <v>2017</v>
      </c>
      <c r="R548">
        <v>1997</v>
      </c>
      <c r="S548" s="1">
        <v>44287</v>
      </c>
      <c r="T548" s="1">
        <v>44280</v>
      </c>
      <c r="U548" t="s">
        <v>4120</v>
      </c>
      <c r="V548" t="s">
        <v>4114</v>
      </c>
      <c r="W548" t="s">
        <v>4177</v>
      </c>
      <c r="X548" t="s">
        <v>4178</v>
      </c>
      <c r="Y548" t="s">
        <v>4116</v>
      </c>
    </row>
    <row r="549" spans="1:25" x14ac:dyDescent="0.25">
      <c r="A549">
        <v>548</v>
      </c>
      <c r="B549">
        <v>5691249</v>
      </c>
      <c r="C549" t="s">
        <v>2756</v>
      </c>
      <c r="D549" t="s">
        <v>17</v>
      </c>
      <c r="E549" t="s">
        <v>1281</v>
      </c>
      <c r="F549" t="s">
        <v>1282</v>
      </c>
      <c r="H549" t="s">
        <v>3632</v>
      </c>
      <c r="I549" t="s">
        <v>2890</v>
      </c>
      <c r="J549" t="s">
        <v>2285</v>
      </c>
      <c r="K549" t="s">
        <v>2488</v>
      </c>
      <c r="L549">
        <v>462</v>
      </c>
      <c r="P549" t="s">
        <v>2494</v>
      </c>
      <c r="Q549">
        <v>2004</v>
      </c>
      <c r="R549">
        <v>2004</v>
      </c>
      <c r="S549" s="1">
        <v>44286</v>
      </c>
      <c r="T549" s="1">
        <v>44274</v>
      </c>
      <c r="U549" t="s">
        <v>4149</v>
      </c>
      <c r="V549" t="s">
        <v>4114</v>
      </c>
      <c r="W549" t="s">
        <v>4123</v>
      </c>
      <c r="X549" t="s">
        <v>4124</v>
      </c>
      <c r="Y549" t="s">
        <v>4125</v>
      </c>
    </row>
    <row r="550" spans="1:25" x14ac:dyDescent="0.25">
      <c r="A550">
        <v>549</v>
      </c>
      <c r="B550">
        <v>6821374</v>
      </c>
      <c r="C550" t="s">
        <v>3633</v>
      </c>
      <c r="D550" t="s">
        <v>1302</v>
      </c>
      <c r="E550" t="s">
        <v>1285</v>
      </c>
      <c r="F550" t="s">
        <v>1286</v>
      </c>
      <c r="G550" t="s">
        <v>2755</v>
      </c>
      <c r="H550" t="s">
        <v>3634</v>
      </c>
      <c r="I550" t="s">
        <v>2890</v>
      </c>
      <c r="J550" t="s">
        <v>2590</v>
      </c>
      <c r="K550" t="s">
        <v>112</v>
      </c>
      <c r="L550">
        <v>342</v>
      </c>
      <c r="M550">
        <v>0.54791666666666672</v>
      </c>
      <c r="N550">
        <v>13.150000000000002</v>
      </c>
      <c r="O550" t="s">
        <v>4102</v>
      </c>
      <c r="P550" t="s">
        <v>2486</v>
      </c>
      <c r="Q550">
        <v>2016</v>
      </c>
      <c r="R550">
        <v>1996</v>
      </c>
      <c r="S550" s="1">
        <v>44280</v>
      </c>
      <c r="T550" s="1">
        <v>44272</v>
      </c>
      <c r="U550" t="s">
        <v>4120</v>
      </c>
      <c r="V550" t="s">
        <v>4114</v>
      </c>
      <c r="W550" t="s">
        <v>4177</v>
      </c>
      <c r="X550" t="s">
        <v>4178</v>
      </c>
      <c r="Y550" t="s">
        <v>4116</v>
      </c>
    </row>
    <row r="551" spans="1:25" x14ac:dyDescent="0.25">
      <c r="A551">
        <v>550</v>
      </c>
      <c r="B551">
        <v>34811896</v>
      </c>
      <c r="C551" t="s">
        <v>3635</v>
      </c>
      <c r="D551" t="s">
        <v>1300</v>
      </c>
      <c r="E551" t="s">
        <v>798</v>
      </c>
      <c r="F551" t="s">
        <v>799</v>
      </c>
      <c r="H551" t="s">
        <v>3636</v>
      </c>
      <c r="I551" t="s">
        <v>2901</v>
      </c>
      <c r="J551" t="s">
        <v>2272</v>
      </c>
      <c r="K551" t="s">
        <v>57</v>
      </c>
      <c r="L551">
        <v>722</v>
      </c>
      <c r="P551" t="s">
        <v>2603</v>
      </c>
      <c r="Q551">
        <v>2017</v>
      </c>
      <c r="R551">
        <v>2017</v>
      </c>
      <c r="S551" s="1">
        <v>44275</v>
      </c>
      <c r="T551" s="1">
        <v>44260</v>
      </c>
      <c r="U551" t="s">
        <v>4113</v>
      </c>
      <c r="V551" t="s">
        <v>4114</v>
      </c>
      <c r="W551" t="s">
        <v>4121</v>
      </c>
      <c r="X551" t="s">
        <v>2603</v>
      </c>
      <c r="Y551" t="s">
        <v>4116</v>
      </c>
    </row>
    <row r="552" spans="1:25" x14ac:dyDescent="0.25">
      <c r="A552">
        <v>551</v>
      </c>
      <c r="B552">
        <v>6821368</v>
      </c>
      <c r="C552" t="s">
        <v>3637</v>
      </c>
      <c r="D552" t="s">
        <v>1306</v>
      </c>
      <c r="E552" t="s">
        <v>1285</v>
      </c>
      <c r="F552" t="s">
        <v>1286</v>
      </c>
      <c r="G552" t="s">
        <v>2755</v>
      </c>
      <c r="H552" t="s">
        <v>3638</v>
      </c>
      <c r="I552" t="s">
        <v>2917</v>
      </c>
      <c r="J552" t="s">
        <v>2590</v>
      </c>
      <c r="K552" t="s">
        <v>112</v>
      </c>
      <c r="L552">
        <v>330</v>
      </c>
      <c r="M552">
        <v>0.52847222222222223</v>
      </c>
      <c r="N552">
        <v>12.683333333333334</v>
      </c>
      <c r="O552" t="s">
        <v>4103</v>
      </c>
      <c r="P552" t="s">
        <v>2486</v>
      </c>
      <c r="Q552">
        <v>2017</v>
      </c>
      <c r="R552">
        <v>1995</v>
      </c>
      <c r="S552" s="1">
        <v>44272</v>
      </c>
      <c r="T552" s="1">
        <v>44264</v>
      </c>
      <c r="U552" t="s">
        <v>4120</v>
      </c>
      <c r="V552" t="s">
        <v>4114</v>
      </c>
      <c r="W552" t="s">
        <v>4177</v>
      </c>
      <c r="X552" t="s">
        <v>4178</v>
      </c>
      <c r="Y552" t="s">
        <v>4116</v>
      </c>
    </row>
    <row r="553" spans="1:25" x14ac:dyDescent="0.25">
      <c r="A553">
        <v>552</v>
      </c>
      <c r="B553">
        <v>188497</v>
      </c>
      <c r="C553" t="s">
        <v>2757</v>
      </c>
      <c r="D553" t="s">
        <v>17</v>
      </c>
      <c r="E553" t="s">
        <v>1303</v>
      </c>
      <c r="F553" t="s">
        <v>1304</v>
      </c>
      <c r="H553" t="s">
        <v>3639</v>
      </c>
      <c r="I553" t="s">
        <v>2901</v>
      </c>
      <c r="J553" t="s">
        <v>1668</v>
      </c>
      <c r="K553" t="s">
        <v>2488</v>
      </c>
      <c r="L553">
        <v>349</v>
      </c>
      <c r="P553" t="s">
        <v>2494</v>
      </c>
      <c r="Q553">
        <v>2018</v>
      </c>
      <c r="R553">
        <v>1981</v>
      </c>
      <c r="S553" s="1">
        <v>44265</v>
      </c>
      <c r="T553" s="1">
        <v>44261</v>
      </c>
      <c r="U553" t="s">
        <v>4130</v>
      </c>
      <c r="V553" t="s">
        <v>4131</v>
      </c>
      <c r="W553" t="s">
        <v>4121</v>
      </c>
      <c r="X553" t="s">
        <v>2603</v>
      </c>
      <c r="Y553" t="s">
        <v>4125</v>
      </c>
    </row>
    <row r="554" spans="1:25" x14ac:dyDescent="0.25">
      <c r="A554">
        <v>553</v>
      </c>
      <c r="B554">
        <v>6821358</v>
      </c>
      <c r="C554" t="s">
        <v>3640</v>
      </c>
      <c r="D554" t="s">
        <v>1313</v>
      </c>
      <c r="E554" t="s">
        <v>1285</v>
      </c>
      <c r="F554" t="s">
        <v>1286</v>
      </c>
      <c r="G554" t="s">
        <v>2755</v>
      </c>
      <c r="H554" t="s">
        <v>3641</v>
      </c>
      <c r="I554" t="s">
        <v>2890</v>
      </c>
      <c r="J554" t="s">
        <v>2590</v>
      </c>
      <c r="K554" t="s">
        <v>112</v>
      </c>
      <c r="L554">
        <v>306</v>
      </c>
      <c r="M554">
        <v>0.49166666666666664</v>
      </c>
      <c r="N554">
        <v>11.799999999999999</v>
      </c>
      <c r="O554" t="s">
        <v>4104</v>
      </c>
      <c r="P554" t="s">
        <v>2486</v>
      </c>
      <c r="Q554">
        <v>2015</v>
      </c>
      <c r="R554">
        <v>1994</v>
      </c>
      <c r="S554" s="1">
        <v>44264</v>
      </c>
      <c r="T554" s="1">
        <v>44256</v>
      </c>
      <c r="U554" t="s">
        <v>4120</v>
      </c>
      <c r="V554" t="s">
        <v>4114</v>
      </c>
      <c r="W554" t="s">
        <v>4177</v>
      </c>
      <c r="X554" t="s">
        <v>4178</v>
      </c>
      <c r="Y554" t="s">
        <v>4116</v>
      </c>
    </row>
    <row r="555" spans="1:25" x14ac:dyDescent="0.25">
      <c r="A555">
        <v>554</v>
      </c>
      <c r="B555">
        <v>27801102</v>
      </c>
      <c r="C555" t="s">
        <v>3642</v>
      </c>
      <c r="D555" t="s">
        <v>1308</v>
      </c>
      <c r="E555" t="s">
        <v>798</v>
      </c>
      <c r="F555" t="s">
        <v>799</v>
      </c>
      <c r="H555" t="s">
        <v>3643</v>
      </c>
      <c r="I555" t="s">
        <v>2890</v>
      </c>
      <c r="J555" t="s">
        <v>1691</v>
      </c>
      <c r="K555" t="s">
        <v>57</v>
      </c>
      <c r="L555">
        <v>264</v>
      </c>
      <c r="P555" t="s">
        <v>2486</v>
      </c>
      <c r="Q555">
        <v>2015</v>
      </c>
      <c r="R555">
        <v>2014</v>
      </c>
      <c r="S555" s="1">
        <v>44260</v>
      </c>
      <c r="T555" s="1">
        <v>44256</v>
      </c>
      <c r="U555" t="s">
        <v>4113</v>
      </c>
      <c r="V555" t="s">
        <v>4114</v>
      </c>
      <c r="W555" t="s">
        <v>4121</v>
      </c>
      <c r="X555" t="s">
        <v>2603</v>
      </c>
      <c r="Y555" t="s">
        <v>4116</v>
      </c>
    </row>
    <row r="556" spans="1:25" x14ac:dyDescent="0.25">
      <c r="A556">
        <v>555</v>
      </c>
      <c r="B556">
        <v>52968293</v>
      </c>
      <c r="C556" t="s">
        <v>1309</v>
      </c>
      <c r="D556" t="s">
        <v>17</v>
      </c>
      <c r="E556" t="s">
        <v>1310</v>
      </c>
      <c r="F556" t="s">
        <v>1311</v>
      </c>
      <c r="H556" t="s">
        <v>3644</v>
      </c>
      <c r="I556" t="s">
        <v>2901</v>
      </c>
      <c r="J556" t="s">
        <v>1780</v>
      </c>
      <c r="K556" t="s">
        <v>2488</v>
      </c>
      <c r="L556">
        <v>416</v>
      </c>
      <c r="P556" t="s">
        <v>2494</v>
      </c>
      <c r="Q556">
        <v>2022</v>
      </c>
      <c r="R556">
        <v>2022</v>
      </c>
      <c r="S556" s="1">
        <v>44260</v>
      </c>
      <c r="T556" s="1">
        <v>44250</v>
      </c>
      <c r="U556" t="s">
        <v>4130</v>
      </c>
      <c r="V556" t="s">
        <v>4131</v>
      </c>
      <c r="W556" t="s">
        <v>4150</v>
      </c>
      <c r="X556" t="s">
        <v>4151</v>
      </c>
      <c r="Y556" t="s">
        <v>4125</v>
      </c>
    </row>
    <row r="557" spans="1:25" x14ac:dyDescent="0.25">
      <c r="A557">
        <v>556</v>
      </c>
      <c r="B557">
        <v>12664659</v>
      </c>
      <c r="C557" t="s">
        <v>3645</v>
      </c>
      <c r="D557" t="s">
        <v>2758</v>
      </c>
      <c r="E557" t="s">
        <v>1285</v>
      </c>
      <c r="F557" t="s">
        <v>1286</v>
      </c>
      <c r="G557" t="s">
        <v>2755</v>
      </c>
      <c r="H557" t="s">
        <v>3646</v>
      </c>
      <c r="I557" t="s">
        <v>2890</v>
      </c>
      <c r="J557" t="s">
        <v>2590</v>
      </c>
      <c r="K557" t="s">
        <v>112</v>
      </c>
      <c r="L557">
        <v>394</v>
      </c>
      <c r="M557">
        <v>0.69861111111111107</v>
      </c>
      <c r="N557">
        <v>16.766666666666666</v>
      </c>
      <c r="O557" t="s">
        <v>4105</v>
      </c>
      <c r="P557" t="s">
        <v>2486</v>
      </c>
      <c r="Q557">
        <v>2019</v>
      </c>
      <c r="R557">
        <v>1992</v>
      </c>
      <c r="S557" s="1">
        <v>44256</v>
      </c>
      <c r="T557" s="1">
        <v>44248</v>
      </c>
      <c r="U557" t="s">
        <v>4120</v>
      </c>
      <c r="V557" t="s">
        <v>4114</v>
      </c>
      <c r="W557" t="s">
        <v>4177</v>
      </c>
      <c r="X557" t="s">
        <v>4178</v>
      </c>
      <c r="Y557" t="s">
        <v>4116</v>
      </c>
    </row>
    <row r="558" spans="1:25" x14ac:dyDescent="0.25">
      <c r="A558">
        <v>557</v>
      </c>
      <c r="B558">
        <v>26118612</v>
      </c>
      <c r="C558" t="s">
        <v>3647</v>
      </c>
      <c r="D558" t="s">
        <v>1315</v>
      </c>
      <c r="E558" t="s">
        <v>798</v>
      </c>
      <c r="F558" t="s">
        <v>799</v>
      </c>
      <c r="H558" t="s">
        <v>3648</v>
      </c>
      <c r="I558" t="s">
        <v>2890</v>
      </c>
      <c r="J558" t="s">
        <v>1691</v>
      </c>
      <c r="K558" t="s">
        <v>2488</v>
      </c>
      <c r="L558">
        <v>368</v>
      </c>
      <c r="P558" t="s">
        <v>2486</v>
      </c>
      <c r="Q558">
        <v>2015</v>
      </c>
      <c r="R558">
        <v>2013</v>
      </c>
      <c r="S558" s="1">
        <v>44251</v>
      </c>
      <c r="T558" s="1">
        <v>44236</v>
      </c>
      <c r="U558" t="s">
        <v>4113</v>
      </c>
      <c r="V558" t="s">
        <v>4114</v>
      </c>
      <c r="W558" t="s">
        <v>4121</v>
      </c>
      <c r="X558" t="s">
        <v>2603</v>
      </c>
      <c r="Y558" t="s">
        <v>4116</v>
      </c>
    </row>
    <row r="559" spans="1:25" x14ac:dyDescent="0.25">
      <c r="A559">
        <v>558</v>
      </c>
      <c r="B559">
        <v>33867160</v>
      </c>
      <c r="C559" t="s">
        <v>1316</v>
      </c>
      <c r="D559" t="s">
        <v>17</v>
      </c>
      <c r="E559" t="s">
        <v>1317</v>
      </c>
      <c r="F559" t="s">
        <v>1318</v>
      </c>
      <c r="H559" t="s">
        <v>3649</v>
      </c>
      <c r="I559" t="s">
        <v>2890</v>
      </c>
      <c r="J559" t="s">
        <v>1673</v>
      </c>
      <c r="K559" t="s">
        <v>2488</v>
      </c>
      <c r="L559">
        <v>391</v>
      </c>
      <c r="P559" t="s">
        <v>2494</v>
      </c>
      <c r="Q559">
        <v>2016</v>
      </c>
      <c r="R559">
        <v>2016</v>
      </c>
      <c r="S559" s="1">
        <v>44248</v>
      </c>
      <c r="T559" s="1">
        <v>44243</v>
      </c>
      <c r="U559" t="s">
        <v>4129</v>
      </c>
      <c r="V559" t="s">
        <v>4114</v>
      </c>
      <c r="W559" t="s">
        <v>4121</v>
      </c>
      <c r="X559" t="s">
        <v>2603</v>
      </c>
      <c r="Y559" t="s">
        <v>4116</v>
      </c>
    </row>
    <row r="560" spans="1:25" x14ac:dyDescent="0.25">
      <c r="A560">
        <v>559</v>
      </c>
      <c r="B560">
        <v>22401179</v>
      </c>
      <c r="C560" t="s">
        <v>3650</v>
      </c>
      <c r="D560" t="s">
        <v>2759</v>
      </c>
      <c r="E560" t="s">
        <v>1285</v>
      </c>
      <c r="F560" t="s">
        <v>1286</v>
      </c>
      <c r="G560" t="s">
        <v>2755</v>
      </c>
      <c r="H560" t="s">
        <v>3651</v>
      </c>
      <c r="I560" t="s">
        <v>2890</v>
      </c>
      <c r="J560" t="s">
        <v>2590</v>
      </c>
      <c r="K560" t="s">
        <v>112</v>
      </c>
      <c r="L560">
        <v>360</v>
      </c>
      <c r="M560">
        <v>0.55277777777777781</v>
      </c>
      <c r="N560">
        <v>13.266666666666667</v>
      </c>
      <c r="O560" t="s">
        <v>4106</v>
      </c>
      <c r="P560" t="s">
        <v>2486</v>
      </c>
      <c r="Q560">
        <v>2013</v>
      </c>
      <c r="R560">
        <v>1986</v>
      </c>
      <c r="S560" s="1">
        <v>44248</v>
      </c>
      <c r="T560" s="1">
        <v>44243</v>
      </c>
      <c r="U560" t="s">
        <v>4120</v>
      </c>
      <c r="V560" t="s">
        <v>4114</v>
      </c>
      <c r="W560" t="s">
        <v>4177</v>
      </c>
      <c r="X560" t="s">
        <v>4178</v>
      </c>
      <c r="Y560" t="s">
        <v>4116</v>
      </c>
    </row>
    <row r="561" spans="1:25" x14ac:dyDescent="0.25">
      <c r="A561">
        <v>560</v>
      </c>
      <c r="B561">
        <v>10305231</v>
      </c>
      <c r="C561" t="s">
        <v>2760</v>
      </c>
      <c r="D561" t="s">
        <v>1320</v>
      </c>
      <c r="E561" t="s">
        <v>1321</v>
      </c>
      <c r="F561" t="s">
        <v>1322</v>
      </c>
      <c r="H561" t="s">
        <v>3652</v>
      </c>
      <c r="I561" t="s">
        <v>2890</v>
      </c>
      <c r="J561" t="s">
        <v>2227</v>
      </c>
      <c r="K561" t="s">
        <v>2488</v>
      </c>
      <c r="L561">
        <v>320</v>
      </c>
      <c r="P561" t="s">
        <v>2494</v>
      </c>
      <c r="Q561">
        <v>2011</v>
      </c>
      <c r="R561">
        <v>2011</v>
      </c>
      <c r="S561" s="1">
        <v>44243</v>
      </c>
      <c r="T561" s="1">
        <v>44236</v>
      </c>
      <c r="U561" t="s">
        <v>4149</v>
      </c>
      <c r="V561" t="s">
        <v>4114</v>
      </c>
      <c r="W561" t="s">
        <v>4121</v>
      </c>
      <c r="X561" t="s">
        <v>2603</v>
      </c>
      <c r="Y561" t="s">
        <v>4125</v>
      </c>
    </row>
    <row r="562" spans="1:25" x14ac:dyDescent="0.25">
      <c r="A562">
        <v>561</v>
      </c>
      <c r="B562">
        <v>25515376</v>
      </c>
      <c r="C562" t="s">
        <v>3653</v>
      </c>
      <c r="D562" t="s">
        <v>1324</v>
      </c>
      <c r="E562" t="s">
        <v>798</v>
      </c>
      <c r="F562" t="s">
        <v>799</v>
      </c>
      <c r="H562" t="s">
        <v>3654</v>
      </c>
      <c r="I562" t="s">
        <v>2901</v>
      </c>
      <c r="J562" t="s">
        <v>1691</v>
      </c>
      <c r="K562" t="s">
        <v>57</v>
      </c>
      <c r="L562">
        <v>440</v>
      </c>
      <c r="P562" t="s">
        <v>2486</v>
      </c>
      <c r="Q562">
        <v>2015</v>
      </c>
      <c r="R562">
        <v>2013</v>
      </c>
      <c r="S562" s="1">
        <v>44232</v>
      </c>
      <c r="T562" s="1">
        <v>44126</v>
      </c>
      <c r="U562" t="s">
        <v>4113</v>
      </c>
      <c r="V562" t="s">
        <v>4114</v>
      </c>
      <c r="W562" t="s">
        <v>4121</v>
      </c>
      <c r="X562" t="s">
        <v>2603</v>
      </c>
      <c r="Y562" t="s">
        <v>4116</v>
      </c>
    </row>
    <row r="563" spans="1:25" x14ac:dyDescent="0.25">
      <c r="A563">
        <v>562</v>
      </c>
      <c r="B563">
        <v>35992336</v>
      </c>
      <c r="C563" t="s">
        <v>1325</v>
      </c>
      <c r="D563" t="s">
        <v>17</v>
      </c>
      <c r="E563" t="s">
        <v>1281</v>
      </c>
      <c r="F563" t="s">
        <v>1282</v>
      </c>
      <c r="H563" t="s">
        <v>3655</v>
      </c>
      <c r="I563" t="s">
        <v>2890</v>
      </c>
      <c r="J563" t="s">
        <v>2227</v>
      </c>
      <c r="K563" t="s">
        <v>2488</v>
      </c>
      <c r="L563">
        <v>336</v>
      </c>
      <c r="P563" t="s">
        <v>2494</v>
      </c>
      <c r="Q563">
        <v>2017</v>
      </c>
      <c r="R563">
        <v>2017</v>
      </c>
      <c r="S563" s="1">
        <v>44231</v>
      </c>
      <c r="T563" s="1">
        <v>44221</v>
      </c>
      <c r="U563" t="s">
        <v>4149</v>
      </c>
      <c r="V563" t="s">
        <v>4114</v>
      </c>
      <c r="W563" t="s">
        <v>4123</v>
      </c>
      <c r="X563" t="s">
        <v>4124</v>
      </c>
      <c r="Y563" t="s">
        <v>4125</v>
      </c>
    </row>
    <row r="564" spans="1:25" x14ac:dyDescent="0.25">
      <c r="A564">
        <v>563</v>
      </c>
      <c r="B564">
        <v>20416926</v>
      </c>
      <c r="C564" t="s">
        <v>1326</v>
      </c>
      <c r="D564" t="s">
        <v>17</v>
      </c>
      <c r="E564" t="s">
        <v>1115</v>
      </c>
      <c r="F564" t="s">
        <v>1116</v>
      </c>
      <c r="H564" t="s">
        <v>3656</v>
      </c>
      <c r="I564" t="s">
        <v>2890</v>
      </c>
      <c r="J564" t="s">
        <v>2185</v>
      </c>
      <c r="K564" t="s">
        <v>2488</v>
      </c>
      <c r="L564">
        <v>384</v>
      </c>
      <c r="P564" t="s">
        <v>2494</v>
      </c>
      <c r="Q564">
        <v>2014</v>
      </c>
      <c r="R564">
        <v>2012</v>
      </c>
      <c r="S564" s="1">
        <v>44226</v>
      </c>
      <c r="T564" s="1">
        <v>44179</v>
      </c>
      <c r="U564" t="s">
        <v>4149</v>
      </c>
      <c r="V564" t="s">
        <v>4114</v>
      </c>
      <c r="W564" t="s">
        <v>4115</v>
      </c>
      <c r="X564" t="s">
        <v>2603</v>
      </c>
      <c r="Y564" t="s">
        <v>4125</v>
      </c>
    </row>
    <row r="565" spans="1:25" x14ac:dyDescent="0.25">
      <c r="A565">
        <v>564</v>
      </c>
      <c r="B565">
        <v>55825011</v>
      </c>
      <c r="C565" t="s">
        <v>1327</v>
      </c>
      <c r="D565" t="s">
        <v>17</v>
      </c>
      <c r="E565" t="s">
        <v>1328</v>
      </c>
      <c r="F565" t="s">
        <v>1329</v>
      </c>
      <c r="H565" t="s">
        <v>3657</v>
      </c>
      <c r="I565" t="s">
        <v>2901</v>
      </c>
      <c r="J565" t="s">
        <v>1668</v>
      </c>
      <c r="K565" t="s">
        <v>2488</v>
      </c>
      <c r="L565">
        <v>320</v>
      </c>
      <c r="P565" t="s">
        <v>2494</v>
      </c>
      <c r="Q565">
        <v>2020</v>
      </c>
      <c r="R565">
        <v>2020</v>
      </c>
      <c r="S565" s="1">
        <v>44220</v>
      </c>
      <c r="T565" s="1">
        <v>44154</v>
      </c>
      <c r="U565" t="s">
        <v>4129</v>
      </c>
      <c r="V565" t="s">
        <v>4114</v>
      </c>
      <c r="W565" t="s">
        <v>4133</v>
      </c>
      <c r="X565" t="s">
        <v>2494</v>
      </c>
      <c r="Y565" t="s">
        <v>4116</v>
      </c>
    </row>
    <row r="566" spans="1:25" x14ac:dyDescent="0.25">
      <c r="A566">
        <v>565</v>
      </c>
      <c r="B566">
        <v>55670529</v>
      </c>
      <c r="C566" t="s">
        <v>1330</v>
      </c>
      <c r="D566" t="s">
        <v>17</v>
      </c>
      <c r="E566" t="s">
        <v>1331</v>
      </c>
      <c r="F566" t="s">
        <v>1332</v>
      </c>
      <c r="H566" t="s">
        <v>3658</v>
      </c>
      <c r="I566" t="s">
        <v>2901</v>
      </c>
      <c r="J566" t="s">
        <v>1668</v>
      </c>
      <c r="K566" t="s">
        <v>2488</v>
      </c>
      <c r="L566">
        <v>400</v>
      </c>
      <c r="P566" t="s">
        <v>2494</v>
      </c>
      <c r="Q566">
        <v>2020</v>
      </c>
      <c r="R566">
        <v>2019</v>
      </c>
      <c r="S566" s="1">
        <v>44206</v>
      </c>
      <c r="T566" s="1">
        <v>44154</v>
      </c>
      <c r="U566" t="s">
        <v>4132</v>
      </c>
      <c r="V566" t="s">
        <v>4114</v>
      </c>
      <c r="W566" t="s">
        <v>4118</v>
      </c>
      <c r="X566" t="s">
        <v>4119</v>
      </c>
      <c r="Y566" t="s">
        <v>4125</v>
      </c>
    </row>
    <row r="567" spans="1:25" x14ac:dyDescent="0.25">
      <c r="A567">
        <v>566</v>
      </c>
      <c r="B567">
        <v>39349029</v>
      </c>
      <c r="C567" t="s">
        <v>3659</v>
      </c>
      <c r="D567" t="s">
        <v>1334</v>
      </c>
      <c r="E567" t="s">
        <v>364</v>
      </c>
      <c r="F567" t="s">
        <v>365</v>
      </c>
      <c r="H567" t="s">
        <v>3660</v>
      </c>
      <c r="I567" t="s">
        <v>2933</v>
      </c>
      <c r="J567" t="s">
        <v>2121</v>
      </c>
      <c r="K567" t="s">
        <v>57</v>
      </c>
      <c r="L567">
        <v>423</v>
      </c>
      <c r="P567" t="s">
        <v>2486</v>
      </c>
      <c r="Q567">
        <v>2018</v>
      </c>
      <c r="R567">
        <v>2014</v>
      </c>
      <c r="S567" s="1">
        <v>44199</v>
      </c>
      <c r="T567" s="1">
        <v>44189</v>
      </c>
      <c r="U567" t="s">
        <v>4126</v>
      </c>
      <c r="V567" t="s">
        <v>4114</v>
      </c>
      <c r="W567" t="s">
        <v>4159</v>
      </c>
      <c r="X567" t="s">
        <v>4160</v>
      </c>
      <c r="Y567" t="s">
        <v>4147</v>
      </c>
    </row>
    <row r="568" spans="1:25" x14ac:dyDescent="0.25">
      <c r="A568">
        <v>567</v>
      </c>
      <c r="B568">
        <v>54841852</v>
      </c>
      <c r="C568" t="s">
        <v>1335</v>
      </c>
      <c r="D568" t="s">
        <v>17</v>
      </c>
      <c r="E568" t="s">
        <v>969</v>
      </c>
      <c r="F568" t="s">
        <v>970</v>
      </c>
      <c r="H568" t="s">
        <v>3661</v>
      </c>
      <c r="I568" t="s">
        <v>2901</v>
      </c>
      <c r="J568" t="s">
        <v>1668</v>
      </c>
      <c r="K568" t="s">
        <v>2488</v>
      </c>
      <c r="L568">
        <v>296</v>
      </c>
      <c r="P568" t="s">
        <v>2494</v>
      </c>
      <c r="Q568">
        <v>2020</v>
      </c>
      <c r="R568">
        <v>2020</v>
      </c>
      <c r="S568" s="1">
        <v>44189</v>
      </c>
      <c r="T568" s="1">
        <v>44174</v>
      </c>
      <c r="U568" t="s">
        <v>4134</v>
      </c>
      <c r="V568" t="s">
        <v>4114</v>
      </c>
      <c r="W568" t="s">
        <v>4133</v>
      </c>
      <c r="X568" t="s">
        <v>2494</v>
      </c>
      <c r="Y568" t="s">
        <v>4116</v>
      </c>
    </row>
    <row r="569" spans="1:25" x14ac:dyDescent="0.25">
      <c r="A569">
        <v>568</v>
      </c>
      <c r="B569">
        <v>33845482</v>
      </c>
      <c r="C569" t="s">
        <v>3662</v>
      </c>
      <c r="D569" t="s">
        <v>1337</v>
      </c>
      <c r="E569" t="s">
        <v>364</v>
      </c>
      <c r="F569" t="s">
        <v>365</v>
      </c>
      <c r="H569" t="s">
        <v>3663</v>
      </c>
      <c r="I569" t="s">
        <v>2901</v>
      </c>
      <c r="J569" t="s">
        <v>2121</v>
      </c>
      <c r="K569" t="s">
        <v>57</v>
      </c>
      <c r="L569">
        <v>352</v>
      </c>
      <c r="P569" t="s">
        <v>2486</v>
      </c>
      <c r="Q569">
        <v>2017</v>
      </c>
      <c r="R569">
        <v>2013</v>
      </c>
      <c r="S569" s="1">
        <v>44187</v>
      </c>
      <c r="T569" s="1">
        <v>44116</v>
      </c>
      <c r="U569" t="s">
        <v>4126</v>
      </c>
      <c r="V569" t="s">
        <v>4114</v>
      </c>
      <c r="W569" t="s">
        <v>4159</v>
      </c>
      <c r="X569" t="s">
        <v>4160</v>
      </c>
      <c r="Y569" t="s">
        <v>4147</v>
      </c>
    </row>
    <row r="570" spans="1:25" x14ac:dyDescent="0.25">
      <c r="A570">
        <v>569</v>
      </c>
      <c r="B570">
        <v>35904878</v>
      </c>
      <c r="C570" t="s">
        <v>3664</v>
      </c>
      <c r="D570" t="s">
        <v>2761</v>
      </c>
      <c r="E570" t="s">
        <v>1006</v>
      </c>
      <c r="F570" t="s">
        <v>1007</v>
      </c>
      <c r="H570" t="s">
        <v>3665</v>
      </c>
      <c r="I570" t="s">
        <v>2901</v>
      </c>
      <c r="J570" t="s">
        <v>1673</v>
      </c>
      <c r="K570" t="s">
        <v>2488</v>
      </c>
      <c r="L570">
        <v>456</v>
      </c>
      <c r="P570" t="s">
        <v>2494</v>
      </c>
      <c r="Q570">
        <v>2017</v>
      </c>
      <c r="R570">
        <v>2015</v>
      </c>
      <c r="S570" s="1">
        <v>44173</v>
      </c>
      <c r="T570" s="1">
        <v>44157</v>
      </c>
      <c r="U570" t="s">
        <v>4117</v>
      </c>
      <c r="V570" t="s">
        <v>4114</v>
      </c>
      <c r="W570" t="s">
        <v>4115</v>
      </c>
      <c r="X570" t="s">
        <v>2603</v>
      </c>
      <c r="Y570" t="s">
        <v>4125</v>
      </c>
    </row>
    <row r="571" spans="1:25" x14ac:dyDescent="0.25">
      <c r="A571">
        <v>570</v>
      </c>
      <c r="B571">
        <v>52157624</v>
      </c>
      <c r="C571" t="s">
        <v>1339</v>
      </c>
      <c r="D571" t="s">
        <v>17</v>
      </c>
      <c r="E571" t="s">
        <v>503</v>
      </c>
      <c r="F571" t="s">
        <v>504</v>
      </c>
      <c r="H571" t="s">
        <v>3666</v>
      </c>
      <c r="I571" t="s">
        <v>2901</v>
      </c>
      <c r="J571" t="s">
        <v>1668</v>
      </c>
      <c r="K571" t="s">
        <v>2488</v>
      </c>
      <c r="L571">
        <v>336</v>
      </c>
      <c r="P571" t="s">
        <v>2494</v>
      </c>
      <c r="Q571">
        <v>2020</v>
      </c>
      <c r="R571">
        <v>2019</v>
      </c>
      <c r="S571" s="1">
        <v>44162</v>
      </c>
      <c r="T571" s="1">
        <v>44154</v>
      </c>
      <c r="U571" t="s">
        <v>4134</v>
      </c>
      <c r="V571" t="s">
        <v>4114</v>
      </c>
      <c r="W571" t="s">
        <v>4118</v>
      </c>
      <c r="X571" t="s">
        <v>4119</v>
      </c>
      <c r="Y571" t="s">
        <v>4116</v>
      </c>
    </row>
    <row r="572" spans="1:25" x14ac:dyDescent="0.25">
      <c r="A572">
        <v>571</v>
      </c>
      <c r="B572">
        <v>41813075</v>
      </c>
      <c r="C572" t="s">
        <v>1342</v>
      </c>
      <c r="D572" t="s">
        <v>17</v>
      </c>
      <c r="E572" t="s">
        <v>1343</v>
      </c>
      <c r="F572" t="s">
        <v>1344</v>
      </c>
      <c r="H572" t="s">
        <v>3667</v>
      </c>
      <c r="I572" t="s">
        <v>2901</v>
      </c>
      <c r="J572" t="s">
        <v>1673</v>
      </c>
      <c r="K572" t="s">
        <v>2488</v>
      </c>
      <c r="L572">
        <v>240</v>
      </c>
      <c r="P572" t="s">
        <v>2494</v>
      </c>
      <c r="Q572">
        <v>2018</v>
      </c>
      <c r="R572">
        <v>2016</v>
      </c>
      <c r="S572" s="1">
        <v>44153</v>
      </c>
      <c r="T572" s="1">
        <v>44151</v>
      </c>
      <c r="U572" t="s">
        <v>4130</v>
      </c>
      <c r="V572" t="s">
        <v>4131</v>
      </c>
      <c r="W572" t="s">
        <v>4150</v>
      </c>
      <c r="X572" t="s">
        <v>4151</v>
      </c>
      <c r="Y572" t="s">
        <v>4125</v>
      </c>
    </row>
    <row r="573" spans="1:25" x14ac:dyDescent="0.25">
      <c r="A573">
        <v>572</v>
      </c>
      <c r="B573">
        <v>40363335</v>
      </c>
      <c r="C573" t="s">
        <v>2762</v>
      </c>
      <c r="D573" t="s">
        <v>17</v>
      </c>
      <c r="E573" t="s">
        <v>1345</v>
      </c>
      <c r="F573" t="s">
        <v>1346</v>
      </c>
      <c r="H573" t="s">
        <v>3668</v>
      </c>
      <c r="I573" t="s">
        <v>2933</v>
      </c>
      <c r="J573" t="s">
        <v>1668</v>
      </c>
      <c r="K573" t="s">
        <v>2488</v>
      </c>
      <c r="L573">
        <v>256</v>
      </c>
      <c r="P573" t="s">
        <v>2494</v>
      </c>
      <c r="Q573">
        <v>2020</v>
      </c>
      <c r="R573">
        <v>2019</v>
      </c>
      <c r="S573" s="1">
        <v>44144</v>
      </c>
      <c r="T573" s="1">
        <v>44126</v>
      </c>
      <c r="U573" t="s">
        <v>4130</v>
      </c>
      <c r="V573" t="s">
        <v>4131</v>
      </c>
      <c r="W573" t="s">
        <v>4115</v>
      </c>
      <c r="X573" t="s">
        <v>2603</v>
      </c>
      <c r="Y573" t="s">
        <v>4125</v>
      </c>
    </row>
    <row r="574" spans="1:25" x14ac:dyDescent="0.25">
      <c r="A574">
        <v>573</v>
      </c>
      <c r="B574">
        <v>38944698</v>
      </c>
      <c r="C574" t="s">
        <v>2763</v>
      </c>
      <c r="D574" t="s">
        <v>17</v>
      </c>
      <c r="E574" t="s">
        <v>1347</v>
      </c>
      <c r="F574" t="s">
        <v>1348</v>
      </c>
      <c r="H574" t="s">
        <v>3669</v>
      </c>
      <c r="I574" t="s">
        <v>2901</v>
      </c>
      <c r="J574" t="s">
        <v>2189</v>
      </c>
      <c r="K574" t="s">
        <v>2488</v>
      </c>
      <c r="L574">
        <v>337</v>
      </c>
      <c r="P574" t="s">
        <v>2494</v>
      </c>
      <c r="Q574">
        <v>2020</v>
      </c>
      <c r="R574">
        <v>2018</v>
      </c>
      <c r="S574" s="1">
        <v>44142</v>
      </c>
      <c r="T574" s="1">
        <v>44126</v>
      </c>
      <c r="U574" t="s">
        <v>4155</v>
      </c>
      <c r="V574" t="s">
        <v>4131</v>
      </c>
      <c r="W574" t="s">
        <v>4123</v>
      </c>
      <c r="X574" t="s">
        <v>4124</v>
      </c>
      <c r="Y574" t="s">
        <v>4116</v>
      </c>
    </row>
    <row r="575" spans="1:25" x14ac:dyDescent="0.25">
      <c r="A575">
        <v>574</v>
      </c>
      <c r="B575">
        <v>3377535</v>
      </c>
      <c r="C575" t="s">
        <v>2764</v>
      </c>
      <c r="D575" t="s">
        <v>17</v>
      </c>
      <c r="E575" t="s">
        <v>1349</v>
      </c>
      <c r="F575" t="s">
        <v>1350</v>
      </c>
      <c r="H575" t="s">
        <v>3670</v>
      </c>
      <c r="I575" t="s">
        <v>2901</v>
      </c>
      <c r="J575" t="s">
        <v>1770</v>
      </c>
      <c r="K575" t="s">
        <v>2488</v>
      </c>
      <c r="L575">
        <v>184</v>
      </c>
      <c r="P575" t="s">
        <v>2494</v>
      </c>
      <c r="Q575">
        <v>2019</v>
      </c>
      <c r="R575">
        <v>2007</v>
      </c>
      <c r="S575" s="1">
        <v>44136</v>
      </c>
      <c r="T575" s="1">
        <v>44119</v>
      </c>
      <c r="U575" t="s">
        <v>4130</v>
      </c>
      <c r="V575" t="s">
        <v>4131</v>
      </c>
      <c r="W575" t="s">
        <v>4123</v>
      </c>
      <c r="X575" t="s">
        <v>4124</v>
      </c>
      <c r="Y575" t="s">
        <v>4125</v>
      </c>
    </row>
    <row r="576" spans="1:25" x14ac:dyDescent="0.25">
      <c r="A576">
        <v>575</v>
      </c>
      <c r="B576">
        <v>34321018</v>
      </c>
      <c r="C576" t="s">
        <v>3671</v>
      </c>
      <c r="D576" t="s">
        <v>2765</v>
      </c>
      <c r="E576" t="s">
        <v>1006</v>
      </c>
      <c r="F576" t="s">
        <v>1007</v>
      </c>
      <c r="H576" t="s">
        <v>3672</v>
      </c>
      <c r="I576" t="s">
        <v>2901</v>
      </c>
      <c r="J576" t="s">
        <v>1668</v>
      </c>
      <c r="K576" t="s">
        <v>2488</v>
      </c>
      <c r="L576">
        <v>392</v>
      </c>
      <c r="P576" t="s">
        <v>2494</v>
      </c>
      <c r="Q576">
        <v>2017</v>
      </c>
      <c r="R576">
        <v>2015</v>
      </c>
      <c r="S576" s="1">
        <v>44126</v>
      </c>
      <c r="T576" s="1">
        <v>44116</v>
      </c>
      <c r="U576" t="s">
        <v>4117</v>
      </c>
      <c r="V576" t="s">
        <v>4114</v>
      </c>
      <c r="W576" t="s">
        <v>4115</v>
      </c>
      <c r="X576" t="s">
        <v>2603</v>
      </c>
      <c r="Y576" t="s">
        <v>4125</v>
      </c>
    </row>
    <row r="577" spans="1:25" x14ac:dyDescent="0.25">
      <c r="A577">
        <v>576</v>
      </c>
      <c r="B577">
        <v>31019823</v>
      </c>
      <c r="C577" t="s">
        <v>3673</v>
      </c>
      <c r="D577" t="s">
        <v>1353</v>
      </c>
      <c r="E577" t="s">
        <v>530</v>
      </c>
      <c r="F577" t="s">
        <v>531</v>
      </c>
      <c r="H577" t="s">
        <v>3674</v>
      </c>
      <c r="I577" t="s">
        <v>2933</v>
      </c>
      <c r="J577" t="s">
        <v>1668</v>
      </c>
      <c r="K577" t="s">
        <v>2488</v>
      </c>
      <c r="L577">
        <v>336</v>
      </c>
      <c r="P577" t="s">
        <v>2494</v>
      </c>
      <c r="Q577">
        <v>2016</v>
      </c>
      <c r="R577">
        <v>2007</v>
      </c>
      <c r="S577" s="1">
        <v>44113</v>
      </c>
      <c r="T577" s="1">
        <v>44110</v>
      </c>
      <c r="U577" t="s">
        <v>4136</v>
      </c>
      <c r="V577" t="s">
        <v>4114</v>
      </c>
      <c r="W577" t="s">
        <v>4121</v>
      </c>
      <c r="X577" t="s">
        <v>2603</v>
      </c>
      <c r="Y577" t="s">
        <v>4116</v>
      </c>
    </row>
    <row r="578" spans="1:25" x14ac:dyDescent="0.25">
      <c r="A578">
        <v>577</v>
      </c>
      <c r="B578">
        <v>20941133</v>
      </c>
      <c r="C578" t="s">
        <v>1354</v>
      </c>
      <c r="D578" t="s">
        <v>17</v>
      </c>
      <c r="E578" t="s">
        <v>1355</v>
      </c>
      <c r="F578" t="s">
        <v>1356</v>
      </c>
      <c r="H578" t="s">
        <v>3675</v>
      </c>
      <c r="I578" t="s">
        <v>2890</v>
      </c>
      <c r="J578" t="s">
        <v>2310</v>
      </c>
      <c r="K578" t="s">
        <v>57</v>
      </c>
      <c r="L578">
        <v>208</v>
      </c>
      <c r="P578" t="s">
        <v>2486</v>
      </c>
      <c r="Q578">
        <v>2006</v>
      </c>
      <c r="R578">
        <v>2006</v>
      </c>
      <c r="S578" s="1">
        <v>44108</v>
      </c>
      <c r="T578" s="1">
        <v>44108</v>
      </c>
      <c r="U578" t="s">
        <v>4130</v>
      </c>
      <c r="V578" t="s">
        <v>4131</v>
      </c>
      <c r="W578" t="s">
        <v>4148</v>
      </c>
      <c r="X578" t="s">
        <v>2486</v>
      </c>
      <c r="Y578" t="s">
        <v>4125</v>
      </c>
    </row>
    <row r="579" spans="1:25" x14ac:dyDescent="0.25">
      <c r="A579">
        <v>578</v>
      </c>
      <c r="B579">
        <v>50615338</v>
      </c>
      <c r="C579" t="s">
        <v>1357</v>
      </c>
      <c r="D579" t="s">
        <v>17</v>
      </c>
      <c r="E579" t="s">
        <v>1358</v>
      </c>
      <c r="F579" t="s">
        <v>1359</v>
      </c>
      <c r="G579" t="s">
        <v>2766</v>
      </c>
      <c r="H579" t="s">
        <v>3676</v>
      </c>
      <c r="I579" t="s">
        <v>2901</v>
      </c>
      <c r="J579" t="s">
        <v>2532</v>
      </c>
      <c r="K579" t="s">
        <v>112</v>
      </c>
      <c r="L579">
        <v>376</v>
      </c>
      <c r="M579">
        <v>0.52083333333333337</v>
      </c>
      <c r="N579">
        <v>12.5</v>
      </c>
      <c r="O579" t="s">
        <v>3896</v>
      </c>
      <c r="P579" t="s">
        <v>2494</v>
      </c>
      <c r="Q579">
        <v>2020</v>
      </c>
      <c r="R579">
        <v>2019</v>
      </c>
      <c r="S579" s="1">
        <v>44092</v>
      </c>
      <c r="T579" s="1">
        <v>44089</v>
      </c>
      <c r="U579" t="s">
        <v>4135</v>
      </c>
      <c r="V579" t="s">
        <v>4131</v>
      </c>
      <c r="W579" t="s">
        <v>4121</v>
      </c>
      <c r="X579" t="s">
        <v>2603</v>
      </c>
      <c r="Y579" t="s">
        <v>4116</v>
      </c>
    </row>
    <row r="580" spans="1:25" x14ac:dyDescent="0.25">
      <c r="A580">
        <v>579</v>
      </c>
      <c r="B580">
        <v>45014624</v>
      </c>
      <c r="C580" t="s">
        <v>1360</v>
      </c>
      <c r="D580" t="s">
        <v>17</v>
      </c>
      <c r="E580" t="s">
        <v>1361</v>
      </c>
      <c r="F580" t="s">
        <v>1362</v>
      </c>
      <c r="H580" t="s">
        <v>3677</v>
      </c>
      <c r="I580" t="s">
        <v>2917</v>
      </c>
      <c r="J580" t="s">
        <v>1668</v>
      </c>
      <c r="K580" t="s">
        <v>2488</v>
      </c>
      <c r="L580">
        <v>144</v>
      </c>
      <c r="P580" t="s">
        <v>2494</v>
      </c>
      <c r="Q580">
        <v>2018</v>
      </c>
      <c r="R580">
        <v>2018</v>
      </c>
      <c r="S580" s="1">
        <v>44076</v>
      </c>
      <c r="T580" s="1">
        <v>44075</v>
      </c>
      <c r="U580" t="s">
        <v>4130</v>
      </c>
      <c r="V580" t="s">
        <v>4131</v>
      </c>
      <c r="W580" t="s">
        <v>4123</v>
      </c>
      <c r="X580" t="s">
        <v>4124</v>
      </c>
      <c r="Y580" t="s">
        <v>4125</v>
      </c>
    </row>
    <row r="581" spans="1:25" x14ac:dyDescent="0.25">
      <c r="A581">
        <v>580</v>
      </c>
      <c r="B581">
        <v>30288809</v>
      </c>
      <c r="C581" t="s">
        <v>3678</v>
      </c>
      <c r="D581" t="s">
        <v>1364</v>
      </c>
      <c r="E581" t="s">
        <v>364</v>
      </c>
      <c r="F581" t="s">
        <v>365</v>
      </c>
      <c r="H581" t="s">
        <v>3679</v>
      </c>
      <c r="I581" t="s">
        <v>2890</v>
      </c>
      <c r="J581" t="s">
        <v>2121</v>
      </c>
      <c r="K581" t="s">
        <v>57</v>
      </c>
      <c r="L581">
        <v>364</v>
      </c>
      <c r="P581" t="s">
        <v>2486</v>
      </c>
      <c r="Q581">
        <v>2016</v>
      </c>
      <c r="R581">
        <v>2012</v>
      </c>
      <c r="S581" s="1">
        <v>44057</v>
      </c>
      <c r="T581" s="1">
        <v>44056</v>
      </c>
      <c r="U581" t="s">
        <v>4126</v>
      </c>
      <c r="V581" t="s">
        <v>4114</v>
      </c>
      <c r="W581" t="s">
        <v>4159</v>
      </c>
      <c r="X581" t="s">
        <v>4160</v>
      </c>
      <c r="Y581" t="s">
        <v>4147</v>
      </c>
    </row>
    <row r="582" spans="1:25" x14ac:dyDescent="0.25">
      <c r="A582">
        <v>581</v>
      </c>
      <c r="B582">
        <v>35356382</v>
      </c>
      <c r="C582" t="s">
        <v>2767</v>
      </c>
      <c r="D582" t="s">
        <v>17</v>
      </c>
      <c r="E582" t="s">
        <v>934</v>
      </c>
      <c r="F582" t="s">
        <v>935</v>
      </c>
      <c r="H582" t="s">
        <v>3680</v>
      </c>
      <c r="I582" t="s">
        <v>2890</v>
      </c>
      <c r="J582" t="s">
        <v>1668</v>
      </c>
      <c r="K582" t="s">
        <v>2488</v>
      </c>
      <c r="L582">
        <v>280</v>
      </c>
      <c r="P582" t="s">
        <v>2494</v>
      </c>
      <c r="Q582">
        <v>2018</v>
      </c>
      <c r="R582">
        <v>2018</v>
      </c>
      <c r="S582" s="1">
        <v>44018</v>
      </c>
      <c r="T582" s="1">
        <v>44016</v>
      </c>
      <c r="U582" t="s">
        <v>4132</v>
      </c>
      <c r="V582" t="s">
        <v>4114</v>
      </c>
      <c r="W582" t="s">
        <v>4115</v>
      </c>
      <c r="X582" t="s">
        <v>2603</v>
      </c>
      <c r="Y582" t="s">
        <v>4125</v>
      </c>
    </row>
    <row r="583" spans="1:25" x14ac:dyDescent="0.25">
      <c r="A583">
        <v>582</v>
      </c>
      <c r="B583">
        <v>20423680</v>
      </c>
      <c r="C583" t="s">
        <v>2768</v>
      </c>
      <c r="D583" t="s">
        <v>1365</v>
      </c>
      <c r="E583" t="s">
        <v>750</v>
      </c>
      <c r="F583" t="s">
        <v>751</v>
      </c>
      <c r="H583" t="s">
        <v>3681</v>
      </c>
      <c r="I583" t="s">
        <v>2901</v>
      </c>
      <c r="J583" t="s">
        <v>3620</v>
      </c>
      <c r="K583" t="s">
        <v>2488</v>
      </c>
      <c r="L583">
        <v>294</v>
      </c>
      <c r="P583" t="s">
        <v>2494</v>
      </c>
      <c r="Q583">
        <v>2014</v>
      </c>
      <c r="R583">
        <v>2014</v>
      </c>
      <c r="S583" s="1">
        <v>44037</v>
      </c>
      <c r="T583" s="1">
        <v>44034</v>
      </c>
      <c r="U583" t="s">
        <v>4113</v>
      </c>
      <c r="V583" t="s">
        <v>4114</v>
      </c>
      <c r="W583" t="s">
        <v>4121</v>
      </c>
      <c r="X583" t="s">
        <v>2603</v>
      </c>
      <c r="Y583" t="s">
        <v>4116</v>
      </c>
    </row>
    <row r="584" spans="1:25" x14ac:dyDescent="0.25">
      <c r="A584">
        <v>583</v>
      </c>
      <c r="B584">
        <v>17920175</v>
      </c>
      <c r="C584" t="s">
        <v>2769</v>
      </c>
      <c r="D584" t="s">
        <v>1366</v>
      </c>
      <c r="E584" t="s">
        <v>750</v>
      </c>
      <c r="F584" t="s">
        <v>751</v>
      </c>
      <c r="H584" t="s">
        <v>3682</v>
      </c>
      <c r="I584" t="s">
        <v>2901</v>
      </c>
      <c r="J584" t="s">
        <v>3620</v>
      </c>
      <c r="K584" t="s">
        <v>2488</v>
      </c>
      <c r="L584">
        <v>298</v>
      </c>
      <c r="P584" t="s">
        <v>2494</v>
      </c>
      <c r="Q584">
        <v>2013</v>
      </c>
      <c r="R584">
        <v>2013</v>
      </c>
      <c r="S584" s="1">
        <v>44034</v>
      </c>
      <c r="T584" s="1">
        <v>44030</v>
      </c>
      <c r="U584" t="s">
        <v>4113</v>
      </c>
      <c r="V584" t="s">
        <v>4114</v>
      </c>
      <c r="W584" t="s">
        <v>4121</v>
      </c>
      <c r="X584" t="s">
        <v>2603</v>
      </c>
      <c r="Y584" t="s">
        <v>4116</v>
      </c>
    </row>
    <row r="585" spans="1:25" x14ac:dyDescent="0.25">
      <c r="A585">
        <v>584</v>
      </c>
      <c r="B585">
        <v>15096164</v>
      </c>
      <c r="C585" t="s">
        <v>2770</v>
      </c>
      <c r="D585" t="s">
        <v>1367</v>
      </c>
      <c r="E585" t="s">
        <v>750</v>
      </c>
      <c r="F585" t="s">
        <v>751</v>
      </c>
      <c r="H585" t="s">
        <v>3683</v>
      </c>
      <c r="I585" t="s">
        <v>2901</v>
      </c>
      <c r="J585" t="s">
        <v>3620</v>
      </c>
      <c r="K585" t="s">
        <v>2488</v>
      </c>
      <c r="L585">
        <v>307</v>
      </c>
      <c r="P585" t="s">
        <v>2494</v>
      </c>
      <c r="Q585">
        <v>2012</v>
      </c>
      <c r="R585">
        <v>2012</v>
      </c>
      <c r="S585" s="1">
        <v>44030</v>
      </c>
      <c r="T585" s="1">
        <v>44026</v>
      </c>
      <c r="U585" t="s">
        <v>4113</v>
      </c>
      <c r="V585" t="s">
        <v>4114</v>
      </c>
      <c r="W585" t="s">
        <v>4121</v>
      </c>
      <c r="X585" t="s">
        <v>2603</v>
      </c>
      <c r="Y585" t="s">
        <v>4116</v>
      </c>
    </row>
    <row r="586" spans="1:25" x14ac:dyDescent="0.25">
      <c r="A586">
        <v>585</v>
      </c>
      <c r="B586">
        <v>23149749</v>
      </c>
      <c r="C586" t="s">
        <v>2771</v>
      </c>
      <c r="D586" t="s">
        <v>17</v>
      </c>
      <c r="E586" t="s">
        <v>1169</v>
      </c>
      <c r="F586" t="s">
        <v>1170</v>
      </c>
      <c r="H586" t="s">
        <v>3684</v>
      </c>
      <c r="I586" t="s">
        <v>2901</v>
      </c>
      <c r="J586" t="s">
        <v>2047</v>
      </c>
      <c r="K586" t="s">
        <v>2488</v>
      </c>
      <c r="L586">
        <v>288</v>
      </c>
      <c r="P586" t="s">
        <v>2494</v>
      </c>
      <c r="Q586">
        <v>2014</v>
      </c>
      <c r="R586">
        <v>2008</v>
      </c>
      <c r="S586" s="1">
        <v>44016</v>
      </c>
      <c r="T586" s="1">
        <v>44015</v>
      </c>
      <c r="U586" t="s">
        <v>4136</v>
      </c>
      <c r="V586" t="s">
        <v>4114</v>
      </c>
      <c r="W586" t="s">
        <v>4121</v>
      </c>
      <c r="X586" t="s">
        <v>2603</v>
      </c>
      <c r="Y586" t="s">
        <v>4116</v>
      </c>
    </row>
    <row r="587" spans="1:25" x14ac:dyDescent="0.25">
      <c r="A587">
        <v>586</v>
      </c>
      <c r="B587">
        <v>34829748</v>
      </c>
      <c r="C587" t="s">
        <v>1368</v>
      </c>
      <c r="D587" t="s">
        <v>17</v>
      </c>
      <c r="E587" t="s">
        <v>750</v>
      </c>
      <c r="F587" t="s">
        <v>751</v>
      </c>
      <c r="H587" t="s">
        <v>3685</v>
      </c>
      <c r="I587" t="s">
        <v>2933</v>
      </c>
      <c r="J587" t="s">
        <v>2208</v>
      </c>
      <c r="K587" t="s">
        <v>2488</v>
      </c>
      <c r="L587">
        <v>320</v>
      </c>
      <c r="P587" t="s">
        <v>2486</v>
      </c>
      <c r="Q587">
        <v>2017</v>
      </c>
      <c r="R587">
        <v>2016</v>
      </c>
      <c r="S587" s="1">
        <v>44014</v>
      </c>
      <c r="T587" s="1">
        <v>44013</v>
      </c>
      <c r="U587" t="s">
        <v>4113</v>
      </c>
      <c r="V587" t="s">
        <v>4114</v>
      </c>
      <c r="W587" t="s">
        <v>4121</v>
      </c>
      <c r="X587" t="s">
        <v>2603</v>
      </c>
      <c r="Y587" t="s">
        <v>4116</v>
      </c>
    </row>
    <row r="588" spans="1:25" x14ac:dyDescent="0.25">
      <c r="A588">
        <v>587</v>
      </c>
      <c r="B588">
        <v>46017438</v>
      </c>
      <c r="C588" t="s">
        <v>1369</v>
      </c>
      <c r="D588" t="s">
        <v>17</v>
      </c>
      <c r="E588" t="s">
        <v>1370</v>
      </c>
      <c r="F588" t="s">
        <v>1371</v>
      </c>
      <c r="H588" t="s">
        <v>3686</v>
      </c>
      <c r="I588" t="s">
        <v>3006</v>
      </c>
      <c r="J588" t="s">
        <v>1668</v>
      </c>
      <c r="K588" t="s">
        <v>2488</v>
      </c>
      <c r="L588">
        <v>544</v>
      </c>
      <c r="P588" t="s">
        <v>2494</v>
      </c>
      <c r="Q588">
        <v>2019</v>
      </c>
      <c r="R588">
        <v>2018</v>
      </c>
      <c r="S588" s="1">
        <v>44012</v>
      </c>
      <c r="T588" s="1">
        <v>43997</v>
      </c>
      <c r="U588" t="s">
        <v>4138</v>
      </c>
      <c r="V588" t="s">
        <v>4114</v>
      </c>
      <c r="W588" t="s">
        <v>4156</v>
      </c>
      <c r="X588" t="s">
        <v>2603</v>
      </c>
      <c r="Y588" t="s">
        <v>4116</v>
      </c>
    </row>
    <row r="589" spans="1:25" x14ac:dyDescent="0.25">
      <c r="A589">
        <v>588</v>
      </c>
      <c r="B589">
        <v>33706134</v>
      </c>
      <c r="C589" t="s">
        <v>3687</v>
      </c>
      <c r="D589" t="s">
        <v>1373</v>
      </c>
      <c r="E589" t="s">
        <v>364</v>
      </c>
      <c r="F589" t="s">
        <v>365</v>
      </c>
      <c r="H589" t="s">
        <v>3688</v>
      </c>
      <c r="I589" t="s">
        <v>2890</v>
      </c>
      <c r="J589" t="s">
        <v>2121</v>
      </c>
      <c r="K589" t="s">
        <v>57</v>
      </c>
      <c r="L589">
        <v>304</v>
      </c>
      <c r="P589" t="s">
        <v>2486</v>
      </c>
      <c r="Q589">
        <v>2016</v>
      </c>
      <c r="R589">
        <v>2011</v>
      </c>
      <c r="S589" s="1">
        <v>44008</v>
      </c>
      <c r="T589" s="1">
        <v>44002</v>
      </c>
      <c r="U589" t="s">
        <v>4126</v>
      </c>
      <c r="V589" t="s">
        <v>4114</v>
      </c>
      <c r="W589" t="s">
        <v>4159</v>
      </c>
      <c r="X589" t="s">
        <v>4160</v>
      </c>
      <c r="Y589" t="s">
        <v>4147</v>
      </c>
    </row>
    <row r="590" spans="1:25" x14ac:dyDescent="0.25">
      <c r="A590">
        <v>589</v>
      </c>
      <c r="B590">
        <v>23301507</v>
      </c>
      <c r="C590" t="s">
        <v>1374</v>
      </c>
      <c r="D590" t="s">
        <v>17</v>
      </c>
      <c r="E590" t="s">
        <v>62</v>
      </c>
      <c r="F590" t="s">
        <v>63</v>
      </c>
      <c r="H590" t="s">
        <v>3689</v>
      </c>
      <c r="I590" t="s">
        <v>2933</v>
      </c>
      <c r="J590" t="s">
        <v>1668</v>
      </c>
      <c r="K590" t="s">
        <v>2488</v>
      </c>
      <c r="L590">
        <v>328</v>
      </c>
      <c r="P590" t="s">
        <v>2494</v>
      </c>
      <c r="Q590">
        <v>2014</v>
      </c>
      <c r="R590">
        <v>2014</v>
      </c>
      <c r="S590" s="1">
        <v>43944</v>
      </c>
      <c r="T590" s="1">
        <v>43944</v>
      </c>
      <c r="U590" t="s">
        <v>4132</v>
      </c>
      <c r="V590" t="s">
        <v>4114</v>
      </c>
      <c r="W590" t="s">
        <v>4133</v>
      </c>
      <c r="X590" t="s">
        <v>2494</v>
      </c>
      <c r="Y590" t="s">
        <v>4116</v>
      </c>
    </row>
    <row r="591" spans="1:25" x14ac:dyDescent="0.25">
      <c r="A591">
        <v>590</v>
      </c>
      <c r="B591">
        <v>18691070</v>
      </c>
      <c r="C591" t="s">
        <v>2774</v>
      </c>
      <c r="D591" t="s">
        <v>1375</v>
      </c>
      <c r="E591" t="s">
        <v>1376</v>
      </c>
      <c r="F591" t="s">
        <v>1377</v>
      </c>
      <c r="H591" t="s">
        <v>3690</v>
      </c>
      <c r="I591" t="s">
        <v>2901</v>
      </c>
      <c r="J591" t="s">
        <v>1668</v>
      </c>
      <c r="K591" t="s">
        <v>2488</v>
      </c>
      <c r="L591">
        <v>320</v>
      </c>
      <c r="P591" t="s">
        <v>2494</v>
      </c>
      <c r="Q591">
        <v>2014</v>
      </c>
      <c r="R591">
        <v>2014</v>
      </c>
      <c r="S591" s="1">
        <v>43940</v>
      </c>
      <c r="T591" s="1">
        <v>43939</v>
      </c>
      <c r="U591" t="s">
        <v>4113</v>
      </c>
      <c r="V591" t="s">
        <v>4114</v>
      </c>
      <c r="W591" t="s">
        <v>4121</v>
      </c>
      <c r="X591" t="s">
        <v>2603</v>
      </c>
      <c r="Y591" t="s">
        <v>4116</v>
      </c>
    </row>
    <row r="592" spans="1:25" x14ac:dyDescent="0.25">
      <c r="A592">
        <v>591</v>
      </c>
      <c r="B592">
        <v>16046748</v>
      </c>
      <c r="C592" t="s">
        <v>2773</v>
      </c>
      <c r="D592" t="s">
        <v>1378</v>
      </c>
      <c r="E592" t="s">
        <v>1376</v>
      </c>
      <c r="F592" t="s">
        <v>1377</v>
      </c>
      <c r="H592" t="s">
        <v>3691</v>
      </c>
      <c r="I592" t="s">
        <v>2890</v>
      </c>
      <c r="J592" t="s">
        <v>1668</v>
      </c>
      <c r="K592" t="s">
        <v>2488</v>
      </c>
      <c r="L592">
        <v>316</v>
      </c>
      <c r="P592" t="s">
        <v>2494</v>
      </c>
      <c r="Q592">
        <v>2013</v>
      </c>
      <c r="R592">
        <v>2013</v>
      </c>
      <c r="S592" s="1">
        <v>43939</v>
      </c>
      <c r="T592" s="1">
        <v>43937</v>
      </c>
      <c r="U592" t="s">
        <v>4113</v>
      </c>
      <c r="V592" t="s">
        <v>4114</v>
      </c>
      <c r="W592" t="s">
        <v>4121</v>
      </c>
      <c r="X592" t="s">
        <v>2603</v>
      </c>
      <c r="Y592" t="s">
        <v>4116</v>
      </c>
    </row>
    <row r="593" spans="1:25" x14ac:dyDescent="0.25">
      <c r="A593">
        <v>592</v>
      </c>
      <c r="B593">
        <v>13330370</v>
      </c>
      <c r="C593" t="s">
        <v>2772</v>
      </c>
      <c r="D593" t="s">
        <v>1379</v>
      </c>
      <c r="E593" t="s">
        <v>1376</v>
      </c>
      <c r="F593" t="s">
        <v>1377</v>
      </c>
      <c r="H593" t="s">
        <v>3692</v>
      </c>
      <c r="I593" t="s">
        <v>2890</v>
      </c>
      <c r="J593" t="s">
        <v>1668</v>
      </c>
      <c r="K593" t="s">
        <v>2488</v>
      </c>
      <c r="L593">
        <v>316</v>
      </c>
      <c r="P593" t="s">
        <v>2494</v>
      </c>
      <c r="Q593">
        <v>2012</v>
      </c>
      <c r="R593">
        <v>2012</v>
      </c>
      <c r="S593" s="1">
        <v>43936</v>
      </c>
      <c r="T593" s="1">
        <v>43934</v>
      </c>
      <c r="U593" t="s">
        <v>4113</v>
      </c>
      <c r="V593" t="s">
        <v>4114</v>
      </c>
      <c r="W593" t="s">
        <v>4121</v>
      </c>
      <c r="X593" t="s">
        <v>2603</v>
      </c>
      <c r="Y593" t="s">
        <v>4116</v>
      </c>
    </row>
    <row r="594" spans="1:25" x14ac:dyDescent="0.25">
      <c r="A594">
        <v>593</v>
      </c>
      <c r="B594">
        <v>53098069</v>
      </c>
      <c r="C594" t="s">
        <v>1380</v>
      </c>
      <c r="D594" t="s">
        <v>17</v>
      </c>
      <c r="E594" t="s">
        <v>62</v>
      </c>
      <c r="F594" t="s">
        <v>63</v>
      </c>
      <c r="H594" t="s">
        <v>3693</v>
      </c>
      <c r="I594" t="s">
        <v>2933</v>
      </c>
      <c r="J594" t="s">
        <v>1668</v>
      </c>
      <c r="K594" t="s">
        <v>2488</v>
      </c>
      <c r="L594">
        <v>424</v>
      </c>
      <c r="P594" t="s">
        <v>2494</v>
      </c>
      <c r="Q594">
        <v>2019</v>
      </c>
      <c r="R594">
        <v>2019</v>
      </c>
      <c r="S594" s="1">
        <v>43892</v>
      </c>
      <c r="T594" s="1">
        <v>43878</v>
      </c>
      <c r="U594" t="s">
        <v>4132</v>
      </c>
      <c r="V594" t="s">
        <v>4114</v>
      </c>
      <c r="W594" t="s">
        <v>4133</v>
      </c>
      <c r="X594" t="s">
        <v>2494</v>
      </c>
      <c r="Y594" t="s">
        <v>4116</v>
      </c>
    </row>
    <row r="595" spans="1:25" x14ac:dyDescent="0.25">
      <c r="A595">
        <v>594</v>
      </c>
      <c r="B595">
        <v>45165349</v>
      </c>
      <c r="C595" t="s">
        <v>1381</v>
      </c>
      <c r="D595" t="s">
        <v>17</v>
      </c>
      <c r="E595" t="s">
        <v>1382</v>
      </c>
      <c r="F595" t="s">
        <v>1383</v>
      </c>
      <c r="H595" t="s">
        <v>3694</v>
      </c>
      <c r="I595" t="s">
        <v>2890</v>
      </c>
      <c r="J595" t="s">
        <v>1950</v>
      </c>
      <c r="K595" t="s">
        <v>2488</v>
      </c>
      <c r="L595">
        <v>251</v>
      </c>
      <c r="P595" t="s">
        <v>2494</v>
      </c>
      <c r="Q595">
        <v>2019</v>
      </c>
      <c r="R595">
        <v>2019</v>
      </c>
      <c r="S595" s="1">
        <v>43902</v>
      </c>
      <c r="T595" s="1">
        <v>43900</v>
      </c>
      <c r="U595" t="s">
        <v>4113</v>
      </c>
      <c r="V595" t="s">
        <v>4114</v>
      </c>
      <c r="W595" t="s">
        <v>4133</v>
      </c>
      <c r="X595" t="s">
        <v>2494</v>
      </c>
      <c r="Y595" t="s">
        <v>4125</v>
      </c>
    </row>
    <row r="596" spans="1:25" x14ac:dyDescent="0.25">
      <c r="A596">
        <v>595</v>
      </c>
      <c r="B596">
        <v>48576936</v>
      </c>
      <c r="C596" t="s">
        <v>1384</v>
      </c>
      <c r="D596" t="s">
        <v>17</v>
      </c>
      <c r="E596" t="s">
        <v>1385</v>
      </c>
      <c r="F596" t="s">
        <v>1386</v>
      </c>
      <c r="H596" t="s">
        <v>3695</v>
      </c>
      <c r="I596" t="s">
        <v>2901</v>
      </c>
      <c r="J596" t="s">
        <v>2328</v>
      </c>
      <c r="K596" t="s">
        <v>2488</v>
      </c>
      <c r="L596">
        <v>320</v>
      </c>
      <c r="P596" t="s">
        <v>2494</v>
      </c>
      <c r="Q596">
        <v>2019</v>
      </c>
      <c r="R596">
        <v>2019</v>
      </c>
      <c r="S596" s="1">
        <v>43895</v>
      </c>
      <c r="T596" s="1">
        <v>43893</v>
      </c>
      <c r="U596" t="s">
        <v>4135</v>
      </c>
      <c r="V596" t="s">
        <v>4131</v>
      </c>
      <c r="W596" t="s">
        <v>4148</v>
      </c>
      <c r="X596" t="s">
        <v>2486</v>
      </c>
      <c r="Y596" t="s">
        <v>4125</v>
      </c>
    </row>
    <row r="597" spans="1:25" x14ac:dyDescent="0.25">
      <c r="A597">
        <v>596</v>
      </c>
      <c r="B597">
        <v>28391650</v>
      </c>
      <c r="C597" t="s">
        <v>3696</v>
      </c>
      <c r="D597" t="s">
        <v>1388</v>
      </c>
      <c r="E597" t="s">
        <v>62</v>
      </c>
      <c r="F597" t="s">
        <v>63</v>
      </c>
      <c r="H597" t="s">
        <v>3697</v>
      </c>
      <c r="I597" t="s">
        <v>2933</v>
      </c>
      <c r="J597" t="s">
        <v>1668</v>
      </c>
      <c r="K597" t="s">
        <v>2488</v>
      </c>
      <c r="L597">
        <v>448</v>
      </c>
      <c r="P597" t="s">
        <v>2494</v>
      </c>
      <c r="Q597">
        <v>2015</v>
      </c>
      <c r="R597">
        <v>2015</v>
      </c>
      <c r="S597" s="1">
        <v>43886</v>
      </c>
      <c r="T597" s="1">
        <v>43881</v>
      </c>
      <c r="U597" t="s">
        <v>4129</v>
      </c>
      <c r="V597" t="s">
        <v>4114</v>
      </c>
      <c r="W597" t="s">
        <v>4133</v>
      </c>
      <c r="X597" t="s">
        <v>2494</v>
      </c>
      <c r="Y597" t="s">
        <v>4116</v>
      </c>
    </row>
    <row r="598" spans="1:25" x14ac:dyDescent="0.25">
      <c r="A598">
        <v>597</v>
      </c>
      <c r="B598">
        <v>48615034</v>
      </c>
      <c r="C598" t="s">
        <v>1389</v>
      </c>
      <c r="D598" t="s">
        <v>17</v>
      </c>
      <c r="E598" t="s">
        <v>1390</v>
      </c>
      <c r="F598" t="s">
        <v>1391</v>
      </c>
      <c r="H598" t="s">
        <v>3698</v>
      </c>
      <c r="I598" t="s">
        <v>2901</v>
      </c>
      <c r="J598" t="s">
        <v>2331</v>
      </c>
      <c r="K598" t="s">
        <v>2488</v>
      </c>
      <c r="L598">
        <v>368</v>
      </c>
      <c r="P598" t="s">
        <v>2494</v>
      </c>
      <c r="Q598">
        <v>2019</v>
      </c>
      <c r="R598">
        <v>2019</v>
      </c>
      <c r="S598" s="1">
        <v>43883</v>
      </c>
      <c r="T598" s="1">
        <v>43877</v>
      </c>
      <c r="U598" t="s">
        <v>4130</v>
      </c>
      <c r="V598" t="s">
        <v>4131</v>
      </c>
      <c r="W598" t="s">
        <v>4133</v>
      </c>
      <c r="X598" t="s">
        <v>2494</v>
      </c>
      <c r="Y598" t="s">
        <v>4125</v>
      </c>
    </row>
    <row r="599" spans="1:25" x14ac:dyDescent="0.25">
      <c r="A599">
        <v>598</v>
      </c>
      <c r="B599">
        <v>22916782</v>
      </c>
      <c r="C599" t="s">
        <v>1392</v>
      </c>
      <c r="D599" t="s">
        <v>17</v>
      </c>
      <c r="E599" t="s">
        <v>1393</v>
      </c>
      <c r="F599" t="s">
        <v>1394</v>
      </c>
      <c r="H599" t="s">
        <v>3699</v>
      </c>
      <c r="I599" t="s">
        <v>2890</v>
      </c>
      <c r="J599" t="s">
        <v>1668</v>
      </c>
      <c r="K599" t="s">
        <v>2488</v>
      </c>
      <c r="L599">
        <v>264</v>
      </c>
      <c r="P599" t="s">
        <v>2494</v>
      </c>
      <c r="Q599">
        <v>2014</v>
      </c>
      <c r="R599">
        <v>2014</v>
      </c>
      <c r="S599" s="1">
        <v>43864</v>
      </c>
      <c r="T599" s="1">
        <v>43856</v>
      </c>
      <c r="U599" t="s">
        <v>4149</v>
      </c>
      <c r="V599" t="s">
        <v>4114</v>
      </c>
      <c r="W599" t="s">
        <v>4133</v>
      </c>
      <c r="X599" t="s">
        <v>2494</v>
      </c>
      <c r="Y599" t="s">
        <v>4125</v>
      </c>
    </row>
    <row r="600" spans="1:25" x14ac:dyDescent="0.25">
      <c r="A600">
        <v>599</v>
      </c>
      <c r="B600">
        <v>17899704</v>
      </c>
      <c r="C600" t="s">
        <v>2775</v>
      </c>
      <c r="D600" t="s">
        <v>17</v>
      </c>
      <c r="E600" t="s">
        <v>1395</v>
      </c>
      <c r="F600" t="s">
        <v>1396</v>
      </c>
      <c r="H600" t="s">
        <v>3700</v>
      </c>
      <c r="I600" t="s">
        <v>2890</v>
      </c>
      <c r="J600" t="s">
        <v>2776</v>
      </c>
      <c r="K600" t="s">
        <v>2488</v>
      </c>
      <c r="L600">
        <v>240</v>
      </c>
      <c r="P600" t="s">
        <v>2494</v>
      </c>
      <c r="Q600">
        <v>2014</v>
      </c>
      <c r="R600">
        <v>2014</v>
      </c>
      <c r="S600" s="1">
        <v>43834</v>
      </c>
      <c r="T600" s="1">
        <v>43833</v>
      </c>
      <c r="U600" t="s">
        <v>4149</v>
      </c>
      <c r="V600" t="s">
        <v>4114</v>
      </c>
      <c r="W600" t="s">
        <v>4115</v>
      </c>
      <c r="X600" t="s">
        <v>2603</v>
      </c>
      <c r="Y600" t="s">
        <v>4125</v>
      </c>
    </row>
    <row r="601" spans="1:25" x14ac:dyDescent="0.25">
      <c r="A601">
        <v>600</v>
      </c>
      <c r="B601">
        <v>49211103</v>
      </c>
      <c r="C601" t="s">
        <v>1397</v>
      </c>
      <c r="D601" t="s">
        <v>17</v>
      </c>
      <c r="E601" t="s">
        <v>1398</v>
      </c>
      <c r="F601" t="s">
        <v>1399</v>
      </c>
      <c r="H601" t="s">
        <v>3701</v>
      </c>
      <c r="I601" t="s">
        <v>2890</v>
      </c>
      <c r="J601" t="s">
        <v>1668</v>
      </c>
      <c r="K601" t="s">
        <v>2488</v>
      </c>
      <c r="L601">
        <v>400</v>
      </c>
      <c r="P601" t="s">
        <v>2494</v>
      </c>
      <c r="Q601">
        <v>2019</v>
      </c>
      <c r="R601">
        <v>2019</v>
      </c>
      <c r="S601" s="1">
        <v>43833</v>
      </c>
      <c r="T601" s="1">
        <v>43833</v>
      </c>
      <c r="U601" t="s">
        <v>4134</v>
      </c>
      <c r="V601" t="s">
        <v>4114</v>
      </c>
      <c r="W601" t="s">
        <v>4133</v>
      </c>
      <c r="X601" t="s">
        <v>2494</v>
      </c>
      <c r="Y601" t="s">
        <v>4125</v>
      </c>
    </row>
    <row r="602" spans="1:25" x14ac:dyDescent="0.25">
      <c r="A602">
        <v>601</v>
      </c>
      <c r="B602">
        <v>37863852</v>
      </c>
      <c r="C602" t="s">
        <v>2777</v>
      </c>
      <c r="D602" t="s">
        <v>1400</v>
      </c>
      <c r="E602" t="s">
        <v>954</v>
      </c>
      <c r="F602" t="s">
        <v>955</v>
      </c>
      <c r="H602" t="s">
        <v>3702</v>
      </c>
      <c r="I602" t="s">
        <v>2890</v>
      </c>
      <c r="J602" t="s">
        <v>1770</v>
      </c>
      <c r="K602" t="s">
        <v>2488</v>
      </c>
      <c r="L602">
        <v>369</v>
      </c>
      <c r="P602" t="s">
        <v>2494</v>
      </c>
      <c r="Q602">
        <v>2018</v>
      </c>
      <c r="R602">
        <v>2018</v>
      </c>
      <c r="S602" s="1"/>
      <c r="T602" s="1">
        <v>43832</v>
      </c>
      <c r="U602" t="s">
        <v>4134</v>
      </c>
      <c r="V602" t="s">
        <v>4114</v>
      </c>
      <c r="W602" t="s">
        <v>4115</v>
      </c>
      <c r="X602" t="s">
        <v>2603</v>
      </c>
      <c r="Y602" t="s">
        <v>4125</v>
      </c>
    </row>
    <row r="603" spans="1:25" x14ac:dyDescent="0.25">
      <c r="A603">
        <v>602</v>
      </c>
      <c r="B603">
        <v>38750904</v>
      </c>
      <c r="C603" t="s">
        <v>2778</v>
      </c>
      <c r="D603" t="s">
        <v>1401</v>
      </c>
      <c r="E603" t="s">
        <v>70</v>
      </c>
      <c r="F603" t="s">
        <v>71</v>
      </c>
      <c r="H603" t="s">
        <v>3703</v>
      </c>
      <c r="I603" t="s">
        <v>2901</v>
      </c>
      <c r="J603" t="s">
        <v>1668</v>
      </c>
      <c r="K603" t="s">
        <v>2488</v>
      </c>
      <c r="L603">
        <v>448</v>
      </c>
      <c r="P603" t="s">
        <v>2494</v>
      </c>
      <c r="Q603">
        <v>2018</v>
      </c>
      <c r="R603">
        <v>2018</v>
      </c>
      <c r="S603" s="1"/>
      <c r="T603" s="1">
        <v>43832</v>
      </c>
      <c r="U603" t="s">
        <v>4134</v>
      </c>
      <c r="V603" t="s">
        <v>4114</v>
      </c>
      <c r="W603" t="s">
        <v>4118</v>
      </c>
      <c r="X603" t="s">
        <v>4119</v>
      </c>
      <c r="Y603" t="s">
        <v>4116</v>
      </c>
    </row>
    <row r="604" spans="1:25" x14ac:dyDescent="0.25">
      <c r="A604">
        <v>603</v>
      </c>
      <c r="B604">
        <v>36347907</v>
      </c>
      <c r="C604" t="s">
        <v>1402</v>
      </c>
      <c r="D604" t="s">
        <v>17</v>
      </c>
      <c r="E604" t="s">
        <v>1328</v>
      </c>
      <c r="F604" t="s">
        <v>1329</v>
      </c>
      <c r="H604" t="s">
        <v>3704</v>
      </c>
      <c r="I604" t="s">
        <v>2890</v>
      </c>
      <c r="J604" t="s">
        <v>1668</v>
      </c>
      <c r="K604" t="s">
        <v>2488</v>
      </c>
      <c r="L604">
        <v>320</v>
      </c>
      <c r="P604" t="s">
        <v>2494</v>
      </c>
      <c r="Q604">
        <v>2017</v>
      </c>
      <c r="R604">
        <v>2017</v>
      </c>
      <c r="S604" s="1"/>
      <c r="T604" s="1">
        <v>43832</v>
      </c>
      <c r="U604" t="s">
        <v>4129</v>
      </c>
      <c r="V604" t="s">
        <v>4114</v>
      </c>
      <c r="W604" t="s">
        <v>4133</v>
      </c>
      <c r="X604" t="s">
        <v>2494</v>
      </c>
      <c r="Y604" t="s">
        <v>4116</v>
      </c>
    </row>
    <row r="605" spans="1:25" x14ac:dyDescent="0.25">
      <c r="A605">
        <v>604</v>
      </c>
      <c r="B605">
        <v>42205516</v>
      </c>
      <c r="C605" t="s">
        <v>1403</v>
      </c>
      <c r="D605" t="s">
        <v>17</v>
      </c>
      <c r="E605" t="s">
        <v>1328</v>
      </c>
      <c r="F605" t="s">
        <v>1329</v>
      </c>
      <c r="H605" t="s">
        <v>3705</v>
      </c>
      <c r="I605" t="s">
        <v>2890</v>
      </c>
      <c r="J605" t="s">
        <v>1668</v>
      </c>
      <c r="K605" t="s">
        <v>2488</v>
      </c>
      <c r="L605">
        <v>336</v>
      </c>
      <c r="P605" t="s">
        <v>2494</v>
      </c>
      <c r="Q605">
        <v>2018</v>
      </c>
      <c r="R605">
        <v>2018</v>
      </c>
      <c r="S605" s="1"/>
      <c r="T605" s="1">
        <v>43832</v>
      </c>
      <c r="U605" t="s">
        <v>4129</v>
      </c>
      <c r="V605" t="s">
        <v>4114</v>
      </c>
      <c r="W605" t="s">
        <v>4133</v>
      </c>
      <c r="X605" t="s">
        <v>2494</v>
      </c>
      <c r="Y605" t="s">
        <v>4116</v>
      </c>
    </row>
    <row r="606" spans="1:25" x14ac:dyDescent="0.25">
      <c r="A606">
        <v>605</v>
      </c>
      <c r="B606">
        <v>42117522</v>
      </c>
      <c r="C606" t="s">
        <v>1404</v>
      </c>
      <c r="D606" t="s">
        <v>17</v>
      </c>
      <c r="E606" t="s">
        <v>1390</v>
      </c>
      <c r="F606" t="s">
        <v>1391</v>
      </c>
      <c r="H606" t="s">
        <v>3706</v>
      </c>
      <c r="I606" t="s">
        <v>2901</v>
      </c>
      <c r="J606" t="s">
        <v>2339</v>
      </c>
      <c r="K606" t="s">
        <v>2488</v>
      </c>
      <c r="L606">
        <v>306</v>
      </c>
      <c r="P606" t="s">
        <v>2494</v>
      </c>
      <c r="Q606">
        <v>2018</v>
      </c>
      <c r="R606">
        <v>2018</v>
      </c>
      <c r="S606" s="1"/>
      <c r="T606" s="1">
        <v>43832</v>
      </c>
      <c r="U606" t="s">
        <v>4130</v>
      </c>
      <c r="V606" t="s">
        <v>4131</v>
      </c>
      <c r="W606" t="s">
        <v>4133</v>
      </c>
      <c r="X606" t="s">
        <v>2494</v>
      </c>
      <c r="Y606" t="s">
        <v>4125</v>
      </c>
    </row>
    <row r="607" spans="1:25" x14ac:dyDescent="0.25">
      <c r="A607">
        <v>606</v>
      </c>
      <c r="B607">
        <v>34928122</v>
      </c>
      <c r="C607" t="s">
        <v>1405</v>
      </c>
      <c r="D607" t="s">
        <v>17</v>
      </c>
      <c r="E607" t="s">
        <v>901</v>
      </c>
      <c r="F607" t="s">
        <v>902</v>
      </c>
      <c r="H607" t="s">
        <v>3707</v>
      </c>
      <c r="I607" t="s">
        <v>2901</v>
      </c>
      <c r="J607" t="s">
        <v>2259</v>
      </c>
      <c r="K607" t="s">
        <v>2488</v>
      </c>
      <c r="L607">
        <v>305</v>
      </c>
      <c r="P607" t="s">
        <v>2494</v>
      </c>
      <c r="Q607">
        <v>2017</v>
      </c>
      <c r="R607">
        <v>2017</v>
      </c>
      <c r="S607" s="1"/>
      <c r="T607" s="1">
        <v>43832</v>
      </c>
      <c r="U607" t="s">
        <v>4113</v>
      </c>
      <c r="V607" t="s">
        <v>4114</v>
      </c>
      <c r="W607" t="s">
        <v>4121</v>
      </c>
      <c r="X607" t="s">
        <v>2603</v>
      </c>
      <c r="Y607" t="s">
        <v>4116</v>
      </c>
    </row>
    <row r="608" spans="1:25" x14ac:dyDescent="0.25">
      <c r="A608">
        <v>607</v>
      </c>
      <c r="B608">
        <v>38359036</v>
      </c>
      <c r="C608" t="s">
        <v>3708</v>
      </c>
      <c r="D608" t="s">
        <v>1407</v>
      </c>
      <c r="E608" t="s">
        <v>1408</v>
      </c>
      <c r="F608" t="s">
        <v>1409</v>
      </c>
      <c r="H608" t="s">
        <v>3709</v>
      </c>
      <c r="I608" t="s">
        <v>2890</v>
      </c>
      <c r="J608" t="s">
        <v>2342</v>
      </c>
      <c r="K608" t="s">
        <v>2488</v>
      </c>
      <c r="L608">
        <v>272</v>
      </c>
      <c r="P608" t="s">
        <v>2603</v>
      </c>
      <c r="Q608">
        <v>2018</v>
      </c>
      <c r="R608">
        <v>2018</v>
      </c>
      <c r="S608" s="1"/>
      <c r="T608" s="1">
        <v>43832</v>
      </c>
      <c r="U608" t="s">
        <v>4138</v>
      </c>
      <c r="V608" t="s">
        <v>4114</v>
      </c>
      <c r="W608" t="s">
        <v>4161</v>
      </c>
      <c r="X608" t="s">
        <v>2603</v>
      </c>
      <c r="Y608" t="s">
        <v>4125</v>
      </c>
    </row>
    <row r="609" spans="1:25" x14ac:dyDescent="0.25">
      <c r="A609">
        <v>608</v>
      </c>
      <c r="B609">
        <v>41715791</v>
      </c>
      <c r="C609" t="s">
        <v>1410</v>
      </c>
      <c r="D609" t="s">
        <v>17</v>
      </c>
      <c r="E609" t="s">
        <v>62</v>
      </c>
      <c r="F609" t="s">
        <v>63</v>
      </c>
      <c r="H609" t="s">
        <v>3710</v>
      </c>
      <c r="I609" t="s">
        <v>2890</v>
      </c>
      <c r="J609" t="s">
        <v>1668</v>
      </c>
      <c r="K609" t="s">
        <v>2488</v>
      </c>
      <c r="L609">
        <v>272</v>
      </c>
      <c r="P609" t="s">
        <v>2494</v>
      </c>
      <c r="Q609">
        <v>2018</v>
      </c>
      <c r="R609">
        <v>2018</v>
      </c>
      <c r="S609" s="1"/>
      <c r="T609" s="1">
        <v>43832</v>
      </c>
      <c r="U609" t="s">
        <v>4132</v>
      </c>
      <c r="V609" t="s">
        <v>4114</v>
      </c>
      <c r="W609" t="s">
        <v>4133</v>
      </c>
      <c r="X609" t="s">
        <v>2494</v>
      </c>
      <c r="Y609" t="s">
        <v>4116</v>
      </c>
    </row>
    <row r="610" spans="1:25" x14ac:dyDescent="0.25">
      <c r="A610">
        <v>609</v>
      </c>
      <c r="B610">
        <v>36354944</v>
      </c>
      <c r="C610" t="s">
        <v>1411</v>
      </c>
      <c r="D610" t="s">
        <v>17</v>
      </c>
      <c r="E610" t="s">
        <v>62</v>
      </c>
      <c r="F610" t="s">
        <v>63</v>
      </c>
      <c r="H610" t="s">
        <v>3711</v>
      </c>
      <c r="I610" t="s">
        <v>2890</v>
      </c>
      <c r="J610" t="s">
        <v>1668</v>
      </c>
      <c r="K610" t="s">
        <v>2488</v>
      </c>
      <c r="L610">
        <v>664</v>
      </c>
      <c r="P610" t="s">
        <v>2494</v>
      </c>
      <c r="Q610">
        <v>2017</v>
      </c>
      <c r="R610">
        <v>2017</v>
      </c>
      <c r="S610" s="1"/>
      <c r="T610" s="1">
        <v>43832</v>
      </c>
      <c r="U610" t="s">
        <v>4132</v>
      </c>
      <c r="V610" t="s">
        <v>4114</v>
      </c>
      <c r="W610" t="s">
        <v>4133</v>
      </c>
      <c r="X610" t="s">
        <v>2494</v>
      </c>
      <c r="Y610" t="s">
        <v>4116</v>
      </c>
    </row>
    <row r="611" spans="1:25" x14ac:dyDescent="0.25">
      <c r="A611">
        <v>610</v>
      </c>
      <c r="B611">
        <v>18486104</v>
      </c>
      <c r="C611" t="s">
        <v>1412</v>
      </c>
      <c r="D611" t="s">
        <v>17</v>
      </c>
      <c r="E611" t="s">
        <v>1413</v>
      </c>
      <c r="F611" t="s">
        <v>1414</v>
      </c>
      <c r="H611" t="s">
        <v>3712</v>
      </c>
      <c r="I611" t="s">
        <v>2901</v>
      </c>
      <c r="J611" t="s">
        <v>2346</v>
      </c>
      <c r="K611" t="s">
        <v>2488</v>
      </c>
      <c r="L611">
        <v>240</v>
      </c>
      <c r="P611" t="s">
        <v>2494</v>
      </c>
      <c r="Q611">
        <v>2008</v>
      </c>
      <c r="R611">
        <v>2006</v>
      </c>
      <c r="S611" s="1"/>
      <c r="T611" s="1">
        <v>43832</v>
      </c>
      <c r="U611" t="s">
        <v>4157</v>
      </c>
      <c r="V611" t="s">
        <v>4131</v>
      </c>
      <c r="W611" t="s">
        <v>4148</v>
      </c>
      <c r="X611" t="s">
        <v>2486</v>
      </c>
      <c r="Y611" t="s">
        <v>4116</v>
      </c>
    </row>
    <row r="612" spans="1:25" x14ac:dyDescent="0.25">
      <c r="A612">
        <v>611</v>
      </c>
      <c r="B612">
        <v>25331732</v>
      </c>
      <c r="C612" t="s">
        <v>2779</v>
      </c>
      <c r="D612" t="s">
        <v>17</v>
      </c>
      <c r="E612" t="s">
        <v>2780</v>
      </c>
      <c r="F612" t="s">
        <v>2781</v>
      </c>
      <c r="H612" t="s">
        <v>3713</v>
      </c>
      <c r="I612" t="s">
        <v>2890</v>
      </c>
      <c r="J612" t="s">
        <v>1723</v>
      </c>
      <c r="K612" t="s">
        <v>2488</v>
      </c>
      <c r="L612">
        <v>244</v>
      </c>
      <c r="P612" t="s">
        <v>2494</v>
      </c>
      <c r="Q612">
        <v>2015</v>
      </c>
      <c r="R612">
        <v>2015</v>
      </c>
      <c r="S612" s="1"/>
      <c r="T612" s="1">
        <v>43832</v>
      </c>
      <c r="U612" t="s">
        <v>4140</v>
      </c>
      <c r="V612" t="s">
        <v>4131</v>
      </c>
      <c r="W612" t="s">
        <v>4121</v>
      </c>
      <c r="X612" t="s">
        <v>2603</v>
      </c>
      <c r="Y612" t="s">
        <v>4116</v>
      </c>
    </row>
    <row r="613" spans="1:25" x14ac:dyDescent="0.25">
      <c r="A613">
        <v>612</v>
      </c>
      <c r="B613">
        <v>28952542</v>
      </c>
      <c r="C613" t="s">
        <v>2782</v>
      </c>
      <c r="D613" t="s">
        <v>17</v>
      </c>
      <c r="E613" t="s">
        <v>1415</v>
      </c>
      <c r="F613" t="s">
        <v>1416</v>
      </c>
      <c r="H613" t="s">
        <v>3714</v>
      </c>
      <c r="I613" t="s">
        <v>2901</v>
      </c>
      <c r="J613" t="s">
        <v>1668</v>
      </c>
      <c r="K613" t="s">
        <v>2488</v>
      </c>
      <c r="L613">
        <v>368</v>
      </c>
      <c r="P613" t="s">
        <v>2494</v>
      </c>
      <c r="Q613">
        <v>2016</v>
      </c>
      <c r="R613">
        <v>2014</v>
      </c>
      <c r="S613" s="1"/>
      <c r="T613" s="1">
        <v>43832</v>
      </c>
      <c r="U613" t="s">
        <v>4149</v>
      </c>
      <c r="V613" t="s">
        <v>4114</v>
      </c>
      <c r="W613" t="s">
        <v>4115</v>
      </c>
      <c r="X613" t="s">
        <v>2603</v>
      </c>
      <c r="Y613" t="s">
        <v>4125</v>
      </c>
    </row>
    <row r="614" spans="1:25" x14ac:dyDescent="0.25">
      <c r="A614">
        <v>613</v>
      </c>
      <c r="B614">
        <v>33369264</v>
      </c>
      <c r="C614" t="s">
        <v>2783</v>
      </c>
      <c r="D614" t="s">
        <v>17</v>
      </c>
      <c r="E614" t="s">
        <v>170</v>
      </c>
      <c r="F614" t="s">
        <v>171</v>
      </c>
      <c r="H614" t="s">
        <v>3715</v>
      </c>
      <c r="I614" t="s">
        <v>2933</v>
      </c>
      <c r="J614" t="s">
        <v>2686</v>
      </c>
      <c r="K614" t="s">
        <v>2488</v>
      </c>
      <c r="L614">
        <v>316</v>
      </c>
      <c r="P614" t="s">
        <v>2486</v>
      </c>
      <c r="Q614">
        <v>2017</v>
      </c>
      <c r="R614">
        <v>2012</v>
      </c>
      <c r="S614" s="1"/>
      <c r="T614" s="1">
        <v>43832</v>
      </c>
      <c r="U614" t="s">
        <v>4129</v>
      </c>
      <c r="V614" t="s">
        <v>4114</v>
      </c>
      <c r="W614" t="s">
        <v>4144</v>
      </c>
      <c r="X614" t="s">
        <v>4124</v>
      </c>
      <c r="Y614" t="s">
        <v>4116</v>
      </c>
    </row>
    <row r="615" spans="1:25" x14ac:dyDescent="0.25">
      <c r="A615">
        <v>614</v>
      </c>
      <c r="B615">
        <v>769016</v>
      </c>
      <c r="C615" t="s">
        <v>2784</v>
      </c>
      <c r="D615" t="s">
        <v>17</v>
      </c>
      <c r="E615" t="s">
        <v>1227</v>
      </c>
      <c r="F615" t="s">
        <v>1228</v>
      </c>
      <c r="H615" t="s">
        <v>3716</v>
      </c>
      <c r="I615" t="s">
        <v>2890</v>
      </c>
      <c r="J615" t="s">
        <v>2785</v>
      </c>
      <c r="K615" t="s">
        <v>2488</v>
      </c>
      <c r="L615">
        <v>286</v>
      </c>
      <c r="P615" t="s">
        <v>2494</v>
      </c>
      <c r="Q615">
        <v>2016</v>
      </c>
      <c r="R615">
        <v>1980</v>
      </c>
      <c r="S615" s="1"/>
      <c r="T615" s="1">
        <v>43832</v>
      </c>
      <c r="U615" t="s">
        <v>4130</v>
      </c>
      <c r="V615" t="s">
        <v>4131</v>
      </c>
      <c r="W615" t="s">
        <v>4121</v>
      </c>
      <c r="X615" t="s">
        <v>2603</v>
      </c>
      <c r="Y615" t="s">
        <v>4125</v>
      </c>
    </row>
    <row r="616" spans="1:25" x14ac:dyDescent="0.25">
      <c r="A616">
        <v>615</v>
      </c>
      <c r="B616">
        <v>29537167</v>
      </c>
      <c r="C616" t="s">
        <v>2786</v>
      </c>
      <c r="D616" t="s">
        <v>17</v>
      </c>
      <c r="E616" t="s">
        <v>1417</v>
      </c>
      <c r="F616" t="s">
        <v>1418</v>
      </c>
      <c r="H616" t="s">
        <v>3717</v>
      </c>
      <c r="I616" t="s">
        <v>2890</v>
      </c>
      <c r="J616" t="s">
        <v>2787</v>
      </c>
      <c r="K616" t="s">
        <v>2488</v>
      </c>
      <c r="L616">
        <v>192</v>
      </c>
      <c r="P616" t="s">
        <v>2494</v>
      </c>
      <c r="Q616">
        <v>2016</v>
      </c>
      <c r="R616">
        <v>2016</v>
      </c>
      <c r="S616" s="1"/>
      <c r="T616" s="1">
        <v>43832</v>
      </c>
      <c r="U616" t="s">
        <v>4130</v>
      </c>
      <c r="V616" t="s">
        <v>4131</v>
      </c>
      <c r="W616" t="s">
        <v>4115</v>
      </c>
      <c r="X616" t="s">
        <v>2603</v>
      </c>
      <c r="Y616" t="s">
        <v>4125</v>
      </c>
    </row>
    <row r="617" spans="1:25" x14ac:dyDescent="0.25">
      <c r="A617">
        <v>616</v>
      </c>
      <c r="B617">
        <v>32953221</v>
      </c>
      <c r="C617" t="s">
        <v>1419</v>
      </c>
      <c r="D617" t="s">
        <v>17</v>
      </c>
      <c r="E617" t="s">
        <v>1420</v>
      </c>
      <c r="F617" t="s">
        <v>1421</v>
      </c>
      <c r="H617" t="s">
        <v>3718</v>
      </c>
      <c r="I617" t="s">
        <v>2933</v>
      </c>
      <c r="J617" t="s">
        <v>1668</v>
      </c>
      <c r="K617" t="s">
        <v>2488</v>
      </c>
      <c r="L617">
        <v>368</v>
      </c>
      <c r="P617" t="s">
        <v>2494</v>
      </c>
      <c r="Q617">
        <v>2016</v>
      </c>
      <c r="R617">
        <v>2016</v>
      </c>
      <c r="S617" s="1"/>
      <c r="T617" s="1">
        <v>43832</v>
      </c>
      <c r="U617" t="s">
        <v>4135</v>
      </c>
      <c r="V617" t="s">
        <v>4131</v>
      </c>
      <c r="W617" t="s">
        <v>4133</v>
      </c>
      <c r="X617" t="s">
        <v>2494</v>
      </c>
      <c r="Y617" t="s">
        <v>4125</v>
      </c>
    </row>
    <row r="618" spans="1:25" x14ac:dyDescent="0.25">
      <c r="A618">
        <v>617</v>
      </c>
      <c r="B618">
        <v>20929191</v>
      </c>
      <c r="C618" t="s">
        <v>2788</v>
      </c>
      <c r="D618" t="s">
        <v>17</v>
      </c>
      <c r="E618" t="s">
        <v>1422</v>
      </c>
      <c r="F618" t="s">
        <v>1423</v>
      </c>
      <c r="H618" t="s">
        <v>3719</v>
      </c>
      <c r="I618" t="s">
        <v>2901</v>
      </c>
      <c r="J618" t="s">
        <v>1668</v>
      </c>
      <c r="K618" t="s">
        <v>57</v>
      </c>
      <c r="L618">
        <v>315</v>
      </c>
      <c r="P618" t="s">
        <v>2494</v>
      </c>
      <c r="Q618">
        <v>2013</v>
      </c>
      <c r="R618">
        <v>2013</v>
      </c>
      <c r="S618" s="1"/>
      <c r="T618" s="1">
        <v>43832</v>
      </c>
      <c r="U618" t="s">
        <v>4134</v>
      </c>
      <c r="V618" t="s">
        <v>4114</v>
      </c>
      <c r="W618" t="s">
        <v>4123</v>
      </c>
      <c r="X618" t="s">
        <v>4124</v>
      </c>
      <c r="Y618" t="s">
        <v>4116</v>
      </c>
    </row>
    <row r="619" spans="1:25" x14ac:dyDescent="0.25">
      <c r="A619">
        <v>618</v>
      </c>
      <c r="B619">
        <v>32064868</v>
      </c>
      <c r="C619" t="s">
        <v>1424</v>
      </c>
      <c r="D619" t="s">
        <v>17</v>
      </c>
      <c r="E619" t="s">
        <v>1393</v>
      </c>
      <c r="F619" t="s">
        <v>1394</v>
      </c>
      <c r="H619" t="s">
        <v>3720</v>
      </c>
      <c r="I619" t="s">
        <v>2890</v>
      </c>
      <c r="J619" t="s">
        <v>1668</v>
      </c>
      <c r="K619" t="s">
        <v>2488</v>
      </c>
      <c r="L619">
        <v>256</v>
      </c>
      <c r="P619" t="s">
        <v>2494</v>
      </c>
      <c r="Q619">
        <v>2016</v>
      </c>
      <c r="R619">
        <v>2016</v>
      </c>
      <c r="S619" s="1"/>
      <c r="T619" s="1">
        <v>43832</v>
      </c>
      <c r="U619" t="s">
        <v>4149</v>
      </c>
      <c r="V619" t="s">
        <v>4114</v>
      </c>
      <c r="W619" t="s">
        <v>4133</v>
      </c>
      <c r="X619" t="s">
        <v>2494</v>
      </c>
      <c r="Y619" t="s">
        <v>4125</v>
      </c>
    </row>
    <row r="620" spans="1:25" x14ac:dyDescent="0.25">
      <c r="A620">
        <v>619</v>
      </c>
      <c r="B620">
        <v>29056083</v>
      </c>
      <c r="C620" t="s">
        <v>3721</v>
      </c>
      <c r="D620" t="s">
        <v>1426</v>
      </c>
      <c r="E620" t="s">
        <v>1427</v>
      </c>
      <c r="F620" t="s">
        <v>1428</v>
      </c>
      <c r="H620" t="s">
        <v>3722</v>
      </c>
      <c r="I620" t="s">
        <v>2901</v>
      </c>
      <c r="J620" t="s">
        <v>2355</v>
      </c>
      <c r="K620" t="s">
        <v>57</v>
      </c>
      <c r="L620">
        <v>343</v>
      </c>
      <c r="P620" t="s">
        <v>2486</v>
      </c>
      <c r="Q620">
        <v>2016</v>
      </c>
      <c r="R620">
        <v>2016</v>
      </c>
      <c r="S620" s="1"/>
      <c r="T620" s="1">
        <v>43832</v>
      </c>
      <c r="U620" t="s">
        <v>4120</v>
      </c>
      <c r="V620" t="s">
        <v>4114</v>
      </c>
      <c r="W620" t="s">
        <v>4115</v>
      </c>
      <c r="X620" t="s">
        <v>2603</v>
      </c>
      <c r="Y620" t="s">
        <v>4125</v>
      </c>
    </row>
    <row r="621" spans="1:25" x14ac:dyDescent="0.25">
      <c r="A621">
        <v>620</v>
      </c>
      <c r="B621">
        <v>32336502</v>
      </c>
      <c r="C621" t="s">
        <v>1429</v>
      </c>
      <c r="D621" t="s">
        <v>17</v>
      </c>
      <c r="E621" t="s">
        <v>62</v>
      </c>
      <c r="F621" t="s">
        <v>63</v>
      </c>
      <c r="H621" t="s">
        <v>3723</v>
      </c>
      <c r="I621" t="s">
        <v>2933</v>
      </c>
      <c r="J621" t="s">
        <v>1668</v>
      </c>
      <c r="K621" t="s">
        <v>57</v>
      </c>
      <c r="L621">
        <v>368</v>
      </c>
      <c r="P621" t="s">
        <v>2494</v>
      </c>
      <c r="Q621">
        <v>2016</v>
      </c>
      <c r="R621">
        <v>2016</v>
      </c>
      <c r="S621" s="1"/>
      <c r="T621" s="1">
        <v>43832</v>
      </c>
      <c r="U621" t="s">
        <v>4132</v>
      </c>
      <c r="V621" t="s">
        <v>4114</v>
      </c>
      <c r="W621" t="s">
        <v>4133</v>
      </c>
      <c r="X621" t="s">
        <v>2494</v>
      </c>
      <c r="Y621" t="s">
        <v>4116</v>
      </c>
    </row>
    <row r="622" spans="1:25" x14ac:dyDescent="0.25">
      <c r="A622">
        <v>621</v>
      </c>
      <c r="B622">
        <v>33797433</v>
      </c>
      <c r="C622" t="s">
        <v>1430</v>
      </c>
      <c r="D622" t="s">
        <v>17</v>
      </c>
      <c r="E622" t="s">
        <v>1431</v>
      </c>
      <c r="F622" t="s">
        <v>1432</v>
      </c>
      <c r="H622" t="s">
        <v>3724</v>
      </c>
      <c r="I622" t="s">
        <v>2890</v>
      </c>
      <c r="J622" t="s">
        <v>1668</v>
      </c>
      <c r="K622" t="s">
        <v>2488</v>
      </c>
      <c r="L622">
        <v>237</v>
      </c>
      <c r="P622" t="s">
        <v>2494</v>
      </c>
      <c r="Q622">
        <v>2016</v>
      </c>
      <c r="R622">
        <v>2016</v>
      </c>
      <c r="S622" s="1"/>
      <c r="T622" s="1">
        <v>43832</v>
      </c>
      <c r="U622" t="s">
        <v>4134</v>
      </c>
      <c r="V622" t="s">
        <v>4114</v>
      </c>
      <c r="W622" t="s">
        <v>4133</v>
      </c>
      <c r="X622" t="s">
        <v>2494</v>
      </c>
      <c r="Y622" t="s">
        <v>4125</v>
      </c>
    </row>
    <row r="623" spans="1:25" x14ac:dyDescent="0.25">
      <c r="A623">
        <v>622</v>
      </c>
      <c r="B623">
        <v>30185040</v>
      </c>
      <c r="C623" t="s">
        <v>1433</v>
      </c>
      <c r="D623" t="s">
        <v>17</v>
      </c>
      <c r="E623" t="s">
        <v>1254</v>
      </c>
      <c r="F623" t="s">
        <v>1255</v>
      </c>
      <c r="H623" t="s">
        <v>3725</v>
      </c>
      <c r="I623" t="s">
        <v>2901</v>
      </c>
      <c r="J623" t="s">
        <v>1730</v>
      </c>
      <c r="K623" t="s">
        <v>2488</v>
      </c>
      <c r="L623">
        <v>224</v>
      </c>
      <c r="P623" t="s">
        <v>2494</v>
      </c>
      <c r="Q623">
        <v>2016</v>
      </c>
      <c r="R623">
        <v>2016</v>
      </c>
      <c r="S623" s="1"/>
      <c r="T623" s="1">
        <v>43832</v>
      </c>
      <c r="U623" t="s">
        <v>4149</v>
      </c>
      <c r="V623" t="s">
        <v>4114</v>
      </c>
      <c r="W623" t="s">
        <v>4133</v>
      </c>
      <c r="X623" t="s">
        <v>2494</v>
      </c>
      <c r="Y623" t="s">
        <v>4125</v>
      </c>
    </row>
    <row r="624" spans="1:25" x14ac:dyDescent="0.25">
      <c r="A624">
        <v>623</v>
      </c>
      <c r="B624">
        <v>9969571</v>
      </c>
      <c r="C624" t="s">
        <v>3726</v>
      </c>
      <c r="D624" t="s">
        <v>1435</v>
      </c>
      <c r="E624" t="s">
        <v>871</v>
      </c>
      <c r="F624" t="s">
        <v>872</v>
      </c>
      <c r="H624" t="s">
        <v>3727</v>
      </c>
      <c r="I624" t="s">
        <v>2901</v>
      </c>
      <c r="J624" t="s">
        <v>1668</v>
      </c>
      <c r="K624" t="s">
        <v>57</v>
      </c>
      <c r="L624">
        <v>480</v>
      </c>
      <c r="P624" t="s">
        <v>2494</v>
      </c>
      <c r="Q624">
        <v>2011</v>
      </c>
      <c r="R624">
        <v>2011</v>
      </c>
      <c r="S624" s="1"/>
      <c r="T624" s="1">
        <v>43832</v>
      </c>
      <c r="U624" t="s">
        <v>4113</v>
      </c>
      <c r="V624" t="s">
        <v>4114</v>
      </c>
      <c r="W624" t="s">
        <v>4121</v>
      </c>
      <c r="X624" t="s">
        <v>2603</v>
      </c>
      <c r="Y624" t="s">
        <v>4116</v>
      </c>
    </row>
    <row r="625" spans="1:25" x14ac:dyDescent="0.25">
      <c r="A625">
        <v>624</v>
      </c>
      <c r="B625">
        <v>39280444</v>
      </c>
      <c r="C625" t="s">
        <v>2789</v>
      </c>
      <c r="D625" t="s">
        <v>17</v>
      </c>
      <c r="E625" t="s">
        <v>1436</v>
      </c>
      <c r="F625" t="s">
        <v>1437</v>
      </c>
      <c r="H625" t="s">
        <v>3728</v>
      </c>
      <c r="I625" t="s">
        <v>2890</v>
      </c>
      <c r="J625" t="s">
        <v>2047</v>
      </c>
      <c r="K625" t="s">
        <v>2488</v>
      </c>
      <c r="L625">
        <v>224</v>
      </c>
      <c r="P625" t="s">
        <v>2494</v>
      </c>
      <c r="Q625">
        <v>2019</v>
      </c>
      <c r="R625">
        <v>1999</v>
      </c>
      <c r="S625" s="1"/>
      <c r="T625" s="1">
        <v>43832</v>
      </c>
      <c r="U625" t="s">
        <v>4136</v>
      </c>
      <c r="V625" t="s">
        <v>4114</v>
      </c>
      <c r="W625" t="s">
        <v>4121</v>
      </c>
      <c r="X625" t="s">
        <v>2603</v>
      </c>
      <c r="Y625" t="s">
        <v>4125</v>
      </c>
    </row>
    <row r="626" spans="1:25" x14ac:dyDescent="0.25">
      <c r="A626">
        <v>625</v>
      </c>
      <c r="B626">
        <v>33113864</v>
      </c>
      <c r="C626" t="s">
        <v>3729</v>
      </c>
      <c r="D626" t="s">
        <v>1439</v>
      </c>
      <c r="E626" t="s">
        <v>250</v>
      </c>
      <c r="F626" t="s">
        <v>251</v>
      </c>
      <c r="H626" t="s">
        <v>3730</v>
      </c>
      <c r="I626" t="s">
        <v>2901</v>
      </c>
      <c r="J626" t="s">
        <v>1668</v>
      </c>
      <c r="K626" t="s">
        <v>2488</v>
      </c>
      <c r="L626">
        <v>497</v>
      </c>
      <c r="P626" t="s">
        <v>2494</v>
      </c>
      <c r="Q626">
        <v>2016</v>
      </c>
      <c r="R626">
        <v>2015</v>
      </c>
      <c r="S626" s="1"/>
      <c r="T626" s="1">
        <v>43832</v>
      </c>
      <c r="U626" t="s">
        <v>4113</v>
      </c>
      <c r="V626" t="s">
        <v>4114</v>
      </c>
      <c r="W626" t="s">
        <v>4150</v>
      </c>
      <c r="X626" t="s">
        <v>4151</v>
      </c>
      <c r="Y626" t="s">
        <v>4116</v>
      </c>
    </row>
    <row r="627" spans="1:25" x14ac:dyDescent="0.25">
      <c r="A627">
        <v>626</v>
      </c>
      <c r="B627">
        <v>23492671</v>
      </c>
      <c r="C627" t="s">
        <v>2790</v>
      </c>
      <c r="D627" t="s">
        <v>1440</v>
      </c>
      <c r="E627" t="s">
        <v>1441</v>
      </c>
      <c r="F627" t="s">
        <v>1442</v>
      </c>
      <c r="H627" t="s">
        <v>3731</v>
      </c>
      <c r="I627" t="s">
        <v>2917</v>
      </c>
      <c r="J627" t="s">
        <v>2776</v>
      </c>
      <c r="K627" t="s">
        <v>2488</v>
      </c>
      <c r="L627">
        <v>368</v>
      </c>
      <c r="P627" t="s">
        <v>2494</v>
      </c>
      <c r="Q627">
        <v>2015</v>
      </c>
      <c r="R627">
        <v>2014</v>
      </c>
      <c r="S627" s="1"/>
      <c r="T627" s="1">
        <v>43832</v>
      </c>
      <c r="U627" t="s">
        <v>4149</v>
      </c>
      <c r="V627" t="s">
        <v>4114</v>
      </c>
      <c r="W627" t="s">
        <v>4156</v>
      </c>
      <c r="X627" t="s">
        <v>2603</v>
      </c>
      <c r="Y627" t="s">
        <v>4116</v>
      </c>
    </row>
    <row r="628" spans="1:25" x14ac:dyDescent="0.25">
      <c r="A628">
        <v>627</v>
      </c>
      <c r="B628">
        <v>17913699</v>
      </c>
      <c r="C628" t="s">
        <v>1443</v>
      </c>
      <c r="D628" t="s">
        <v>17</v>
      </c>
      <c r="E628" t="s">
        <v>1444</v>
      </c>
      <c r="F628" t="s">
        <v>1445</v>
      </c>
      <c r="H628" t="s">
        <v>3732</v>
      </c>
      <c r="I628" t="s">
        <v>2901</v>
      </c>
      <c r="J628" t="s">
        <v>1668</v>
      </c>
      <c r="K628" t="s">
        <v>2488</v>
      </c>
      <c r="L628">
        <v>288</v>
      </c>
      <c r="P628" t="s">
        <v>2494</v>
      </c>
      <c r="Q628">
        <v>2013</v>
      </c>
      <c r="R628">
        <v>2013</v>
      </c>
      <c r="S628" s="1"/>
      <c r="T628" s="1">
        <v>43832</v>
      </c>
      <c r="U628" t="s">
        <v>4149</v>
      </c>
      <c r="V628" t="s">
        <v>4114</v>
      </c>
      <c r="W628" t="s">
        <v>4133</v>
      </c>
      <c r="X628" t="s">
        <v>2494</v>
      </c>
      <c r="Y628" t="s">
        <v>4125</v>
      </c>
    </row>
    <row r="629" spans="1:25" x14ac:dyDescent="0.25">
      <c r="A629">
        <v>628</v>
      </c>
      <c r="B629">
        <v>26156140</v>
      </c>
      <c r="C629" t="s">
        <v>2791</v>
      </c>
      <c r="D629" t="s">
        <v>17</v>
      </c>
      <c r="E629" t="s">
        <v>70</v>
      </c>
      <c r="F629" t="s">
        <v>71</v>
      </c>
      <c r="H629" t="s">
        <v>3733</v>
      </c>
      <c r="I629" t="s">
        <v>2890</v>
      </c>
      <c r="J629" t="s">
        <v>1668</v>
      </c>
      <c r="K629" t="s">
        <v>2488</v>
      </c>
      <c r="L629">
        <v>312</v>
      </c>
      <c r="P629" t="s">
        <v>2494</v>
      </c>
      <c r="Q629">
        <v>2016</v>
      </c>
      <c r="R629">
        <v>2015</v>
      </c>
      <c r="S629" s="1"/>
      <c r="T629" s="1">
        <v>43832</v>
      </c>
      <c r="U629" t="s">
        <v>4134</v>
      </c>
      <c r="V629" t="s">
        <v>4114</v>
      </c>
      <c r="W629" t="s">
        <v>4118</v>
      </c>
      <c r="X629" t="s">
        <v>4119</v>
      </c>
      <c r="Y629" t="s">
        <v>4116</v>
      </c>
    </row>
    <row r="630" spans="1:25" x14ac:dyDescent="0.25">
      <c r="A630">
        <v>629</v>
      </c>
      <c r="B630">
        <v>33567307</v>
      </c>
      <c r="C630" t="s">
        <v>1446</v>
      </c>
      <c r="D630" t="s">
        <v>17</v>
      </c>
      <c r="E630" t="s">
        <v>1447</v>
      </c>
      <c r="F630" t="s">
        <v>1448</v>
      </c>
      <c r="H630" t="s">
        <v>3734</v>
      </c>
      <c r="I630" t="s">
        <v>2890</v>
      </c>
      <c r="J630" t="s">
        <v>1668</v>
      </c>
      <c r="K630" t="s">
        <v>2488</v>
      </c>
      <c r="L630">
        <v>384</v>
      </c>
      <c r="P630" t="s">
        <v>2494</v>
      </c>
      <c r="Q630">
        <v>2017</v>
      </c>
      <c r="R630">
        <v>2017</v>
      </c>
      <c r="S630" s="1"/>
      <c r="T630" s="1">
        <v>43832</v>
      </c>
      <c r="U630" t="s">
        <v>4134</v>
      </c>
      <c r="V630" t="s">
        <v>4114</v>
      </c>
      <c r="W630" t="s">
        <v>4133</v>
      </c>
      <c r="X630" t="s">
        <v>2494</v>
      </c>
      <c r="Y630" t="s">
        <v>4125</v>
      </c>
    </row>
    <row r="631" spans="1:25" x14ac:dyDescent="0.25">
      <c r="A631">
        <v>630</v>
      </c>
      <c r="B631">
        <v>26123982</v>
      </c>
      <c r="C631" t="s">
        <v>1449</v>
      </c>
      <c r="D631" t="s">
        <v>17</v>
      </c>
      <c r="E631" t="s">
        <v>1447</v>
      </c>
      <c r="F631" t="s">
        <v>1448</v>
      </c>
      <c r="H631" t="s">
        <v>3735</v>
      </c>
      <c r="I631" t="s">
        <v>2901</v>
      </c>
      <c r="J631" t="s">
        <v>1668</v>
      </c>
      <c r="K631" t="s">
        <v>2488</v>
      </c>
      <c r="L631">
        <v>295</v>
      </c>
      <c r="P631" t="s">
        <v>2494</v>
      </c>
      <c r="Q631">
        <v>2015</v>
      </c>
      <c r="R631">
        <v>2015</v>
      </c>
      <c r="S631" s="1"/>
      <c r="T631" s="1">
        <v>43832</v>
      </c>
      <c r="U631" t="s">
        <v>4134</v>
      </c>
      <c r="V631" t="s">
        <v>4114</v>
      </c>
      <c r="W631" t="s">
        <v>4133</v>
      </c>
      <c r="X631" t="s">
        <v>2494</v>
      </c>
      <c r="Y631" t="s">
        <v>4125</v>
      </c>
    </row>
    <row r="632" spans="1:25" x14ac:dyDescent="0.25">
      <c r="A632">
        <v>631</v>
      </c>
      <c r="B632">
        <v>22237225</v>
      </c>
      <c r="C632" t="s">
        <v>2792</v>
      </c>
      <c r="D632" t="s">
        <v>17</v>
      </c>
      <c r="E632" t="s">
        <v>1450</v>
      </c>
      <c r="F632" t="s">
        <v>1451</v>
      </c>
      <c r="H632" t="s">
        <v>3736</v>
      </c>
      <c r="I632" t="s">
        <v>2917</v>
      </c>
      <c r="J632" t="s">
        <v>1668</v>
      </c>
      <c r="K632" t="s">
        <v>57</v>
      </c>
      <c r="L632">
        <v>258</v>
      </c>
      <c r="P632" t="s">
        <v>2494</v>
      </c>
      <c r="Q632">
        <v>2015</v>
      </c>
      <c r="R632">
        <v>2015</v>
      </c>
      <c r="S632" s="1"/>
      <c r="T632" s="1">
        <v>43832</v>
      </c>
      <c r="U632" t="s">
        <v>4168</v>
      </c>
      <c r="V632" t="s">
        <v>4131</v>
      </c>
      <c r="W632" t="s">
        <v>4121</v>
      </c>
      <c r="X632" t="s">
        <v>2603</v>
      </c>
      <c r="Y632" t="s">
        <v>4116</v>
      </c>
    </row>
    <row r="633" spans="1:25" x14ac:dyDescent="0.25">
      <c r="A633">
        <v>632</v>
      </c>
      <c r="B633">
        <v>22554261</v>
      </c>
      <c r="C633" t="s">
        <v>3737</v>
      </c>
      <c r="D633" t="s">
        <v>1453</v>
      </c>
      <c r="E633" t="s">
        <v>184</v>
      </c>
      <c r="F633" t="s">
        <v>185</v>
      </c>
      <c r="H633" t="s">
        <v>3738</v>
      </c>
      <c r="I633" t="s">
        <v>2933</v>
      </c>
      <c r="J633" t="s">
        <v>1668</v>
      </c>
      <c r="K633" t="s">
        <v>57</v>
      </c>
      <c r="L633">
        <v>603</v>
      </c>
      <c r="P633" t="s">
        <v>2486</v>
      </c>
      <c r="Q633">
        <v>2014</v>
      </c>
      <c r="R633">
        <v>2014</v>
      </c>
      <c r="S633" s="1"/>
      <c r="T633" s="1">
        <v>43832</v>
      </c>
      <c r="U633" t="s">
        <v>4117</v>
      </c>
      <c r="V633" t="s">
        <v>4114</v>
      </c>
      <c r="W633" t="s">
        <v>4118</v>
      </c>
      <c r="X633" t="s">
        <v>4119</v>
      </c>
      <c r="Y633" t="s">
        <v>4145</v>
      </c>
    </row>
    <row r="634" spans="1:25" x14ac:dyDescent="0.25">
      <c r="A634">
        <v>633</v>
      </c>
      <c r="B634">
        <v>27300577</v>
      </c>
      <c r="C634" t="s">
        <v>2793</v>
      </c>
      <c r="D634" t="s">
        <v>17</v>
      </c>
      <c r="E634" t="s">
        <v>250</v>
      </c>
      <c r="F634" t="s">
        <v>251</v>
      </c>
      <c r="H634" t="s">
        <v>3739</v>
      </c>
      <c r="I634" t="s">
        <v>2901</v>
      </c>
      <c r="J634" t="s">
        <v>1668</v>
      </c>
      <c r="K634" t="s">
        <v>2488</v>
      </c>
      <c r="L634">
        <v>626</v>
      </c>
      <c r="P634" t="s">
        <v>2494</v>
      </c>
      <c r="Q634">
        <v>2015</v>
      </c>
      <c r="R634">
        <v>2013</v>
      </c>
      <c r="S634" s="1"/>
      <c r="T634" s="1">
        <v>43832</v>
      </c>
      <c r="U634" t="s">
        <v>4113</v>
      </c>
      <c r="V634" t="s">
        <v>4114</v>
      </c>
      <c r="W634" t="s">
        <v>4150</v>
      </c>
      <c r="X634" t="s">
        <v>4151</v>
      </c>
      <c r="Y634" t="s">
        <v>4116</v>
      </c>
    </row>
    <row r="635" spans="1:25" x14ac:dyDescent="0.25">
      <c r="A635">
        <v>634</v>
      </c>
      <c r="B635">
        <v>7864437</v>
      </c>
      <c r="C635" t="s">
        <v>2794</v>
      </c>
      <c r="D635" t="s">
        <v>1454</v>
      </c>
      <c r="E635" t="s">
        <v>1455</v>
      </c>
      <c r="F635" t="s">
        <v>1456</v>
      </c>
      <c r="H635" t="s">
        <v>3740</v>
      </c>
      <c r="I635" t="s">
        <v>2901</v>
      </c>
      <c r="J635" t="s">
        <v>2047</v>
      </c>
      <c r="K635" t="s">
        <v>57</v>
      </c>
      <c r="L635">
        <v>325</v>
      </c>
      <c r="P635" t="s">
        <v>2486</v>
      </c>
      <c r="Q635">
        <v>2011</v>
      </c>
      <c r="R635">
        <v>2011</v>
      </c>
      <c r="S635" s="1"/>
      <c r="T635" s="1">
        <v>43832</v>
      </c>
      <c r="U635" t="s">
        <v>4136</v>
      </c>
      <c r="V635" t="s">
        <v>4114</v>
      </c>
      <c r="W635" t="s">
        <v>4121</v>
      </c>
      <c r="X635" t="s">
        <v>2603</v>
      </c>
      <c r="Y635" t="s">
        <v>4116</v>
      </c>
    </row>
    <row r="636" spans="1:25" x14ac:dyDescent="0.25">
      <c r="A636">
        <v>635</v>
      </c>
      <c r="B636">
        <v>7631105</v>
      </c>
      <c r="C636" t="s">
        <v>2795</v>
      </c>
      <c r="D636" t="s">
        <v>1457</v>
      </c>
      <c r="E636" t="s">
        <v>1455</v>
      </c>
      <c r="F636" t="s">
        <v>1456</v>
      </c>
      <c r="H636" t="s">
        <v>3741</v>
      </c>
      <c r="I636" t="s">
        <v>2901</v>
      </c>
      <c r="J636" t="s">
        <v>2047</v>
      </c>
      <c r="K636" t="s">
        <v>57</v>
      </c>
      <c r="L636">
        <v>362</v>
      </c>
      <c r="P636" t="s">
        <v>2486</v>
      </c>
      <c r="Q636">
        <v>2010</v>
      </c>
      <c r="R636">
        <v>2010</v>
      </c>
      <c r="S636" s="1"/>
      <c r="T636" s="1">
        <v>43832</v>
      </c>
      <c r="U636" t="s">
        <v>4136</v>
      </c>
      <c r="V636" t="s">
        <v>4114</v>
      </c>
      <c r="W636" t="s">
        <v>4121</v>
      </c>
      <c r="X636" t="s">
        <v>2603</v>
      </c>
      <c r="Y636" t="s">
        <v>4116</v>
      </c>
    </row>
    <row r="637" spans="1:25" x14ac:dyDescent="0.25">
      <c r="A637">
        <v>636</v>
      </c>
      <c r="B637">
        <v>18361982</v>
      </c>
      <c r="C637" t="s">
        <v>3742</v>
      </c>
      <c r="D637" t="s">
        <v>1459</v>
      </c>
      <c r="E637" t="s">
        <v>1460</v>
      </c>
      <c r="F637" t="s">
        <v>1461</v>
      </c>
      <c r="H637" t="s">
        <v>3743</v>
      </c>
      <c r="I637" t="s">
        <v>2890</v>
      </c>
      <c r="J637" t="s">
        <v>2107</v>
      </c>
      <c r="K637" t="s">
        <v>57</v>
      </c>
      <c r="L637">
        <v>369</v>
      </c>
      <c r="P637" t="s">
        <v>2603</v>
      </c>
      <c r="Q637">
        <v>2013</v>
      </c>
      <c r="R637">
        <v>2013</v>
      </c>
      <c r="S637" s="1"/>
      <c r="T637" s="1">
        <v>43832</v>
      </c>
      <c r="U637" t="s">
        <v>4149</v>
      </c>
      <c r="V637" t="s">
        <v>4114</v>
      </c>
      <c r="W637" t="s">
        <v>4115</v>
      </c>
      <c r="X637" t="s">
        <v>2603</v>
      </c>
      <c r="Y637" t="s">
        <v>4125</v>
      </c>
    </row>
    <row r="638" spans="1:25" x14ac:dyDescent="0.25">
      <c r="A638">
        <v>637</v>
      </c>
      <c r="B638">
        <v>17855756</v>
      </c>
      <c r="C638" t="s">
        <v>2797</v>
      </c>
      <c r="D638" t="s">
        <v>1462</v>
      </c>
      <c r="E638" t="s">
        <v>94</v>
      </c>
      <c r="F638" t="s">
        <v>95</v>
      </c>
      <c r="H638" t="s">
        <v>3744</v>
      </c>
      <c r="I638" t="s">
        <v>2933</v>
      </c>
      <c r="J638" t="s">
        <v>2208</v>
      </c>
      <c r="K638" t="s">
        <v>57</v>
      </c>
      <c r="L638">
        <v>458</v>
      </c>
      <c r="P638" t="s">
        <v>2486</v>
      </c>
      <c r="Q638">
        <v>2013</v>
      </c>
      <c r="R638">
        <v>2013</v>
      </c>
      <c r="S638" s="1"/>
      <c r="T638" s="1">
        <v>43832</v>
      </c>
      <c r="U638" t="s">
        <v>4113</v>
      </c>
      <c r="V638" t="s">
        <v>4114</v>
      </c>
      <c r="W638" t="s">
        <v>4121</v>
      </c>
      <c r="X638" t="s">
        <v>2603</v>
      </c>
      <c r="Y638" t="s">
        <v>4116</v>
      </c>
    </row>
    <row r="639" spans="1:25" x14ac:dyDescent="0.25">
      <c r="A639">
        <v>638</v>
      </c>
      <c r="B639">
        <v>17306293</v>
      </c>
      <c r="C639" t="s">
        <v>2798</v>
      </c>
      <c r="D639" t="s">
        <v>1463</v>
      </c>
      <c r="E639" t="s">
        <v>94</v>
      </c>
      <c r="F639" t="s">
        <v>95</v>
      </c>
      <c r="H639" t="s">
        <v>3745</v>
      </c>
      <c r="I639" t="s">
        <v>2933</v>
      </c>
      <c r="J639" t="s">
        <v>2208</v>
      </c>
      <c r="K639" t="s">
        <v>57</v>
      </c>
      <c r="L639">
        <v>579</v>
      </c>
      <c r="P639" t="s">
        <v>2486</v>
      </c>
      <c r="Q639">
        <v>2013</v>
      </c>
      <c r="R639">
        <v>2013</v>
      </c>
      <c r="S639" s="1"/>
      <c r="T639" s="1">
        <v>43832</v>
      </c>
      <c r="U639" t="s">
        <v>4113</v>
      </c>
      <c r="V639" t="s">
        <v>4114</v>
      </c>
      <c r="W639" t="s">
        <v>4121</v>
      </c>
      <c r="X639" t="s">
        <v>2603</v>
      </c>
      <c r="Y639" t="s">
        <v>4116</v>
      </c>
    </row>
    <row r="640" spans="1:25" x14ac:dyDescent="0.25">
      <c r="A640">
        <v>639</v>
      </c>
      <c r="B640">
        <v>13453029</v>
      </c>
      <c r="C640" t="s">
        <v>2796</v>
      </c>
      <c r="D640" t="s">
        <v>1464</v>
      </c>
      <c r="E640" t="s">
        <v>94</v>
      </c>
      <c r="F640" t="s">
        <v>95</v>
      </c>
      <c r="H640" t="s">
        <v>3746</v>
      </c>
      <c r="I640" t="s">
        <v>2933</v>
      </c>
      <c r="J640" t="s">
        <v>1770</v>
      </c>
      <c r="K640" t="s">
        <v>2488</v>
      </c>
      <c r="L640">
        <v>509</v>
      </c>
      <c r="P640" t="s">
        <v>2494</v>
      </c>
      <c r="Q640">
        <v>2012</v>
      </c>
      <c r="R640">
        <v>2012</v>
      </c>
      <c r="S640" s="1"/>
      <c r="T640" s="1">
        <v>43832</v>
      </c>
      <c r="U640" t="s">
        <v>4113</v>
      </c>
      <c r="V640" t="s">
        <v>4114</v>
      </c>
      <c r="W640" t="s">
        <v>4121</v>
      </c>
      <c r="X640" t="s">
        <v>2603</v>
      </c>
      <c r="Y640" t="s">
        <v>4116</v>
      </c>
    </row>
    <row r="641" spans="1:25" x14ac:dyDescent="0.25">
      <c r="A641">
        <v>640</v>
      </c>
      <c r="B641">
        <v>9245915</v>
      </c>
      <c r="C641" t="s">
        <v>1465</v>
      </c>
      <c r="D641" t="s">
        <v>17</v>
      </c>
      <c r="E641" t="s">
        <v>1340</v>
      </c>
      <c r="F641" t="s">
        <v>1341</v>
      </c>
      <c r="H641" t="s">
        <v>3747</v>
      </c>
      <c r="I641" t="s">
        <v>2933</v>
      </c>
      <c r="J641" t="s">
        <v>2235</v>
      </c>
      <c r="K641" t="s">
        <v>2488</v>
      </c>
      <c r="L641">
        <v>280</v>
      </c>
      <c r="P641" t="s">
        <v>2494</v>
      </c>
      <c r="Q641">
        <v>2009</v>
      </c>
      <c r="R641">
        <v>2009</v>
      </c>
      <c r="S641" s="1"/>
      <c r="T641" s="1">
        <v>43832</v>
      </c>
      <c r="U641" t="s">
        <v>4149</v>
      </c>
      <c r="V641" t="s">
        <v>4114</v>
      </c>
      <c r="W641" t="s">
        <v>4133</v>
      </c>
      <c r="X641" t="s">
        <v>2494</v>
      </c>
      <c r="Y641" t="s">
        <v>4125</v>
      </c>
    </row>
    <row r="642" spans="1:25" x14ac:dyDescent="0.25">
      <c r="A642">
        <v>641</v>
      </c>
      <c r="B642">
        <v>21396277</v>
      </c>
      <c r="C642" t="s">
        <v>1466</v>
      </c>
      <c r="D642" t="s">
        <v>2597</v>
      </c>
      <c r="E642" t="s">
        <v>215</v>
      </c>
      <c r="F642" t="s">
        <v>216</v>
      </c>
      <c r="H642" t="s">
        <v>3748</v>
      </c>
      <c r="I642" t="s">
        <v>2890</v>
      </c>
      <c r="J642" t="s">
        <v>1759</v>
      </c>
      <c r="K642" t="s">
        <v>2488</v>
      </c>
      <c r="L642">
        <v>304</v>
      </c>
      <c r="P642" t="s">
        <v>2494</v>
      </c>
      <c r="Q642">
        <v>2014</v>
      </c>
      <c r="R642">
        <v>2014</v>
      </c>
      <c r="S642" s="1"/>
      <c r="T642" s="1">
        <v>43832</v>
      </c>
      <c r="U642" t="s">
        <v>4117</v>
      </c>
      <c r="V642" t="s">
        <v>4114</v>
      </c>
      <c r="W642" t="s">
        <v>4133</v>
      </c>
      <c r="X642" t="s">
        <v>2494</v>
      </c>
      <c r="Y642" t="s">
        <v>4116</v>
      </c>
    </row>
    <row r="643" spans="1:25" x14ac:dyDescent="0.25">
      <c r="A643">
        <v>642</v>
      </c>
      <c r="B643">
        <v>16131489</v>
      </c>
      <c r="C643" t="s">
        <v>2801</v>
      </c>
      <c r="D643" t="s">
        <v>1467</v>
      </c>
      <c r="E643" t="s">
        <v>1468</v>
      </c>
      <c r="F643" t="s">
        <v>1469</v>
      </c>
      <c r="H643" t="s">
        <v>3749</v>
      </c>
      <c r="I643" t="s">
        <v>2901</v>
      </c>
      <c r="J643" t="s">
        <v>1723</v>
      </c>
      <c r="K643" t="s">
        <v>57</v>
      </c>
      <c r="L643">
        <v>338</v>
      </c>
      <c r="P643" t="s">
        <v>2486</v>
      </c>
      <c r="Q643">
        <v>2016</v>
      </c>
      <c r="R643">
        <v>2016</v>
      </c>
      <c r="S643" s="1"/>
      <c r="T643" s="1">
        <v>43832</v>
      </c>
      <c r="U643" t="s">
        <v>4136</v>
      </c>
      <c r="V643" t="s">
        <v>4114</v>
      </c>
      <c r="W643" t="s">
        <v>4121</v>
      </c>
      <c r="X643" t="s">
        <v>2603</v>
      </c>
      <c r="Y643" t="s">
        <v>4116</v>
      </c>
    </row>
    <row r="644" spans="1:25" x14ac:dyDescent="0.25">
      <c r="A644">
        <v>643</v>
      </c>
      <c r="B644">
        <v>16131484</v>
      </c>
      <c r="C644" t="s">
        <v>2800</v>
      </c>
      <c r="D644" t="s">
        <v>1470</v>
      </c>
      <c r="E644" t="s">
        <v>1468</v>
      </c>
      <c r="F644" t="s">
        <v>1469</v>
      </c>
      <c r="H644" t="s">
        <v>3750</v>
      </c>
      <c r="I644" t="s">
        <v>2901</v>
      </c>
      <c r="J644" t="s">
        <v>1723</v>
      </c>
      <c r="K644" t="s">
        <v>57</v>
      </c>
      <c r="L644">
        <v>320</v>
      </c>
      <c r="P644" t="s">
        <v>2486</v>
      </c>
      <c r="Q644">
        <v>2014</v>
      </c>
      <c r="R644">
        <v>2014</v>
      </c>
      <c r="S644" s="1"/>
      <c r="T644" s="1">
        <v>43832</v>
      </c>
      <c r="U644" t="s">
        <v>4136</v>
      </c>
      <c r="V644" t="s">
        <v>4114</v>
      </c>
      <c r="W644" t="s">
        <v>4121</v>
      </c>
      <c r="X644" t="s">
        <v>2603</v>
      </c>
      <c r="Y644" t="s">
        <v>4116</v>
      </c>
    </row>
    <row r="645" spans="1:25" x14ac:dyDescent="0.25">
      <c r="A645">
        <v>644</v>
      </c>
      <c r="B645">
        <v>16101128</v>
      </c>
      <c r="C645" t="s">
        <v>2799</v>
      </c>
      <c r="D645" t="s">
        <v>1471</v>
      </c>
      <c r="E645" t="s">
        <v>1468</v>
      </c>
      <c r="F645" t="s">
        <v>1469</v>
      </c>
      <c r="H645" t="s">
        <v>3751</v>
      </c>
      <c r="I645" t="s">
        <v>2933</v>
      </c>
      <c r="J645" t="s">
        <v>1723</v>
      </c>
      <c r="K645" t="s">
        <v>57</v>
      </c>
      <c r="L645">
        <v>457</v>
      </c>
      <c r="P645" t="s">
        <v>2486</v>
      </c>
      <c r="Q645">
        <v>2013</v>
      </c>
      <c r="R645">
        <v>2013</v>
      </c>
      <c r="S645" s="1"/>
      <c r="T645" s="1">
        <v>43832</v>
      </c>
      <c r="U645" t="s">
        <v>4136</v>
      </c>
      <c r="V645" t="s">
        <v>4114</v>
      </c>
      <c r="W645" t="s">
        <v>4121</v>
      </c>
      <c r="X645" t="s">
        <v>2603</v>
      </c>
      <c r="Y645" t="s">
        <v>4116</v>
      </c>
    </row>
    <row r="646" spans="1:25" x14ac:dyDescent="0.25">
      <c r="A646">
        <v>645</v>
      </c>
      <c r="B646">
        <v>18888566</v>
      </c>
      <c r="C646" t="s">
        <v>1472</v>
      </c>
      <c r="D646" t="s">
        <v>17</v>
      </c>
      <c r="E646" t="s">
        <v>1473</v>
      </c>
      <c r="F646" t="s">
        <v>1474</v>
      </c>
      <c r="H646" t="s">
        <v>3752</v>
      </c>
      <c r="I646" t="s">
        <v>2890</v>
      </c>
      <c r="J646" t="s">
        <v>2377</v>
      </c>
      <c r="K646" t="s">
        <v>2488</v>
      </c>
      <c r="L646">
        <v>130</v>
      </c>
      <c r="P646" t="s">
        <v>2494</v>
      </c>
      <c r="Q646">
        <v>2013</v>
      </c>
      <c r="R646">
        <v>2013</v>
      </c>
      <c r="S646" s="1"/>
      <c r="T646" s="1">
        <v>43832</v>
      </c>
      <c r="U646" t="s">
        <v>4149</v>
      </c>
      <c r="V646" t="s">
        <v>4114</v>
      </c>
      <c r="W646" t="s">
        <v>4133</v>
      </c>
      <c r="X646" t="s">
        <v>2494</v>
      </c>
      <c r="Y646" t="s">
        <v>4125</v>
      </c>
    </row>
    <row r="647" spans="1:25" x14ac:dyDescent="0.25">
      <c r="A647">
        <v>646</v>
      </c>
      <c r="B647">
        <v>15729261</v>
      </c>
      <c r="C647" t="s">
        <v>2802</v>
      </c>
      <c r="D647" t="s">
        <v>1475</v>
      </c>
      <c r="E647" t="s">
        <v>1476</v>
      </c>
      <c r="F647" t="s">
        <v>1477</v>
      </c>
      <c r="H647" t="s">
        <v>3753</v>
      </c>
      <c r="I647" t="s">
        <v>2901</v>
      </c>
      <c r="J647" t="s">
        <v>1668</v>
      </c>
      <c r="K647" t="s">
        <v>2488</v>
      </c>
      <c r="L647">
        <v>328</v>
      </c>
      <c r="P647" t="s">
        <v>2494</v>
      </c>
      <c r="Q647">
        <v>2012</v>
      </c>
      <c r="R647">
        <v>2012</v>
      </c>
      <c r="S647" s="1"/>
      <c r="T647" s="1">
        <v>43832</v>
      </c>
      <c r="U647" t="s">
        <v>4149</v>
      </c>
      <c r="V647" t="s">
        <v>4114</v>
      </c>
      <c r="W647" t="s">
        <v>4121</v>
      </c>
      <c r="X647" t="s">
        <v>2603</v>
      </c>
      <c r="Y647" t="s">
        <v>4125</v>
      </c>
    </row>
    <row r="648" spans="1:25" x14ac:dyDescent="0.25">
      <c r="A648">
        <v>647</v>
      </c>
      <c r="B648">
        <v>13131625</v>
      </c>
      <c r="C648" t="s">
        <v>2803</v>
      </c>
      <c r="D648" t="s">
        <v>17</v>
      </c>
      <c r="E648" t="s">
        <v>1478</v>
      </c>
      <c r="F648" t="s">
        <v>1479</v>
      </c>
      <c r="H648" t="s">
        <v>3754</v>
      </c>
      <c r="I648" t="s">
        <v>2890</v>
      </c>
      <c r="J648" t="s">
        <v>1668</v>
      </c>
      <c r="K648" t="s">
        <v>2488</v>
      </c>
      <c r="L648">
        <v>336</v>
      </c>
      <c r="P648" t="s">
        <v>2494</v>
      </c>
      <c r="Q648">
        <v>2013</v>
      </c>
      <c r="R648">
        <v>2013</v>
      </c>
      <c r="S648" s="1"/>
      <c r="T648" s="1">
        <v>43832</v>
      </c>
      <c r="U648" t="s">
        <v>4129</v>
      </c>
      <c r="V648" t="s">
        <v>4114</v>
      </c>
      <c r="W648" t="s">
        <v>4156</v>
      </c>
      <c r="X648" t="s">
        <v>2603</v>
      </c>
      <c r="Y648" t="s">
        <v>4125</v>
      </c>
    </row>
    <row r="649" spans="1:25" x14ac:dyDescent="0.25">
      <c r="A649">
        <v>648</v>
      </c>
      <c r="B649">
        <v>30965660</v>
      </c>
      <c r="C649" t="s">
        <v>2804</v>
      </c>
      <c r="D649" t="s">
        <v>1480</v>
      </c>
      <c r="E649" t="s">
        <v>1291</v>
      </c>
      <c r="F649" t="s">
        <v>1292</v>
      </c>
      <c r="H649" t="s">
        <v>3755</v>
      </c>
      <c r="I649" t="s">
        <v>2901</v>
      </c>
      <c r="J649" t="s">
        <v>1668</v>
      </c>
      <c r="K649" t="s">
        <v>2488</v>
      </c>
      <c r="L649">
        <v>767</v>
      </c>
      <c r="P649" t="s">
        <v>2494</v>
      </c>
      <c r="Q649">
        <v>2017</v>
      </c>
      <c r="R649">
        <v>2016</v>
      </c>
      <c r="S649" s="1"/>
      <c r="T649" s="1">
        <v>43832</v>
      </c>
      <c r="U649" t="s">
        <v>4117</v>
      </c>
      <c r="V649" t="s">
        <v>4114</v>
      </c>
      <c r="W649" t="s">
        <v>4118</v>
      </c>
      <c r="X649" t="s">
        <v>4119</v>
      </c>
      <c r="Y649" t="s">
        <v>4145</v>
      </c>
    </row>
    <row r="650" spans="1:25" x14ac:dyDescent="0.25">
      <c r="A650">
        <v>649</v>
      </c>
      <c r="B650">
        <v>21094993</v>
      </c>
      <c r="C650" t="s">
        <v>2805</v>
      </c>
      <c r="D650" t="s">
        <v>17</v>
      </c>
      <c r="E650" t="s">
        <v>70</v>
      </c>
      <c r="F650" t="s">
        <v>71</v>
      </c>
      <c r="H650" t="s">
        <v>3756</v>
      </c>
      <c r="I650" t="s">
        <v>2933</v>
      </c>
      <c r="J650" t="s">
        <v>1668</v>
      </c>
      <c r="K650" t="s">
        <v>2488</v>
      </c>
      <c r="L650">
        <v>421</v>
      </c>
      <c r="P650" t="s">
        <v>2494</v>
      </c>
      <c r="Q650">
        <v>2014</v>
      </c>
      <c r="R650">
        <v>2013</v>
      </c>
      <c r="S650" s="1"/>
      <c r="T650" s="1">
        <v>43832</v>
      </c>
      <c r="U650" t="s">
        <v>4134</v>
      </c>
      <c r="V650" t="s">
        <v>4114</v>
      </c>
      <c r="W650" t="s">
        <v>4118</v>
      </c>
      <c r="X650" t="s">
        <v>4119</v>
      </c>
      <c r="Y650" t="s">
        <v>4116</v>
      </c>
    </row>
    <row r="651" spans="1:25" x14ac:dyDescent="0.25">
      <c r="A651">
        <v>650</v>
      </c>
      <c r="B651">
        <v>14165516</v>
      </c>
      <c r="C651" t="s">
        <v>2806</v>
      </c>
      <c r="D651" t="s">
        <v>1481</v>
      </c>
      <c r="E651" t="s">
        <v>1476</v>
      </c>
      <c r="F651" t="s">
        <v>1477</v>
      </c>
      <c r="H651" t="s">
        <v>3757</v>
      </c>
      <c r="I651" t="s">
        <v>2901</v>
      </c>
      <c r="J651" t="s">
        <v>1668</v>
      </c>
      <c r="K651" t="s">
        <v>2488</v>
      </c>
      <c r="L651">
        <v>328</v>
      </c>
      <c r="P651" t="s">
        <v>2494</v>
      </c>
      <c r="Q651">
        <v>2012</v>
      </c>
      <c r="R651">
        <v>2012</v>
      </c>
      <c r="S651" s="1"/>
      <c r="T651" s="1">
        <v>43832</v>
      </c>
      <c r="U651" t="s">
        <v>4149</v>
      </c>
      <c r="V651" t="s">
        <v>4114</v>
      </c>
      <c r="W651" t="s">
        <v>4121</v>
      </c>
      <c r="X651" t="s">
        <v>2603</v>
      </c>
      <c r="Y651" t="s">
        <v>4125</v>
      </c>
    </row>
    <row r="652" spans="1:25" x14ac:dyDescent="0.25">
      <c r="A652">
        <v>651</v>
      </c>
      <c r="B652">
        <v>15803181</v>
      </c>
      <c r="C652" t="s">
        <v>2807</v>
      </c>
      <c r="D652" t="s">
        <v>17</v>
      </c>
      <c r="E652" t="s">
        <v>1482</v>
      </c>
      <c r="F652" t="s">
        <v>1483</v>
      </c>
      <c r="H652" t="s">
        <v>3758</v>
      </c>
      <c r="I652" t="s">
        <v>2917</v>
      </c>
      <c r="J652" t="s">
        <v>1668</v>
      </c>
      <c r="K652" t="s">
        <v>2488</v>
      </c>
      <c r="L652">
        <v>256</v>
      </c>
      <c r="P652" t="s">
        <v>2494</v>
      </c>
      <c r="Q652">
        <v>2013</v>
      </c>
      <c r="R652">
        <v>2013</v>
      </c>
      <c r="S652" s="1"/>
      <c r="T652" s="1">
        <v>43832</v>
      </c>
      <c r="U652" t="s">
        <v>4139</v>
      </c>
      <c r="V652" t="s">
        <v>4131</v>
      </c>
      <c r="W652" t="s">
        <v>4121</v>
      </c>
      <c r="X652" t="s">
        <v>2603</v>
      </c>
      <c r="Y652" t="s">
        <v>4125</v>
      </c>
    </row>
    <row r="653" spans="1:25" x14ac:dyDescent="0.25">
      <c r="A653">
        <v>652</v>
      </c>
      <c r="B653">
        <v>18710190</v>
      </c>
      <c r="C653" t="s">
        <v>2808</v>
      </c>
      <c r="D653" t="s">
        <v>1484</v>
      </c>
      <c r="E653" t="s">
        <v>813</v>
      </c>
      <c r="F653" t="s">
        <v>814</v>
      </c>
      <c r="H653" t="s">
        <v>3759</v>
      </c>
      <c r="I653" t="s">
        <v>2933</v>
      </c>
      <c r="J653" t="s">
        <v>1668</v>
      </c>
      <c r="K653" t="s">
        <v>57</v>
      </c>
      <c r="L653">
        <v>531</v>
      </c>
      <c r="P653" t="s">
        <v>2494</v>
      </c>
      <c r="Q653">
        <v>2013</v>
      </c>
      <c r="R653">
        <v>2013</v>
      </c>
      <c r="S653" s="1"/>
      <c r="T653" s="1">
        <v>43832</v>
      </c>
      <c r="U653" t="s">
        <v>4136</v>
      </c>
      <c r="V653" t="s">
        <v>4114</v>
      </c>
      <c r="W653" t="s">
        <v>4121</v>
      </c>
      <c r="X653" t="s">
        <v>2603</v>
      </c>
      <c r="Y653" t="s">
        <v>4125</v>
      </c>
    </row>
    <row r="654" spans="1:25" x14ac:dyDescent="0.25">
      <c r="A654">
        <v>653</v>
      </c>
      <c r="B654">
        <v>1239618</v>
      </c>
      <c r="C654" t="s">
        <v>1485</v>
      </c>
      <c r="D654" t="s">
        <v>17</v>
      </c>
      <c r="E654" t="s">
        <v>1115</v>
      </c>
      <c r="F654" t="s">
        <v>1116</v>
      </c>
      <c r="H654" t="s">
        <v>3760</v>
      </c>
      <c r="I654" t="s">
        <v>2901</v>
      </c>
      <c r="J654" t="s">
        <v>2811</v>
      </c>
      <c r="K654" t="s">
        <v>57</v>
      </c>
      <c r="L654">
        <v>310</v>
      </c>
      <c r="P654" t="s">
        <v>2603</v>
      </c>
      <c r="Q654">
        <v>2000</v>
      </c>
      <c r="R654">
        <v>2000</v>
      </c>
      <c r="S654" s="1"/>
      <c r="T654" s="1">
        <v>43832</v>
      </c>
      <c r="U654" t="s">
        <v>4149</v>
      </c>
      <c r="V654" t="s">
        <v>4114</v>
      </c>
      <c r="W654" t="s">
        <v>4115</v>
      </c>
      <c r="X654" t="s">
        <v>2603</v>
      </c>
      <c r="Y654" t="s">
        <v>4125</v>
      </c>
    </row>
    <row r="655" spans="1:25" x14ac:dyDescent="0.25">
      <c r="A655">
        <v>654</v>
      </c>
      <c r="B655">
        <v>23190986</v>
      </c>
      <c r="C655" t="s">
        <v>2812</v>
      </c>
      <c r="D655" t="s">
        <v>1486</v>
      </c>
      <c r="E655" t="s">
        <v>302</v>
      </c>
      <c r="F655" t="s">
        <v>303</v>
      </c>
      <c r="H655" t="s">
        <v>3761</v>
      </c>
      <c r="I655" t="s">
        <v>2933</v>
      </c>
      <c r="J655" t="s">
        <v>1723</v>
      </c>
      <c r="K655" t="s">
        <v>2488</v>
      </c>
      <c r="L655">
        <v>968</v>
      </c>
      <c r="P655" t="s">
        <v>2494</v>
      </c>
      <c r="Q655">
        <v>2014</v>
      </c>
      <c r="R655">
        <v>2014</v>
      </c>
      <c r="S655" s="1"/>
      <c r="T655" s="1">
        <v>43832</v>
      </c>
      <c r="U655" t="s">
        <v>4138</v>
      </c>
      <c r="V655" t="s">
        <v>4114</v>
      </c>
      <c r="W655" t="s">
        <v>4115</v>
      </c>
      <c r="X655" t="s">
        <v>2603</v>
      </c>
      <c r="Y655" t="s">
        <v>4116</v>
      </c>
    </row>
    <row r="656" spans="1:25" x14ac:dyDescent="0.25">
      <c r="A656">
        <v>655</v>
      </c>
      <c r="B656">
        <v>12959233</v>
      </c>
      <c r="C656" t="s">
        <v>2813</v>
      </c>
      <c r="D656" t="s">
        <v>1487</v>
      </c>
      <c r="E656" t="s">
        <v>302</v>
      </c>
      <c r="F656" t="s">
        <v>303</v>
      </c>
      <c r="H656" t="s">
        <v>3762</v>
      </c>
      <c r="I656" t="s">
        <v>2933</v>
      </c>
      <c r="J656" t="s">
        <v>1723</v>
      </c>
      <c r="K656" t="s">
        <v>2488</v>
      </c>
      <c r="L656">
        <v>940</v>
      </c>
      <c r="P656" t="s">
        <v>2494</v>
      </c>
      <c r="Q656">
        <v>2012</v>
      </c>
      <c r="R656">
        <v>2012</v>
      </c>
      <c r="S656" s="1"/>
      <c r="T656" s="1">
        <v>43832</v>
      </c>
      <c r="U656" t="s">
        <v>4138</v>
      </c>
      <c r="V656" t="s">
        <v>4114</v>
      </c>
      <c r="W656" t="s">
        <v>4115</v>
      </c>
      <c r="X656" t="s">
        <v>2603</v>
      </c>
      <c r="Y656" t="s">
        <v>4116</v>
      </c>
    </row>
    <row r="657" spans="1:25" x14ac:dyDescent="0.25">
      <c r="A657">
        <v>656</v>
      </c>
      <c r="B657">
        <v>7315573</v>
      </c>
      <c r="C657" t="s">
        <v>2814</v>
      </c>
      <c r="D657" t="s">
        <v>1488</v>
      </c>
      <c r="E657" t="s">
        <v>302</v>
      </c>
      <c r="F657" t="s">
        <v>303</v>
      </c>
      <c r="H657" t="s">
        <v>3763</v>
      </c>
      <c r="I657" t="s">
        <v>2933</v>
      </c>
      <c r="J657" t="s">
        <v>1723</v>
      </c>
      <c r="K657" t="s">
        <v>2488</v>
      </c>
      <c r="L657">
        <v>985</v>
      </c>
      <c r="P657" t="s">
        <v>2494</v>
      </c>
      <c r="Q657">
        <v>2010</v>
      </c>
      <c r="R657">
        <v>2005</v>
      </c>
      <c r="S657" s="1"/>
      <c r="T657" s="1">
        <v>43832</v>
      </c>
      <c r="U657" t="s">
        <v>4138</v>
      </c>
      <c r="V657" t="s">
        <v>4114</v>
      </c>
      <c r="W657" t="s">
        <v>4115</v>
      </c>
      <c r="X657" t="s">
        <v>2603</v>
      </c>
      <c r="Y657" t="s">
        <v>4116</v>
      </c>
    </row>
    <row r="658" spans="1:25" x14ac:dyDescent="0.25">
      <c r="A658">
        <v>657</v>
      </c>
      <c r="B658">
        <v>13648243</v>
      </c>
      <c r="C658" t="s">
        <v>3764</v>
      </c>
      <c r="D658" t="s">
        <v>1490</v>
      </c>
      <c r="E658" t="s">
        <v>1491</v>
      </c>
      <c r="F658" t="s">
        <v>1492</v>
      </c>
      <c r="H658" t="s">
        <v>3765</v>
      </c>
      <c r="I658" t="s">
        <v>2890</v>
      </c>
      <c r="J658" t="s">
        <v>2388</v>
      </c>
      <c r="K658" t="s">
        <v>2488</v>
      </c>
      <c r="L658">
        <v>270</v>
      </c>
      <c r="P658" t="s">
        <v>2494</v>
      </c>
      <c r="Q658">
        <v>2012</v>
      </c>
      <c r="R658">
        <v>2012</v>
      </c>
      <c r="S658" s="1"/>
      <c r="T658" s="1">
        <v>43832</v>
      </c>
      <c r="U658" t="s">
        <v>4134</v>
      </c>
      <c r="V658" t="s">
        <v>4114</v>
      </c>
      <c r="W658" t="s">
        <v>4133</v>
      </c>
      <c r="X658" t="s">
        <v>2494</v>
      </c>
      <c r="Y658" t="s">
        <v>4116</v>
      </c>
    </row>
    <row r="659" spans="1:25" x14ac:dyDescent="0.25">
      <c r="A659">
        <v>658</v>
      </c>
      <c r="B659">
        <v>6202661</v>
      </c>
      <c r="C659" t="s">
        <v>2815</v>
      </c>
      <c r="D659" t="s">
        <v>1493</v>
      </c>
      <c r="E659" t="s">
        <v>1460</v>
      </c>
      <c r="F659" t="s">
        <v>1461</v>
      </c>
      <c r="H659" t="s">
        <v>3766</v>
      </c>
      <c r="I659" t="s">
        <v>2901</v>
      </c>
      <c r="J659" t="s">
        <v>2816</v>
      </c>
      <c r="K659" t="s">
        <v>2488</v>
      </c>
      <c r="L659">
        <v>307</v>
      </c>
      <c r="P659" t="s">
        <v>2486</v>
      </c>
      <c r="Q659">
        <v>2009</v>
      </c>
      <c r="R659">
        <v>2009</v>
      </c>
      <c r="S659" s="1"/>
      <c r="T659" s="1">
        <v>43832</v>
      </c>
      <c r="U659" t="s">
        <v>4149</v>
      </c>
      <c r="V659" t="s">
        <v>4114</v>
      </c>
      <c r="W659" t="s">
        <v>4115</v>
      </c>
      <c r="X659" t="s">
        <v>2603</v>
      </c>
      <c r="Y659" t="s">
        <v>4125</v>
      </c>
    </row>
    <row r="660" spans="1:25" x14ac:dyDescent="0.25">
      <c r="A660">
        <v>659</v>
      </c>
      <c r="B660">
        <v>13486122</v>
      </c>
      <c r="C660" t="s">
        <v>2817</v>
      </c>
      <c r="D660" t="s">
        <v>1494</v>
      </c>
      <c r="E660" t="s">
        <v>1476</v>
      </c>
      <c r="F660" t="s">
        <v>1477</v>
      </c>
      <c r="H660" t="s">
        <v>3767</v>
      </c>
      <c r="I660" t="s">
        <v>2901</v>
      </c>
      <c r="J660" t="s">
        <v>1668</v>
      </c>
      <c r="K660" t="s">
        <v>2488</v>
      </c>
      <c r="L660">
        <v>248</v>
      </c>
      <c r="P660" t="s">
        <v>2494</v>
      </c>
      <c r="Q660">
        <v>2012</v>
      </c>
      <c r="R660">
        <v>2010</v>
      </c>
      <c r="S660" s="1"/>
      <c r="T660" s="1">
        <v>43832</v>
      </c>
      <c r="U660" t="s">
        <v>4149</v>
      </c>
      <c r="V660" t="s">
        <v>4114</v>
      </c>
      <c r="W660" t="s">
        <v>4121</v>
      </c>
      <c r="X660" t="s">
        <v>2603</v>
      </c>
      <c r="Y660" t="s">
        <v>4125</v>
      </c>
    </row>
    <row r="661" spans="1:25" x14ac:dyDescent="0.25">
      <c r="A661">
        <v>660</v>
      </c>
      <c r="B661">
        <v>7992964</v>
      </c>
      <c r="C661" t="s">
        <v>1495</v>
      </c>
      <c r="D661" t="s">
        <v>17</v>
      </c>
      <c r="E661" t="s">
        <v>1115</v>
      </c>
      <c r="F661" t="s">
        <v>1116</v>
      </c>
      <c r="H661" t="s">
        <v>3768</v>
      </c>
      <c r="I661" t="s">
        <v>2933</v>
      </c>
      <c r="J661" t="s">
        <v>2392</v>
      </c>
      <c r="K661" t="s">
        <v>57</v>
      </c>
      <c r="L661">
        <v>387</v>
      </c>
      <c r="P661" t="s">
        <v>2603</v>
      </c>
      <c r="Q661">
        <v>2010</v>
      </c>
      <c r="R661">
        <v>2010</v>
      </c>
      <c r="S661" s="1"/>
      <c r="T661" s="1">
        <v>43832</v>
      </c>
      <c r="U661" t="s">
        <v>4149</v>
      </c>
      <c r="V661" t="s">
        <v>4114</v>
      </c>
      <c r="W661" t="s">
        <v>4115</v>
      </c>
      <c r="X661" t="s">
        <v>2603</v>
      </c>
      <c r="Y661" t="s">
        <v>4125</v>
      </c>
    </row>
    <row r="662" spans="1:25" x14ac:dyDescent="0.25">
      <c r="A662">
        <v>661</v>
      </c>
      <c r="B662">
        <v>16158525</v>
      </c>
      <c r="C662" t="s">
        <v>2818</v>
      </c>
      <c r="D662" t="s">
        <v>17</v>
      </c>
      <c r="E662" t="s">
        <v>1496</v>
      </c>
      <c r="F662" t="s">
        <v>1497</v>
      </c>
      <c r="H662" t="s">
        <v>3769</v>
      </c>
      <c r="I662" t="s">
        <v>2933</v>
      </c>
      <c r="J662" t="s">
        <v>1668</v>
      </c>
      <c r="K662" t="s">
        <v>2488</v>
      </c>
      <c r="L662">
        <v>303</v>
      </c>
      <c r="P662" t="s">
        <v>2494</v>
      </c>
      <c r="Q662">
        <v>2013</v>
      </c>
      <c r="R662">
        <v>2013</v>
      </c>
      <c r="S662" s="1"/>
      <c r="T662" s="1">
        <v>43832</v>
      </c>
      <c r="U662" t="s">
        <v>4129</v>
      </c>
      <c r="V662" t="s">
        <v>4114</v>
      </c>
      <c r="W662" t="s">
        <v>4121</v>
      </c>
      <c r="X662" t="s">
        <v>2603</v>
      </c>
      <c r="Y662" t="s">
        <v>4125</v>
      </c>
    </row>
    <row r="663" spans="1:25" x14ac:dyDescent="0.25">
      <c r="A663">
        <v>662</v>
      </c>
      <c r="B663">
        <v>36578942</v>
      </c>
      <c r="C663" t="s">
        <v>2819</v>
      </c>
      <c r="D663" t="s">
        <v>1498</v>
      </c>
      <c r="E663" t="s">
        <v>70</v>
      </c>
      <c r="F663" t="s">
        <v>71</v>
      </c>
      <c r="H663" t="s">
        <v>3770</v>
      </c>
      <c r="I663" t="s">
        <v>2933</v>
      </c>
      <c r="J663" t="s">
        <v>1668</v>
      </c>
      <c r="K663" t="s">
        <v>2488</v>
      </c>
      <c r="L663">
        <v>396</v>
      </c>
      <c r="P663" t="s">
        <v>2494</v>
      </c>
      <c r="Q663">
        <v>2012</v>
      </c>
      <c r="R663">
        <v>2009</v>
      </c>
      <c r="S663" s="1"/>
      <c r="T663" s="1">
        <v>43832</v>
      </c>
      <c r="U663" t="s">
        <v>4134</v>
      </c>
      <c r="V663" t="s">
        <v>4114</v>
      </c>
      <c r="W663" t="s">
        <v>4118</v>
      </c>
      <c r="X663" t="s">
        <v>4119</v>
      </c>
      <c r="Y663" t="s">
        <v>4116</v>
      </c>
    </row>
    <row r="664" spans="1:25" x14ac:dyDescent="0.25">
      <c r="A664">
        <v>663</v>
      </c>
      <c r="B664">
        <v>13057652</v>
      </c>
      <c r="C664" t="s">
        <v>2820</v>
      </c>
      <c r="D664" t="s">
        <v>1499</v>
      </c>
      <c r="E664" t="s">
        <v>184</v>
      </c>
      <c r="F664" t="s">
        <v>185</v>
      </c>
      <c r="H664" t="s">
        <v>3771</v>
      </c>
      <c r="I664" t="s">
        <v>2890</v>
      </c>
      <c r="J664" t="s">
        <v>1668</v>
      </c>
      <c r="K664" t="s">
        <v>2488</v>
      </c>
      <c r="L664">
        <v>576</v>
      </c>
      <c r="P664" t="s">
        <v>2494</v>
      </c>
      <c r="Q664">
        <v>2013</v>
      </c>
      <c r="R664">
        <v>2011</v>
      </c>
      <c r="S664" s="1"/>
      <c r="T664" s="1">
        <v>43832</v>
      </c>
      <c r="U664" t="s">
        <v>4117</v>
      </c>
      <c r="V664" t="s">
        <v>4114</v>
      </c>
      <c r="W664" t="s">
        <v>4118</v>
      </c>
      <c r="X664" t="s">
        <v>4119</v>
      </c>
      <c r="Y664" t="s">
        <v>4145</v>
      </c>
    </row>
    <row r="665" spans="1:25" x14ac:dyDescent="0.25">
      <c r="A665">
        <v>664</v>
      </c>
      <c r="B665">
        <v>13497818</v>
      </c>
      <c r="C665" t="s">
        <v>2821</v>
      </c>
      <c r="D665" t="s">
        <v>17</v>
      </c>
      <c r="E665" t="s">
        <v>1427</v>
      </c>
      <c r="F665" t="s">
        <v>1428</v>
      </c>
      <c r="H665" t="s">
        <v>3772</v>
      </c>
      <c r="I665" t="s">
        <v>2917</v>
      </c>
      <c r="J665" t="s">
        <v>2266</v>
      </c>
      <c r="K665" t="s">
        <v>2488</v>
      </c>
      <c r="L665">
        <v>503</v>
      </c>
      <c r="P665" t="s">
        <v>2494</v>
      </c>
      <c r="Q665">
        <v>2013</v>
      </c>
      <c r="R665">
        <v>2012</v>
      </c>
      <c r="S665" s="1"/>
      <c r="T665" s="1">
        <v>43832</v>
      </c>
      <c r="U665" t="s">
        <v>4120</v>
      </c>
      <c r="V665" t="s">
        <v>4114</v>
      </c>
      <c r="W665" t="s">
        <v>4115</v>
      </c>
      <c r="X665" t="s">
        <v>2603</v>
      </c>
      <c r="Y665" t="s">
        <v>4125</v>
      </c>
    </row>
    <row r="666" spans="1:25" x14ac:dyDescent="0.25">
      <c r="A666">
        <v>665</v>
      </c>
      <c r="B666">
        <v>17887732</v>
      </c>
      <c r="C666" t="s">
        <v>1500</v>
      </c>
      <c r="D666" t="s">
        <v>17</v>
      </c>
      <c r="E666" t="s">
        <v>1501</v>
      </c>
      <c r="F666" t="s">
        <v>1502</v>
      </c>
      <c r="H666" t="s">
        <v>3773</v>
      </c>
      <c r="I666" t="s">
        <v>2917</v>
      </c>
      <c r="J666" t="s">
        <v>1668</v>
      </c>
      <c r="K666" t="s">
        <v>2488</v>
      </c>
      <c r="L666">
        <v>128</v>
      </c>
      <c r="P666" t="s">
        <v>2494</v>
      </c>
      <c r="Q666">
        <v>2013</v>
      </c>
      <c r="R666">
        <v>2013</v>
      </c>
      <c r="S666" s="1"/>
      <c r="T666" s="1">
        <v>43832</v>
      </c>
      <c r="U666" t="s">
        <v>4149</v>
      </c>
      <c r="V666" t="s">
        <v>4114</v>
      </c>
      <c r="W666" t="s">
        <v>4133</v>
      </c>
      <c r="X666" t="s">
        <v>2494</v>
      </c>
      <c r="Y666" t="s">
        <v>4125</v>
      </c>
    </row>
    <row r="667" spans="1:25" x14ac:dyDescent="0.25">
      <c r="A667">
        <v>666</v>
      </c>
      <c r="B667">
        <v>17332049</v>
      </c>
      <c r="C667" t="s">
        <v>1503</v>
      </c>
      <c r="D667" t="s">
        <v>17</v>
      </c>
      <c r="E667" t="s">
        <v>1504</v>
      </c>
      <c r="F667" t="s">
        <v>1505</v>
      </c>
      <c r="H667" t="s">
        <v>3774</v>
      </c>
      <c r="I667" t="s">
        <v>2890</v>
      </c>
      <c r="J667" t="s">
        <v>2235</v>
      </c>
      <c r="K667" t="s">
        <v>2488</v>
      </c>
      <c r="L667">
        <v>183</v>
      </c>
      <c r="P667" t="s">
        <v>2494</v>
      </c>
      <c r="Q667">
        <v>2013</v>
      </c>
      <c r="R667">
        <v>2013</v>
      </c>
      <c r="S667" s="1"/>
      <c r="T667" s="1">
        <v>43832</v>
      </c>
      <c r="U667" t="s">
        <v>4149</v>
      </c>
      <c r="V667" t="s">
        <v>4114</v>
      </c>
      <c r="W667" t="s">
        <v>4133</v>
      </c>
      <c r="X667" t="s">
        <v>2494</v>
      </c>
      <c r="Y667" t="s">
        <v>4125</v>
      </c>
    </row>
    <row r="668" spans="1:25" x14ac:dyDescent="0.25">
      <c r="A668">
        <v>667</v>
      </c>
      <c r="B668">
        <v>26891429</v>
      </c>
      <c r="C668" t="s">
        <v>2822</v>
      </c>
      <c r="D668" t="s">
        <v>1506</v>
      </c>
      <c r="E668" t="s">
        <v>1507</v>
      </c>
      <c r="F668" t="s">
        <v>1508</v>
      </c>
      <c r="H668" t="s">
        <v>3775</v>
      </c>
      <c r="I668" t="s">
        <v>2933</v>
      </c>
      <c r="J668" t="s">
        <v>1668</v>
      </c>
      <c r="K668" t="s">
        <v>2488</v>
      </c>
      <c r="L668">
        <v>602</v>
      </c>
      <c r="P668" t="s">
        <v>2494</v>
      </c>
      <c r="Q668">
        <v>2016</v>
      </c>
      <c r="R668">
        <v>2016</v>
      </c>
      <c r="S668" s="1"/>
      <c r="T668" s="1">
        <v>43832</v>
      </c>
      <c r="U668" t="s">
        <v>4132</v>
      </c>
      <c r="V668" t="s">
        <v>4114</v>
      </c>
      <c r="W668" t="s">
        <v>4121</v>
      </c>
      <c r="X668" t="s">
        <v>2603</v>
      </c>
      <c r="Y668" t="s">
        <v>4116</v>
      </c>
    </row>
    <row r="669" spans="1:25" x14ac:dyDescent="0.25">
      <c r="A669">
        <v>668</v>
      </c>
      <c r="B669">
        <v>13281368</v>
      </c>
      <c r="C669" t="s">
        <v>2823</v>
      </c>
      <c r="D669" t="s">
        <v>1509</v>
      </c>
      <c r="E669" t="s">
        <v>1507</v>
      </c>
      <c r="F669" t="s">
        <v>1508</v>
      </c>
      <c r="H669" t="s">
        <v>3776</v>
      </c>
      <c r="I669" t="s">
        <v>2933</v>
      </c>
      <c r="J669" t="s">
        <v>1668</v>
      </c>
      <c r="K669" t="s">
        <v>2488</v>
      </c>
      <c r="L669">
        <v>592</v>
      </c>
      <c r="P669" t="s">
        <v>2494</v>
      </c>
      <c r="Q669">
        <v>2012</v>
      </c>
      <c r="R669">
        <v>2012</v>
      </c>
      <c r="S669" s="1"/>
      <c r="T669" s="1">
        <v>43832</v>
      </c>
      <c r="U669" t="s">
        <v>4132</v>
      </c>
      <c r="V669" t="s">
        <v>4114</v>
      </c>
      <c r="W669" t="s">
        <v>4121</v>
      </c>
      <c r="X669" t="s">
        <v>2603</v>
      </c>
      <c r="Y669" t="s">
        <v>4116</v>
      </c>
    </row>
    <row r="670" spans="1:25" x14ac:dyDescent="0.25">
      <c r="A670">
        <v>669</v>
      </c>
      <c r="B670">
        <v>12135994</v>
      </c>
      <c r="C670" t="s">
        <v>1510</v>
      </c>
      <c r="D670" t="s">
        <v>17</v>
      </c>
      <c r="E670" t="s">
        <v>1511</v>
      </c>
      <c r="F670" t="s">
        <v>1512</v>
      </c>
      <c r="H670" t="s">
        <v>3777</v>
      </c>
      <c r="I670" t="s">
        <v>2933</v>
      </c>
      <c r="J670" t="s">
        <v>1703</v>
      </c>
      <c r="K670" t="s">
        <v>2488</v>
      </c>
      <c r="L670">
        <v>260</v>
      </c>
      <c r="P670" t="s">
        <v>2494</v>
      </c>
      <c r="Q670">
        <v>2012</v>
      </c>
      <c r="R670">
        <v>2009</v>
      </c>
      <c r="S670" s="1"/>
      <c r="T670" s="1">
        <v>43832</v>
      </c>
      <c r="U670" t="s">
        <v>4135</v>
      </c>
      <c r="V670" t="s">
        <v>4131</v>
      </c>
      <c r="W670" t="s">
        <v>4133</v>
      </c>
      <c r="X670" t="s">
        <v>2494</v>
      </c>
      <c r="Y670" t="s">
        <v>4125</v>
      </c>
    </row>
    <row r="671" spans="1:25" x14ac:dyDescent="0.25">
      <c r="A671">
        <v>670</v>
      </c>
      <c r="B671">
        <v>5063647</v>
      </c>
      <c r="C671" t="s">
        <v>1513</v>
      </c>
      <c r="D671" t="s">
        <v>17</v>
      </c>
      <c r="E671" t="s">
        <v>1115</v>
      </c>
      <c r="F671" t="s">
        <v>1116</v>
      </c>
      <c r="H671" t="s">
        <v>3778</v>
      </c>
      <c r="I671" t="s">
        <v>2901</v>
      </c>
      <c r="J671" t="s">
        <v>2402</v>
      </c>
      <c r="K671" t="s">
        <v>57</v>
      </c>
      <c r="L671">
        <v>370</v>
      </c>
      <c r="P671" t="s">
        <v>2603</v>
      </c>
      <c r="Q671">
        <v>2009</v>
      </c>
      <c r="R671">
        <v>2008</v>
      </c>
      <c r="S671" s="1"/>
      <c r="T671" s="1">
        <v>43832</v>
      </c>
      <c r="U671" t="s">
        <v>4149</v>
      </c>
      <c r="V671" t="s">
        <v>4114</v>
      </c>
      <c r="W671" t="s">
        <v>4115</v>
      </c>
      <c r="X671" t="s">
        <v>2603</v>
      </c>
      <c r="Y671" t="s">
        <v>4125</v>
      </c>
    </row>
    <row r="672" spans="1:25" x14ac:dyDescent="0.25">
      <c r="A672">
        <v>671</v>
      </c>
      <c r="B672">
        <v>16046973</v>
      </c>
      <c r="C672" t="s">
        <v>1514</v>
      </c>
      <c r="D672" t="s">
        <v>17</v>
      </c>
      <c r="E672" t="s">
        <v>1515</v>
      </c>
      <c r="F672" t="s">
        <v>1516</v>
      </c>
      <c r="H672" t="s">
        <v>3779</v>
      </c>
      <c r="I672" t="s">
        <v>2890</v>
      </c>
      <c r="J672" t="s">
        <v>1730</v>
      </c>
      <c r="K672" t="s">
        <v>2488</v>
      </c>
      <c r="L672">
        <v>216</v>
      </c>
      <c r="P672" t="s">
        <v>2494</v>
      </c>
      <c r="Q672">
        <v>2012</v>
      </c>
      <c r="R672">
        <v>2012</v>
      </c>
      <c r="S672" s="1"/>
      <c r="T672" s="1">
        <v>43832</v>
      </c>
      <c r="U672" t="s">
        <v>4149</v>
      </c>
      <c r="V672" t="s">
        <v>4114</v>
      </c>
      <c r="W672" t="s">
        <v>4133</v>
      </c>
      <c r="X672" t="s">
        <v>2494</v>
      </c>
      <c r="Y672" t="s">
        <v>4125</v>
      </c>
    </row>
    <row r="673" spans="1:25" x14ac:dyDescent="0.25">
      <c r="A673">
        <v>672</v>
      </c>
      <c r="B673">
        <v>49628</v>
      </c>
      <c r="C673" t="s">
        <v>2825</v>
      </c>
      <c r="D673" t="s">
        <v>17</v>
      </c>
      <c r="E673" t="s">
        <v>1517</v>
      </c>
      <c r="F673" t="s">
        <v>1518</v>
      </c>
      <c r="H673" t="s">
        <v>3780</v>
      </c>
      <c r="I673" t="s">
        <v>2901</v>
      </c>
      <c r="J673" t="s">
        <v>2346</v>
      </c>
      <c r="K673" t="s">
        <v>57</v>
      </c>
      <c r="L673">
        <v>509</v>
      </c>
      <c r="P673" t="s">
        <v>2486</v>
      </c>
      <c r="Q673">
        <v>2004</v>
      </c>
      <c r="R673">
        <v>2004</v>
      </c>
      <c r="S673" s="1"/>
      <c r="T673" s="1">
        <v>43832</v>
      </c>
      <c r="U673" t="s">
        <v>4126</v>
      </c>
      <c r="V673" t="s">
        <v>4114</v>
      </c>
      <c r="W673" t="s">
        <v>4115</v>
      </c>
      <c r="X673" t="s">
        <v>2603</v>
      </c>
      <c r="Y673" t="s">
        <v>4116</v>
      </c>
    </row>
    <row r="674" spans="1:25" x14ac:dyDescent="0.25">
      <c r="A674">
        <v>673</v>
      </c>
      <c r="B674">
        <v>905885</v>
      </c>
      <c r="C674" t="s">
        <v>2826</v>
      </c>
      <c r="D674" t="s">
        <v>17</v>
      </c>
      <c r="E674" t="s">
        <v>1115</v>
      </c>
      <c r="F674" t="s">
        <v>1116</v>
      </c>
      <c r="H674" t="s">
        <v>3781</v>
      </c>
      <c r="I674" t="s">
        <v>2901</v>
      </c>
      <c r="J674" t="s">
        <v>2221</v>
      </c>
      <c r="K674" t="s">
        <v>2488</v>
      </c>
      <c r="L674">
        <v>358</v>
      </c>
      <c r="P674" t="s">
        <v>2494</v>
      </c>
      <c r="Q674">
        <v>2012</v>
      </c>
      <c r="R674">
        <v>2006</v>
      </c>
      <c r="S674" s="1"/>
      <c r="T674" s="1">
        <v>43832</v>
      </c>
      <c r="U674" t="s">
        <v>4149</v>
      </c>
      <c r="V674" t="s">
        <v>4114</v>
      </c>
      <c r="W674" t="s">
        <v>4115</v>
      </c>
      <c r="X674" t="s">
        <v>2603</v>
      </c>
      <c r="Y674" t="s">
        <v>4125</v>
      </c>
    </row>
    <row r="675" spans="1:25" x14ac:dyDescent="0.25">
      <c r="A675">
        <v>674</v>
      </c>
      <c r="B675">
        <v>13536860</v>
      </c>
      <c r="C675" t="s">
        <v>2827</v>
      </c>
      <c r="D675" t="s">
        <v>1519</v>
      </c>
      <c r="E675" t="s">
        <v>1520</v>
      </c>
      <c r="F675" t="s">
        <v>1521</v>
      </c>
      <c r="H675" t="s">
        <v>3782</v>
      </c>
      <c r="I675" t="s">
        <v>2917</v>
      </c>
      <c r="J675" t="s">
        <v>2198</v>
      </c>
      <c r="K675" t="s">
        <v>57</v>
      </c>
      <c r="L675">
        <v>579</v>
      </c>
      <c r="P675" t="s">
        <v>2486</v>
      </c>
      <c r="Q675">
        <v>2013</v>
      </c>
      <c r="R675">
        <v>2012</v>
      </c>
      <c r="S675" s="1"/>
      <c r="T675" s="1">
        <v>43832</v>
      </c>
      <c r="U675" t="s">
        <v>4149</v>
      </c>
      <c r="V675" t="s">
        <v>4114</v>
      </c>
      <c r="W675" t="s">
        <v>4115</v>
      </c>
      <c r="X675" t="s">
        <v>2603</v>
      </c>
      <c r="Y675" t="s">
        <v>4125</v>
      </c>
    </row>
    <row r="676" spans="1:25" x14ac:dyDescent="0.25">
      <c r="A676">
        <v>675</v>
      </c>
      <c r="B676">
        <v>11857408</v>
      </c>
      <c r="C676" t="s">
        <v>2828</v>
      </c>
      <c r="D676" t="s">
        <v>1522</v>
      </c>
      <c r="E676" t="s">
        <v>1520</v>
      </c>
      <c r="F676" t="s">
        <v>1521</v>
      </c>
      <c r="H676" t="s">
        <v>3783</v>
      </c>
      <c r="I676" t="s">
        <v>2917</v>
      </c>
      <c r="J676" t="s">
        <v>2198</v>
      </c>
      <c r="K676" t="s">
        <v>57</v>
      </c>
      <c r="L676">
        <v>532</v>
      </c>
      <c r="P676" t="s">
        <v>2486</v>
      </c>
      <c r="Q676">
        <v>2013</v>
      </c>
      <c r="R676">
        <v>2011</v>
      </c>
      <c r="S676" s="1"/>
      <c r="T676" s="1">
        <v>43832</v>
      </c>
      <c r="U676" t="s">
        <v>4149</v>
      </c>
      <c r="V676" t="s">
        <v>4114</v>
      </c>
      <c r="W676" t="s">
        <v>4115</v>
      </c>
      <c r="X676" t="s">
        <v>2603</v>
      </c>
      <c r="Y676" t="s">
        <v>4125</v>
      </c>
    </row>
    <row r="677" spans="1:25" x14ac:dyDescent="0.25">
      <c r="A677">
        <v>676</v>
      </c>
      <c r="B677">
        <v>12476820</v>
      </c>
      <c r="C677" t="s">
        <v>2830</v>
      </c>
      <c r="D677" t="s">
        <v>1523</v>
      </c>
      <c r="E677" t="s">
        <v>1088</v>
      </c>
      <c r="F677" t="s">
        <v>1089</v>
      </c>
      <c r="H677" t="s">
        <v>3784</v>
      </c>
      <c r="I677" t="s">
        <v>2901</v>
      </c>
      <c r="J677" t="s">
        <v>1668</v>
      </c>
      <c r="K677" t="s">
        <v>2488</v>
      </c>
      <c r="L677">
        <v>468</v>
      </c>
      <c r="P677" t="s">
        <v>2494</v>
      </c>
      <c r="Q677">
        <v>2012</v>
      </c>
      <c r="R677">
        <v>2012</v>
      </c>
      <c r="S677" s="1"/>
      <c r="T677" s="1">
        <v>43832</v>
      </c>
      <c r="U677" t="s">
        <v>4132</v>
      </c>
      <c r="V677" t="s">
        <v>4114</v>
      </c>
      <c r="W677" t="s">
        <v>4121</v>
      </c>
      <c r="X677" t="s">
        <v>2603</v>
      </c>
      <c r="Y677" t="s">
        <v>4116</v>
      </c>
    </row>
    <row r="678" spans="1:25" x14ac:dyDescent="0.25">
      <c r="A678">
        <v>677</v>
      </c>
      <c r="B678">
        <v>8492825</v>
      </c>
      <c r="C678" t="s">
        <v>3785</v>
      </c>
      <c r="D678" t="s">
        <v>1525</v>
      </c>
      <c r="E678" t="s">
        <v>1526</v>
      </c>
      <c r="F678" t="s">
        <v>1527</v>
      </c>
      <c r="H678" t="s">
        <v>3786</v>
      </c>
      <c r="I678" t="s">
        <v>2901</v>
      </c>
      <c r="J678" t="s">
        <v>2410</v>
      </c>
      <c r="K678" t="s">
        <v>57</v>
      </c>
      <c r="L678">
        <v>264</v>
      </c>
      <c r="P678" t="s">
        <v>2603</v>
      </c>
      <c r="Q678">
        <v>2011</v>
      </c>
      <c r="R678">
        <v>2011</v>
      </c>
      <c r="S678" s="1"/>
      <c r="T678" s="1">
        <v>43832</v>
      </c>
      <c r="U678" t="s">
        <v>4136</v>
      </c>
      <c r="V678" t="s">
        <v>4114</v>
      </c>
      <c r="W678" t="s">
        <v>4121</v>
      </c>
      <c r="X678" t="s">
        <v>2603</v>
      </c>
      <c r="Y678" t="s">
        <v>4125</v>
      </c>
    </row>
    <row r="679" spans="1:25" x14ac:dyDescent="0.25">
      <c r="A679">
        <v>678</v>
      </c>
      <c r="B679">
        <v>4374400</v>
      </c>
      <c r="C679" t="s">
        <v>3787</v>
      </c>
      <c r="D679" t="s">
        <v>1529</v>
      </c>
      <c r="E679" t="s">
        <v>1526</v>
      </c>
      <c r="F679" t="s">
        <v>1527</v>
      </c>
      <c r="H679" t="s">
        <v>3788</v>
      </c>
      <c r="I679" t="s">
        <v>2901</v>
      </c>
      <c r="J679" t="s">
        <v>2386</v>
      </c>
      <c r="K679" t="s">
        <v>57</v>
      </c>
      <c r="L679">
        <v>208</v>
      </c>
      <c r="P679" t="s">
        <v>2603</v>
      </c>
      <c r="Q679">
        <v>2009</v>
      </c>
      <c r="R679">
        <v>2009</v>
      </c>
      <c r="S679" s="1"/>
      <c r="T679" s="1">
        <v>43832</v>
      </c>
      <c r="U679" t="s">
        <v>4136</v>
      </c>
      <c r="V679" t="s">
        <v>4114</v>
      </c>
      <c r="W679" t="s">
        <v>4121</v>
      </c>
      <c r="X679" t="s">
        <v>2603</v>
      </c>
      <c r="Y679" t="s">
        <v>4125</v>
      </c>
    </row>
    <row r="680" spans="1:25" x14ac:dyDescent="0.25">
      <c r="A680">
        <v>679</v>
      </c>
      <c r="B680">
        <v>15743897</v>
      </c>
      <c r="C680" t="s">
        <v>1530</v>
      </c>
      <c r="D680" t="s">
        <v>17</v>
      </c>
      <c r="E680" t="s">
        <v>1531</v>
      </c>
      <c r="F680" t="s">
        <v>1532</v>
      </c>
      <c r="H680" t="s">
        <v>3789</v>
      </c>
      <c r="I680" t="s">
        <v>2901</v>
      </c>
      <c r="J680" t="s">
        <v>2235</v>
      </c>
      <c r="K680" t="s">
        <v>2488</v>
      </c>
      <c r="L680">
        <v>270</v>
      </c>
      <c r="P680" t="s">
        <v>2494</v>
      </c>
      <c r="Q680">
        <v>2012</v>
      </c>
      <c r="R680">
        <v>2012</v>
      </c>
      <c r="S680" s="1"/>
      <c r="T680" s="1">
        <v>43832</v>
      </c>
      <c r="U680" t="s">
        <v>4149</v>
      </c>
      <c r="V680" t="s">
        <v>4114</v>
      </c>
      <c r="W680" t="s">
        <v>4133</v>
      </c>
      <c r="X680" t="s">
        <v>2494</v>
      </c>
      <c r="Y680" t="s">
        <v>4125</v>
      </c>
    </row>
    <row r="681" spans="1:25" x14ac:dyDescent="0.25">
      <c r="A681">
        <v>680</v>
      </c>
      <c r="B681">
        <v>11533149</v>
      </c>
      <c r="C681" t="s">
        <v>2831</v>
      </c>
      <c r="D681" t="s">
        <v>1533</v>
      </c>
      <c r="E681" t="s">
        <v>1534</v>
      </c>
      <c r="F681" t="s">
        <v>1535</v>
      </c>
      <c r="H681" t="s">
        <v>3790</v>
      </c>
      <c r="I681" t="s">
        <v>2890</v>
      </c>
      <c r="J681" t="s">
        <v>1668</v>
      </c>
      <c r="K681" t="s">
        <v>2488</v>
      </c>
      <c r="L681">
        <v>352</v>
      </c>
      <c r="P681" t="s">
        <v>2494</v>
      </c>
      <c r="Q681">
        <v>2011</v>
      </c>
      <c r="R681">
        <v>2012</v>
      </c>
      <c r="S681" s="1"/>
      <c r="T681" s="1">
        <v>43832</v>
      </c>
      <c r="U681" t="s">
        <v>4129</v>
      </c>
      <c r="V681" t="s">
        <v>4114</v>
      </c>
      <c r="W681" t="s">
        <v>4121</v>
      </c>
      <c r="X681" t="s">
        <v>2603</v>
      </c>
      <c r="Y681" t="s">
        <v>4116</v>
      </c>
    </row>
    <row r="682" spans="1:25" x14ac:dyDescent="0.25">
      <c r="A682">
        <v>681</v>
      </c>
      <c r="B682">
        <v>15997975</v>
      </c>
      <c r="C682" t="s">
        <v>2834</v>
      </c>
      <c r="D682" t="s">
        <v>1536</v>
      </c>
      <c r="E682" t="s">
        <v>1537</v>
      </c>
      <c r="F682" t="s">
        <v>1538</v>
      </c>
      <c r="H682" t="s">
        <v>3791</v>
      </c>
      <c r="I682" t="s">
        <v>2917</v>
      </c>
      <c r="J682" t="s">
        <v>1668</v>
      </c>
      <c r="K682" t="s">
        <v>57</v>
      </c>
      <c r="L682">
        <v>512</v>
      </c>
      <c r="P682" t="s">
        <v>2486</v>
      </c>
      <c r="Q682">
        <v>2013</v>
      </c>
      <c r="R682">
        <v>2013</v>
      </c>
      <c r="S682" s="1"/>
      <c r="T682" s="1">
        <v>43832</v>
      </c>
      <c r="U682" t="s">
        <v>4120</v>
      </c>
      <c r="V682" t="s">
        <v>4114</v>
      </c>
      <c r="W682" t="s">
        <v>4115</v>
      </c>
      <c r="X682" t="s">
        <v>2603</v>
      </c>
      <c r="Y682" t="s">
        <v>4116</v>
      </c>
    </row>
    <row r="683" spans="1:25" x14ac:dyDescent="0.25">
      <c r="A683">
        <v>682</v>
      </c>
      <c r="B683">
        <v>7260188</v>
      </c>
      <c r="C683" t="s">
        <v>2837</v>
      </c>
      <c r="D683" t="s">
        <v>1539</v>
      </c>
      <c r="E683" t="s">
        <v>668</v>
      </c>
      <c r="F683" t="s">
        <v>669</v>
      </c>
      <c r="H683" t="s">
        <v>3792</v>
      </c>
      <c r="I683" t="s">
        <v>2933</v>
      </c>
      <c r="J683" t="s">
        <v>2838</v>
      </c>
      <c r="K683" t="s">
        <v>57</v>
      </c>
      <c r="L683">
        <v>390</v>
      </c>
      <c r="P683" t="s">
        <v>2486</v>
      </c>
      <c r="Q683">
        <v>2010</v>
      </c>
      <c r="R683">
        <v>2010</v>
      </c>
      <c r="S683" s="1"/>
      <c r="T683" s="1">
        <v>43832</v>
      </c>
      <c r="U683" t="s">
        <v>4136</v>
      </c>
      <c r="V683" t="s">
        <v>4114</v>
      </c>
      <c r="W683" t="s">
        <v>4121</v>
      </c>
      <c r="X683" t="s">
        <v>2603</v>
      </c>
      <c r="Y683" t="s">
        <v>4125</v>
      </c>
    </row>
    <row r="684" spans="1:25" x14ac:dyDescent="0.25">
      <c r="A684">
        <v>683</v>
      </c>
      <c r="B684">
        <v>6148028</v>
      </c>
      <c r="C684" t="s">
        <v>2839</v>
      </c>
      <c r="D684" t="s">
        <v>1540</v>
      </c>
      <c r="E684" t="s">
        <v>668</v>
      </c>
      <c r="F684" t="s">
        <v>669</v>
      </c>
      <c r="H684" t="s">
        <v>3793</v>
      </c>
      <c r="I684" t="s">
        <v>2933</v>
      </c>
      <c r="J684" t="s">
        <v>2838</v>
      </c>
      <c r="K684" t="s">
        <v>57</v>
      </c>
      <c r="L684">
        <v>391</v>
      </c>
      <c r="P684" t="s">
        <v>2486</v>
      </c>
      <c r="Q684">
        <v>2009</v>
      </c>
      <c r="R684">
        <v>2009</v>
      </c>
      <c r="S684" s="1"/>
      <c r="T684" s="1">
        <v>43832</v>
      </c>
      <c r="U684" t="s">
        <v>4136</v>
      </c>
      <c r="V684" t="s">
        <v>4114</v>
      </c>
      <c r="W684" t="s">
        <v>4121</v>
      </c>
      <c r="X684" t="s">
        <v>2603</v>
      </c>
      <c r="Y684" t="s">
        <v>4125</v>
      </c>
    </row>
    <row r="685" spans="1:25" x14ac:dyDescent="0.25">
      <c r="A685">
        <v>684</v>
      </c>
      <c r="B685">
        <v>13496627</v>
      </c>
      <c r="C685" t="s">
        <v>1541</v>
      </c>
      <c r="D685" t="s">
        <v>17</v>
      </c>
      <c r="E685" t="s">
        <v>1542</v>
      </c>
      <c r="F685" t="s">
        <v>1543</v>
      </c>
      <c r="H685" t="s">
        <v>3794</v>
      </c>
      <c r="I685" t="s">
        <v>2901</v>
      </c>
      <c r="J685" t="s">
        <v>2235</v>
      </c>
      <c r="K685" t="s">
        <v>2488</v>
      </c>
      <c r="L685">
        <v>272</v>
      </c>
      <c r="P685" t="s">
        <v>2494</v>
      </c>
      <c r="Q685">
        <v>2012</v>
      </c>
      <c r="R685">
        <v>2012</v>
      </c>
      <c r="S685" s="1"/>
      <c r="T685" s="1">
        <v>43832</v>
      </c>
      <c r="U685" t="s">
        <v>4135</v>
      </c>
      <c r="V685" t="s">
        <v>4131</v>
      </c>
      <c r="W685" t="s">
        <v>4133</v>
      </c>
      <c r="X685" t="s">
        <v>2494</v>
      </c>
      <c r="Y685" t="s">
        <v>4125</v>
      </c>
    </row>
    <row r="686" spans="1:25" x14ac:dyDescent="0.25">
      <c r="A686">
        <v>685</v>
      </c>
      <c r="B686">
        <v>11735983</v>
      </c>
      <c r="C686" t="s">
        <v>2809</v>
      </c>
      <c r="D686" t="s">
        <v>1544</v>
      </c>
      <c r="E686" t="s">
        <v>813</v>
      </c>
      <c r="F686" t="s">
        <v>814</v>
      </c>
      <c r="H686" t="s">
        <v>3795</v>
      </c>
      <c r="I686" t="s">
        <v>2933</v>
      </c>
      <c r="J686" t="s">
        <v>1668</v>
      </c>
      <c r="K686" t="s">
        <v>57</v>
      </c>
      <c r="L686">
        <v>525</v>
      </c>
      <c r="P686" t="s">
        <v>2494</v>
      </c>
      <c r="Q686">
        <v>2012</v>
      </c>
      <c r="R686">
        <v>2012</v>
      </c>
      <c r="S686" s="1"/>
      <c r="T686" s="1">
        <v>43832</v>
      </c>
      <c r="U686" t="s">
        <v>4136</v>
      </c>
      <c r="V686" t="s">
        <v>4114</v>
      </c>
      <c r="W686" t="s">
        <v>4121</v>
      </c>
      <c r="X686" t="s">
        <v>2603</v>
      </c>
      <c r="Y686" t="s">
        <v>4125</v>
      </c>
    </row>
    <row r="687" spans="1:25" x14ac:dyDescent="0.25">
      <c r="A687">
        <v>686</v>
      </c>
      <c r="B687">
        <v>7933617</v>
      </c>
      <c r="C687" t="s">
        <v>2841</v>
      </c>
      <c r="D687" t="s">
        <v>1545</v>
      </c>
      <c r="E687" t="s">
        <v>1546</v>
      </c>
      <c r="F687" t="s">
        <v>1547</v>
      </c>
      <c r="H687" t="s">
        <v>3796</v>
      </c>
      <c r="I687" t="s">
        <v>2917</v>
      </c>
      <c r="J687" t="s">
        <v>1668</v>
      </c>
      <c r="K687" t="s">
        <v>2488</v>
      </c>
      <c r="L687">
        <v>325</v>
      </c>
      <c r="P687" t="s">
        <v>2494</v>
      </c>
      <c r="Q687">
        <v>2011</v>
      </c>
      <c r="R687">
        <v>2011</v>
      </c>
      <c r="S687" s="1"/>
      <c r="T687" s="1">
        <v>43832</v>
      </c>
      <c r="U687" t="s">
        <v>4120</v>
      </c>
      <c r="V687" t="s">
        <v>4114</v>
      </c>
      <c r="W687" t="s">
        <v>4121</v>
      </c>
      <c r="X687" t="s">
        <v>2603</v>
      </c>
      <c r="Y687" t="s">
        <v>4125</v>
      </c>
    </row>
    <row r="688" spans="1:25" x14ac:dyDescent="0.25">
      <c r="A688">
        <v>687</v>
      </c>
      <c r="B688">
        <v>8652190</v>
      </c>
      <c r="C688" t="s">
        <v>2842</v>
      </c>
      <c r="D688" t="s">
        <v>1548</v>
      </c>
      <c r="E688" t="s">
        <v>1546</v>
      </c>
      <c r="F688" t="s">
        <v>1547</v>
      </c>
      <c r="H688" t="s">
        <v>3797</v>
      </c>
      <c r="I688" t="s">
        <v>2917</v>
      </c>
      <c r="J688" t="s">
        <v>1668</v>
      </c>
      <c r="K688" t="s">
        <v>2488</v>
      </c>
      <c r="L688">
        <v>290</v>
      </c>
      <c r="P688" t="s">
        <v>2494</v>
      </c>
      <c r="Q688">
        <v>2011</v>
      </c>
      <c r="R688">
        <v>2011</v>
      </c>
      <c r="S688" s="1"/>
      <c r="T688" s="1">
        <v>43832</v>
      </c>
      <c r="U688" t="s">
        <v>4120</v>
      </c>
      <c r="V688" t="s">
        <v>4114</v>
      </c>
      <c r="W688" t="s">
        <v>4121</v>
      </c>
      <c r="X688" t="s">
        <v>2603</v>
      </c>
      <c r="Y688" t="s">
        <v>4125</v>
      </c>
    </row>
    <row r="689" spans="1:25" x14ac:dyDescent="0.25">
      <c r="A689">
        <v>688</v>
      </c>
      <c r="B689">
        <v>231604</v>
      </c>
      <c r="C689" t="s">
        <v>2850</v>
      </c>
      <c r="D689" t="s">
        <v>1549</v>
      </c>
      <c r="E689" t="s">
        <v>1550</v>
      </c>
      <c r="F689" t="s">
        <v>1551</v>
      </c>
      <c r="H689" t="s">
        <v>3798</v>
      </c>
      <c r="I689" t="s">
        <v>2917</v>
      </c>
      <c r="J689" t="s">
        <v>1759</v>
      </c>
      <c r="K689" t="s">
        <v>57</v>
      </c>
      <c r="L689">
        <v>532</v>
      </c>
      <c r="P689" t="s">
        <v>2486</v>
      </c>
      <c r="Q689">
        <v>2013</v>
      </c>
      <c r="R689">
        <v>1997</v>
      </c>
      <c r="S689" s="1"/>
      <c r="T689" s="1">
        <v>43832</v>
      </c>
      <c r="U689" t="s">
        <v>4117</v>
      </c>
      <c r="V689" t="s">
        <v>4114</v>
      </c>
      <c r="W689" t="s">
        <v>4121</v>
      </c>
      <c r="X689" t="s">
        <v>2603</v>
      </c>
      <c r="Y689" t="s">
        <v>4125</v>
      </c>
    </row>
    <row r="690" spans="1:25" x14ac:dyDescent="0.25">
      <c r="A690">
        <v>689</v>
      </c>
      <c r="B690">
        <v>7833003</v>
      </c>
      <c r="C690" t="s">
        <v>2832</v>
      </c>
      <c r="D690" t="s">
        <v>1552</v>
      </c>
      <c r="E690" t="s">
        <v>1534</v>
      </c>
      <c r="F690" t="s">
        <v>1535</v>
      </c>
      <c r="H690" t="s">
        <v>3799</v>
      </c>
      <c r="I690" t="s">
        <v>2890</v>
      </c>
      <c r="J690" t="s">
        <v>1668</v>
      </c>
      <c r="K690" t="s">
        <v>2488</v>
      </c>
      <c r="L690">
        <v>383</v>
      </c>
      <c r="P690" t="s">
        <v>2494</v>
      </c>
      <c r="Q690">
        <v>2010</v>
      </c>
      <c r="R690">
        <v>2011</v>
      </c>
      <c r="S690" s="1"/>
      <c r="T690" s="1">
        <v>43832</v>
      </c>
      <c r="U690" t="s">
        <v>4129</v>
      </c>
      <c r="V690" t="s">
        <v>4114</v>
      </c>
      <c r="W690" t="s">
        <v>4121</v>
      </c>
      <c r="X690" t="s">
        <v>2603</v>
      </c>
      <c r="Y690" t="s">
        <v>4116</v>
      </c>
    </row>
    <row r="691" spans="1:25" x14ac:dyDescent="0.25">
      <c r="A691">
        <v>690</v>
      </c>
      <c r="B691">
        <v>9294567</v>
      </c>
      <c r="C691" t="s">
        <v>2851</v>
      </c>
      <c r="D691" t="s">
        <v>17</v>
      </c>
      <c r="E691" t="s">
        <v>1553</v>
      </c>
      <c r="F691" t="s">
        <v>1554</v>
      </c>
      <c r="H691" t="s">
        <v>3800</v>
      </c>
      <c r="I691" t="s">
        <v>2901</v>
      </c>
      <c r="J691" t="s">
        <v>2776</v>
      </c>
      <c r="K691" t="s">
        <v>2488</v>
      </c>
      <c r="L691">
        <v>408</v>
      </c>
      <c r="P691" t="s">
        <v>2494</v>
      </c>
      <c r="Q691">
        <v>2010</v>
      </c>
      <c r="R691">
        <v>2010</v>
      </c>
      <c r="S691" s="1"/>
      <c r="T691" s="1">
        <v>43832</v>
      </c>
      <c r="U691" t="s">
        <v>4157</v>
      </c>
      <c r="V691" t="s">
        <v>4131</v>
      </c>
      <c r="W691" t="s">
        <v>4115</v>
      </c>
      <c r="X691" t="s">
        <v>2603</v>
      </c>
      <c r="Y691" t="s">
        <v>4116</v>
      </c>
    </row>
    <row r="692" spans="1:25" x14ac:dyDescent="0.25">
      <c r="A692">
        <v>691</v>
      </c>
      <c r="B692">
        <v>355697</v>
      </c>
      <c r="C692" t="s">
        <v>2852</v>
      </c>
      <c r="D692" t="s">
        <v>17</v>
      </c>
      <c r="E692" t="s">
        <v>1555</v>
      </c>
      <c r="F692" t="s">
        <v>1556</v>
      </c>
      <c r="H692" t="s">
        <v>3801</v>
      </c>
      <c r="I692" t="s">
        <v>2901</v>
      </c>
      <c r="J692" t="s">
        <v>2217</v>
      </c>
      <c r="K692" t="s">
        <v>2488</v>
      </c>
      <c r="L692">
        <v>296</v>
      </c>
      <c r="P692" t="s">
        <v>2494</v>
      </c>
      <c r="Q692">
        <v>1987</v>
      </c>
      <c r="R692">
        <v>1928</v>
      </c>
      <c r="S692" s="1"/>
      <c r="T692" s="1">
        <v>43832</v>
      </c>
      <c r="U692" t="s">
        <v>4138</v>
      </c>
      <c r="V692" t="s">
        <v>4114</v>
      </c>
      <c r="W692" t="s">
        <v>4123</v>
      </c>
      <c r="X692" t="s">
        <v>4124</v>
      </c>
      <c r="Y692" t="s">
        <v>4116</v>
      </c>
    </row>
    <row r="693" spans="1:25" x14ac:dyDescent="0.25">
      <c r="A693">
        <v>692</v>
      </c>
      <c r="B693">
        <v>7664041</v>
      </c>
      <c r="C693" t="s">
        <v>3802</v>
      </c>
      <c r="D693" t="s">
        <v>1558</v>
      </c>
      <c r="E693" t="s">
        <v>269</v>
      </c>
      <c r="F693" t="s">
        <v>270</v>
      </c>
      <c r="H693" t="s">
        <v>3803</v>
      </c>
      <c r="I693" t="s">
        <v>2901</v>
      </c>
      <c r="J693" t="s">
        <v>1762</v>
      </c>
      <c r="K693" t="s">
        <v>2488</v>
      </c>
      <c r="L693">
        <v>849</v>
      </c>
      <c r="P693" t="s">
        <v>2494</v>
      </c>
      <c r="Q693">
        <v>2011</v>
      </c>
      <c r="R693">
        <v>2011</v>
      </c>
      <c r="S693" s="1"/>
      <c r="T693" s="1">
        <v>43832</v>
      </c>
      <c r="U693" t="s">
        <v>4120</v>
      </c>
      <c r="V693" t="s">
        <v>4114</v>
      </c>
      <c r="W693" t="s">
        <v>4121</v>
      </c>
      <c r="X693" t="s">
        <v>2603</v>
      </c>
      <c r="Y693" t="s">
        <v>4116</v>
      </c>
    </row>
    <row r="694" spans="1:25" x14ac:dyDescent="0.25">
      <c r="A694">
        <v>693</v>
      </c>
      <c r="B694">
        <v>6667916</v>
      </c>
      <c r="C694" t="s">
        <v>3804</v>
      </c>
      <c r="D694" t="s">
        <v>1560</v>
      </c>
      <c r="E694" t="s">
        <v>250</v>
      </c>
      <c r="F694" t="s">
        <v>251</v>
      </c>
      <c r="H694" t="s">
        <v>3805</v>
      </c>
      <c r="I694" t="s">
        <v>2901</v>
      </c>
      <c r="J694" t="s">
        <v>1668</v>
      </c>
      <c r="K694" t="s">
        <v>2488</v>
      </c>
      <c r="L694">
        <v>526</v>
      </c>
      <c r="P694" t="s">
        <v>2494</v>
      </c>
      <c r="Q694">
        <v>2009</v>
      </c>
      <c r="R694">
        <v>2009</v>
      </c>
      <c r="S694" s="1"/>
      <c r="T694" s="1">
        <v>43832</v>
      </c>
      <c r="U694" t="s">
        <v>4113</v>
      </c>
      <c r="V694" t="s">
        <v>4114</v>
      </c>
      <c r="W694" t="s">
        <v>4150</v>
      </c>
      <c r="X694" t="s">
        <v>4151</v>
      </c>
      <c r="Y694" t="s">
        <v>4116</v>
      </c>
    </row>
    <row r="695" spans="1:25" x14ac:dyDescent="0.25">
      <c r="A695">
        <v>694</v>
      </c>
      <c r="B695">
        <v>8659601</v>
      </c>
      <c r="C695" t="s">
        <v>2853</v>
      </c>
      <c r="D695" t="s">
        <v>1561</v>
      </c>
      <c r="E695" t="s">
        <v>1562</v>
      </c>
      <c r="F695" t="s">
        <v>1563</v>
      </c>
      <c r="H695" t="s">
        <v>3806</v>
      </c>
      <c r="I695" t="s">
        <v>2901</v>
      </c>
      <c r="J695" t="s">
        <v>1668</v>
      </c>
      <c r="K695" t="s">
        <v>2488</v>
      </c>
      <c r="L695">
        <v>406</v>
      </c>
      <c r="P695" t="s">
        <v>2494</v>
      </c>
      <c r="Q695">
        <v>2011</v>
      </c>
      <c r="R695">
        <v>2011</v>
      </c>
      <c r="S695" s="1"/>
      <c r="T695" s="1">
        <v>43832</v>
      </c>
      <c r="U695" t="s">
        <v>4136</v>
      </c>
      <c r="V695" t="s">
        <v>4114</v>
      </c>
      <c r="W695" t="s">
        <v>4121</v>
      </c>
      <c r="X695" t="s">
        <v>2603</v>
      </c>
      <c r="Y695" t="s">
        <v>4116</v>
      </c>
    </row>
    <row r="696" spans="1:25" x14ac:dyDescent="0.25">
      <c r="A696">
        <v>695</v>
      </c>
      <c r="B696">
        <v>6917952</v>
      </c>
      <c r="C696" t="s">
        <v>2843</v>
      </c>
      <c r="D696" t="s">
        <v>1564</v>
      </c>
      <c r="E696" t="s">
        <v>1546</v>
      </c>
      <c r="F696" t="s">
        <v>1547</v>
      </c>
      <c r="H696" t="s">
        <v>3807</v>
      </c>
      <c r="I696" t="s">
        <v>2890</v>
      </c>
      <c r="J696" t="s">
        <v>1668</v>
      </c>
      <c r="K696" t="s">
        <v>2488</v>
      </c>
      <c r="L696">
        <v>323</v>
      </c>
      <c r="P696" t="s">
        <v>2494</v>
      </c>
      <c r="Q696">
        <v>2010</v>
      </c>
      <c r="R696">
        <v>2010</v>
      </c>
      <c r="S696" s="1"/>
      <c r="T696" s="1">
        <v>43832</v>
      </c>
      <c r="U696" t="s">
        <v>4120</v>
      </c>
      <c r="V696" t="s">
        <v>4114</v>
      </c>
      <c r="W696" t="s">
        <v>4121</v>
      </c>
      <c r="X696" t="s">
        <v>2603</v>
      </c>
      <c r="Y696" t="s">
        <v>4125</v>
      </c>
    </row>
    <row r="697" spans="1:25" x14ac:dyDescent="0.25">
      <c r="A697">
        <v>696</v>
      </c>
      <c r="B697">
        <v>8737174</v>
      </c>
      <c r="C697" t="s">
        <v>2835</v>
      </c>
      <c r="D697" t="s">
        <v>1565</v>
      </c>
      <c r="E697" t="s">
        <v>1537</v>
      </c>
      <c r="F697" t="s">
        <v>1538</v>
      </c>
      <c r="H697" t="s">
        <v>3808</v>
      </c>
      <c r="I697" t="s">
        <v>2917</v>
      </c>
      <c r="J697" t="s">
        <v>1668</v>
      </c>
      <c r="K697" t="s">
        <v>57</v>
      </c>
      <c r="L697">
        <v>422</v>
      </c>
      <c r="P697" t="s">
        <v>2486</v>
      </c>
      <c r="Q697">
        <v>2011</v>
      </c>
      <c r="R697">
        <v>2011</v>
      </c>
      <c r="S697" s="1"/>
      <c r="T697" s="1">
        <v>43832</v>
      </c>
      <c r="U697" t="s">
        <v>4120</v>
      </c>
      <c r="V697" t="s">
        <v>4114</v>
      </c>
      <c r="W697" t="s">
        <v>4115</v>
      </c>
      <c r="X697" t="s">
        <v>2603</v>
      </c>
      <c r="Y697" t="s">
        <v>4116</v>
      </c>
    </row>
    <row r="698" spans="1:25" x14ac:dyDescent="0.25">
      <c r="A698">
        <v>697</v>
      </c>
      <c r="B698">
        <v>7747374</v>
      </c>
      <c r="C698" t="s">
        <v>2854</v>
      </c>
      <c r="D698" t="s">
        <v>1566</v>
      </c>
      <c r="E698" t="s">
        <v>1562</v>
      </c>
      <c r="F698" t="s">
        <v>1563</v>
      </c>
      <c r="H698" t="s">
        <v>3809</v>
      </c>
      <c r="I698" t="s">
        <v>2890</v>
      </c>
      <c r="J698" t="s">
        <v>1668</v>
      </c>
      <c r="K698" t="s">
        <v>2488</v>
      </c>
      <c r="L698">
        <v>440</v>
      </c>
      <c r="P698" t="s">
        <v>2494</v>
      </c>
      <c r="Q698">
        <v>2010</v>
      </c>
      <c r="R698">
        <v>2010</v>
      </c>
      <c r="S698" s="1"/>
      <c r="T698" s="1">
        <v>43832</v>
      </c>
      <c r="U698" t="s">
        <v>4136</v>
      </c>
      <c r="V698" t="s">
        <v>4114</v>
      </c>
      <c r="W698" t="s">
        <v>4121</v>
      </c>
      <c r="X698" t="s">
        <v>2603</v>
      </c>
      <c r="Y698" t="s">
        <v>4116</v>
      </c>
    </row>
    <row r="699" spans="1:25" x14ac:dyDescent="0.25">
      <c r="A699">
        <v>698</v>
      </c>
      <c r="B699">
        <v>425904</v>
      </c>
      <c r="C699" t="s">
        <v>2855</v>
      </c>
      <c r="D699" t="s">
        <v>17</v>
      </c>
      <c r="E699" t="s">
        <v>1567</v>
      </c>
      <c r="F699" t="s">
        <v>1568</v>
      </c>
      <c r="H699" t="s">
        <v>3810</v>
      </c>
      <c r="I699" t="s">
        <v>2933</v>
      </c>
      <c r="J699" t="s">
        <v>2431</v>
      </c>
      <c r="K699" t="s">
        <v>2488</v>
      </c>
      <c r="L699">
        <v>88</v>
      </c>
      <c r="P699" t="s">
        <v>2494</v>
      </c>
      <c r="Q699">
        <v>2007</v>
      </c>
      <c r="R699">
        <v>1920</v>
      </c>
      <c r="S699" s="1"/>
      <c r="T699" s="1">
        <v>43832</v>
      </c>
      <c r="U699" t="s">
        <v>4126</v>
      </c>
      <c r="V699" t="s">
        <v>4114</v>
      </c>
      <c r="W699" t="s">
        <v>4127</v>
      </c>
      <c r="X699" t="s">
        <v>4128</v>
      </c>
      <c r="Y699" t="s">
        <v>4116</v>
      </c>
    </row>
    <row r="700" spans="1:25" x14ac:dyDescent="0.25">
      <c r="A700">
        <v>699</v>
      </c>
      <c r="B700">
        <v>6690798</v>
      </c>
      <c r="C700" t="s">
        <v>2824</v>
      </c>
      <c r="D700" t="s">
        <v>1569</v>
      </c>
      <c r="E700" t="s">
        <v>1507</v>
      </c>
      <c r="F700" t="s">
        <v>1508</v>
      </c>
      <c r="H700" t="s">
        <v>3811</v>
      </c>
      <c r="I700" t="s">
        <v>2901</v>
      </c>
      <c r="J700" t="s">
        <v>1668</v>
      </c>
      <c r="K700" t="s">
        <v>2488</v>
      </c>
      <c r="L700">
        <v>784</v>
      </c>
      <c r="P700" t="s">
        <v>2494</v>
      </c>
      <c r="Q700">
        <v>2010</v>
      </c>
      <c r="R700">
        <v>2010</v>
      </c>
      <c r="S700" s="1"/>
      <c r="T700" s="1">
        <v>43832</v>
      </c>
      <c r="U700" t="s">
        <v>4132</v>
      </c>
      <c r="V700" t="s">
        <v>4114</v>
      </c>
      <c r="W700" t="s">
        <v>4121</v>
      </c>
      <c r="X700" t="s">
        <v>2603</v>
      </c>
      <c r="Y700" t="s">
        <v>4116</v>
      </c>
    </row>
    <row r="701" spans="1:25" x14ac:dyDescent="0.25">
      <c r="A701">
        <v>700</v>
      </c>
      <c r="B701">
        <v>13577850</v>
      </c>
      <c r="C701" t="s">
        <v>1570</v>
      </c>
      <c r="D701" t="s">
        <v>17</v>
      </c>
      <c r="E701" t="s">
        <v>1571</v>
      </c>
      <c r="F701" t="s">
        <v>1572</v>
      </c>
      <c r="H701" t="s">
        <v>3812</v>
      </c>
      <c r="I701" t="s">
        <v>2890</v>
      </c>
      <c r="J701" t="s">
        <v>1668</v>
      </c>
      <c r="K701" t="s">
        <v>2488</v>
      </c>
      <c r="L701">
        <v>240</v>
      </c>
      <c r="P701" t="s">
        <v>2494</v>
      </c>
      <c r="Q701">
        <v>2010</v>
      </c>
      <c r="R701">
        <v>2010</v>
      </c>
      <c r="S701" s="1"/>
      <c r="T701" s="1">
        <v>43832</v>
      </c>
      <c r="U701" t="s">
        <v>4149</v>
      </c>
      <c r="V701" t="s">
        <v>4114</v>
      </c>
      <c r="W701" t="s">
        <v>4133</v>
      </c>
      <c r="X701" t="s">
        <v>2494</v>
      </c>
      <c r="Y701" t="s">
        <v>4125</v>
      </c>
    </row>
    <row r="702" spans="1:25" x14ac:dyDescent="0.25">
      <c r="A702">
        <v>701</v>
      </c>
      <c r="B702">
        <v>157993</v>
      </c>
      <c r="C702" t="s">
        <v>2856</v>
      </c>
      <c r="D702" t="s">
        <v>17</v>
      </c>
      <c r="E702" t="s">
        <v>1573</v>
      </c>
      <c r="F702" t="s">
        <v>1574</v>
      </c>
      <c r="H702" t="s">
        <v>3813</v>
      </c>
      <c r="I702" t="s">
        <v>2933</v>
      </c>
      <c r="J702" t="s">
        <v>2435</v>
      </c>
      <c r="K702" t="s">
        <v>2488</v>
      </c>
      <c r="L702">
        <v>96</v>
      </c>
      <c r="P702" t="s">
        <v>2494</v>
      </c>
      <c r="Q702">
        <v>2000</v>
      </c>
      <c r="R702">
        <v>1943</v>
      </c>
      <c r="S702" s="1"/>
      <c r="T702" s="1">
        <v>43832</v>
      </c>
      <c r="U702" t="s">
        <v>4122</v>
      </c>
      <c r="V702" t="s">
        <v>4114</v>
      </c>
      <c r="W702" t="s">
        <v>4127</v>
      </c>
      <c r="X702" t="s">
        <v>4128</v>
      </c>
      <c r="Y702" t="s">
        <v>4116</v>
      </c>
    </row>
    <row r="703" spans="1:25" x14ac:dyDescent="0.25">
      <c r="A703">
        <v>702</v>
      </c>
      <c r="B703">
        <v>6507760</v>
      </c>
      <c r="C703" t="s">
        <v>2833</v>
      </c>
      <c r="D703" t="s">
        <v>1575</v>
      </c>
      <c r="E703" t="s">
        <v>1534</v>
      </c>
      <c r="F703" t="s">
        <v>1535</v>
      </c>
      <c r="H703" t="s">
        <v>3814</v>
      </c>
      <c r="I703" t="s">
        <v>2901</v>
      </c>
      <c r="J703" t="s">
        <v>1668</v>
      </c>
      <c r="K703" t="s">
        <v>2488</v>
      </c>
      <c r="L703">
        <v>406</v>
      </c>
      <c r="P703" t="s">
        <v>2494</v>
      </c>
      <c r="Q703">
        <v>2009</v>
      </c>
      <c r="R703">
        <v>2010</v>
      </c>
      <c r="S703" s="1"/>
      <c r="T703" s="1">
        <v>43832</v>
      </c>
      <c r="U703" t="s">
        <v>4129</v>
      </c>
      <c r="V703" t="s">
        <v>4114</v>
      </c>
      <c r="W703" t="s">
        <v>4121</v>
      </c>
      <c r="X703" t="s">
        <v>2603</v>
      </c>
      <c r="Y703" t="s">
        <v>4116</v>
      </c>
    </row>
    <row r="704" spans="1:25" x14ac:dyDescent="0.25">
      <c r="A704">
        <v>703</v>
      </c>
      <c r="B704">
        <v>1478958</v>
      </c>
      <c r="C704" t="s">
        <v>1576</v>
      </c>
      <c r="D704" t="s">
        <v>1576</v>
      </c>
      <c r="E704" t="s">
        <v>1577</v>
      </c>
      <c r="F704" t="s">
        <v>1578</v>
      </c>
      <c r="H704" t="s">
        <v>3815</v>
      </c>
      <c r="I704" t="s">
        <v>2890</v>
      </c>
      <c r="J704" t="s">
        <v>2438</v>
      </c>
      <c r="K704" t="s">
        <v>2488</v>
      </c>
      <c r="L704">
        <v>334</v>
      </c>
      <c r="P704" t="s">
        <v>2494</v>
      </c>
      <c r="Q704">
        <v>2006</v>
      </c>
      <c r="R704">
        <v>1855</v>
      </c>
      <c r="S704" s="1"/>
      <c r="T704" s="1">
        <v>43832</v>
      </c>
      <c r="U704" t="s">
        <v>4126</v>
      </c>
      <c r="V704" t="s">
        <v>4114</v>
      </c>
      <c r="W704" t="s">
        <v>4148</v>
      </c>
      <c r="X704" t="s">
        <v>2486</v>
      </c>
      <c r="Y704" t="s">
        <v>4125</v>
      </c>
    </row>
    <row r="705" spans="1:25" x14ac:dyDescent="0.25">
      <c r="A705">
        <v>704</v>
      </c>
      <c r="B705">
        <v>17274667</v>
      </c>
      <c r="C705" t="s">
        <v>3816</v>
      </c>
      <c r="D705" t="s">
        <v>1580</v>
      </c>
      <c r="E705" t="s">
        <v>250</v>
      </c>
      <c r="F705" t="s">
        <v>251</v>
      </c>
      <c r="H705" t="s">
        <v>3817</v>
      </c>
      <c r="I705" t="s">
        <v>2901</v>
      </c>
      <c r="J705" t="s">
        <v>1668</v>
      </c>
      <c r="K705" t="s">
        <v>2488</v>
      </c>
      <c r="L705">
        <v>458</v>
      </c>
      <c r="P705" t="s">
        <v>2494</v>
      </c>
      <c r="Q705">
        <v>2013</v>
      </c>
      <c r="R705">
        <v>2002</v>
      </c>
      <c r="S705" s="1"/>
      <c r="T705" s="1">
        <v>43832</v>
      </c>
      <c r="U705" t="s">
        <v>4113</v>
      </c>
      <c r="V705" t="s">
        <v>4114</v>
      </c>
      <c r="W705" t="s">
        <v>4150</v>
      </c>
      <c r="X705" t="s">
        <v>4151</v>
      </c>
      <c r="Y705" t="s">
        <v>4116</v>
      </c>
    </row>
    <row r="706" spans="1:25" x14ac:dyDescent="0.25">
      <c r="A706">
        <v>705</v>
      </c>
      <c r="B706">
        <v>7116709</v>
      </c>
      <c r="C706" t="s">
        <v>2836</v>
      </c>
      <c r="D706" t="s">
        <v>1581</v>
      </c>
      <c r="E706" t="s">
        <v>1537</v>
      </c>
      <c r="F706" t="s">
        <v>1538</v>
      </c>
      <c r="H706" t="s">
        <v>3818</v>
      </c>
      <c r="I706" t="s">
        <v>2917</v>
      </c>
      <c r="J706" t="s">
        <v>1668</v>
      </c>
      <c r="K706" t="s">
        <v>57</v>
      </c>
      <c r="L706">
        <v>436</v>
      </c>
      <c r="P706" t="s">
        <v>2486</v>
      </c>
      <c r="Q706">
        <v>2010</v>
      </c>
      <c r="R706">
        <v>2010</v>
      </c>
      <c r="S706" s="1"/>
      <c r="T706" s="1">
        <v>43832</v>
      </c>
      <c r="U706" t="s">
        <v>4120</v>
      </c>
      <c r="V706" t="s">
        <v>4114</v>
      </c>
      <c r="W706" t="s">
        <v>4115</v>
      </c>
      <c r="X706" t="s">
        <v>2603</v>
      </c>
      <c r="Y706" t="s">
        <v>4116</v>
      </c>
    </row>
    <row r="707" spans="1:25" x14ac:dyDescent="0.25">
      <c r="A707">
        <v>706</v>
      </c>
      <c r="B707">
        <v>6262365</v>
      </c>
      <c r="C707" t="s">
        <v>2844</v>
      </c>
      <c r="D707" t="s">
        <v>1582</v>
      </c>
      <c r="E707" t="s">
        <v>1546</v>
      </c>
      <c r="F707" t="s">
        <v>1547</v>
      </c>
      <c r="H707" t="s">
        <v>3819</v>
      </c>
      <c r="I707" t="s">
        <v>2890</v>
      </c>
      <c r="J707" t="s">
        <v>1668</v>
      </c>
      <c r="K707" t="s">
        <v>2488</v>
      </c>
      <c r="L707">
        <v>319</v>
      </c>
      <c r="P707" t="s">
        <v>2494</v>
      </c>
      <c r="Q707">
        <v>2009</v>
      </c>
      <c r="R707">
        <v>2009</v>
      </c>
      <c r="S707" s="1"/>
      <c r="T707" s="1">
        <v>43832</v>
      </c>
      <c r="U707" t="s">
        <v>4120</v>
      </c>
      <c r="V707" t="s">
        <v>4114</v>
      </c>
      <c r="W707" t="s">
        <v>4121</v>
      </c>
      <c r="X707" t="s">
        <v>2603</v>
      </c>
      <c r="Y707" t="s">
        <v>4125</v>
      </c>
    </row>
    <row r="708" spans="1:25" x14ac:dyDescent="0.25">
      <c r="A708">
        <v>707</v>
      </c>
      <c r="B708">
        <v>4134071</v>
      </c>
      <c r="C708" t="s">
        <v>2845</v>
      </c>
      <c r="D708" t="s">
        <v>1583</v>
      </c>
      <c r="E708" t="s">
        <v>1546</v>
      </c>
      <c r="F708" t="s">
        <v>1547</v>
      </c>
      <c r="H708" t="s">
        <v>3820</v>
      </c>
      <c r="I708" t="s">
        <v>2890</v>
      </c>
      <c r="J708" t="s">
        <v>1668</v>
      </c>
      <c r="K708" t="s">
        <v>2488</v>
      </c>
      <c r="L708">
        <v>336</v>
      </c>
      <c r="P708" t="s">
        <v>2494</v>
      </c>
      <c r="Q708">
        <v>2009</v>
      </c>
      <c r="R708">
        <v>2009</v>
      </c>
      <c r="S708" s="1"/>
      <c r="T708" s="1">
        <v>43832</v>
      </c>
      <c r="U708" t="s">
        <v>4120</v>
      </c>
      <c r="V708" t="s">
        <v>4114</v>
      </c>
      <c r="W708" t="s">
        <v>4121</v>
      </c>
      <c r="X708" t="s">
        <v>2603</v>
      </c>
      <c r="Y708" t="s">
        <v>4125</v>
      </c>
    </row>
    <row r="709" spans="1:25" x14ac:dyDescent="0.25">
      <c r="A709">
        <v>708</v>
      </c>
      <c r="B709">
        <v>2866718</v>
      </c>
      <c r="C709" t="s">
        <v>2846</v>
      </c>
      <c r="D709" t="s">
        <v>1584</v>
      </c>
      <c r="E709" t="s">
        <v>1546</v>
      </c>
      <c r="F709" t="s">
        <v>1547</v>
      </c>
      <c r="H709" t="s">
        <v>3821</v>
      </c>
      <c r="I709" t="s">
        <v>2901</v>
      </c>
      <c r="J709" t="s">
        <v>1668</v>
      </c>
      <c r="K709" t="s">
        <v>2488</v>
      </c>
      <c r="L709">
        <v>338</v>
      </c>
      <c r="P709" t="s">
        <v>2494</v>
      </c>
      <c r="Q709">
        <v>2009</v>
      </c>
      <c r="R709">
        <v>2008</v>
      </c>
      <c r="S709" s="1"/>
      <c r="T709" s="1">
        <v>43832</v>
      </c>
      <c r="U709" t="s">
        <v>4120</v>
      </c>
      <c r="V709" t="s">
        <v>4114</v>
      </c>
      <c r="W709" t="s">
        <v>4121</v>
      </c>
      <c r="X709" t="s">
        <v>2603</v>
      </c>
      <c r="Y709" t="s">
        <v>4125</v>
      </c>
    </row>
    <row r="710" spans="1:25" x14ac:dyDescent="0.25">
      <c r="A710">
        <v>709</v>
      </c>
      <c r="B710">
        <v>1326258</v>
      </c>
      <c r="C710" t="s">
        <v>2847</v>
      </c>
      <c r="D710" t="s">
        <v>1585</v>
      </c>
      <c r="E710" t="s">
        <v>1546</v>
      </c>
      <c r="F710" t="s">
        <v>1547</v>
      </c>
      <c r="H710" t="s">
        <v>3822</v>
      </c>
      <c r="I710" t="s">
        <v>2901</v>
      </c>
      <c r="J710" t="s">
        <v>1668</v>
      </c>
      <c r="K710" t="s">
        <v>2488</v>
      </c>
      <c r="L710">
        <v>307</v>
      </c>
      <c r="P710" t="s">
        <v>2494</v>
      </c>
      <c r="Q710">
        <v>2008</v>
      </c>
      <c r="R710">
        <v>2008</v>
      </c>
      <c r="S710" s="1"/>
      <c r="T710" s="1">
        <v>43832</v>
      </c>
      <c r="U710" t="s">
        <v>4120</v>
      </c>
      <c r="V710" t="s">
        <v>4114</v>
      </c>
      <c r="W710" t="s">
        <v>4121</v>
      </c>
      <c r="X710" t="s">
        <v>2603</v>
      </c>
      <c r="Y710" t="s">
        <v>4125</v>
      </c>
    </row>
    <row r="711" spans="1:25" x14ac:dyDescent="0.25">
      <c r="A711">
        <v>710</v>
      </c>
      <c r="B711">
        <v>676924</v>
      </c>
      <c r="C711" t="s">
        <v>2848</v>
      </c>
      <c r="D711" t="s">
        <v>1586</v>
      </c>
      <c r="E711" t="s">
        <v>1546</v>
      </c>
      <c r="F711" t="s">
        <v>1547</v>
      </c>
      <c r="H711" t="s">
        <v>3823</v>
      </c>
      <c r="I711" t="s">
        <v>2890</v>
      </c>
      <c r="J711" t="s">
        <v>1668</v>
      </c>
      <c r="K711" t="s">
        <v>2488</v>
      </c>
      <c r="L711">
        <v>310</v>
      </c>
      <c r="P711" t="s">
        <v>2494</v>
      </c>
      <c r="Q711">
        <v>2007</v>
      </c>
      <c r="R711">
        <v>2007</v>
      </c>
      <c r="S711" s="1"/>
      <c r="T711" s="1">
        <v>43832</v>
      </c>
      <c r="U711" t="s">
        <v>4120</v>
      </c>
      <c r="V711" t="s">
        <v>4114</v>
      </c>
      <c r="W711" t="s">
        <v>4121</v>
      </c>
      <c r="X711" t="s">
        <v>2603</v>
      </c>
      <c r="Y711" t="s">
        <v>4125</v>
      </c>
    </row>
    <row r="712" spans="1:25" x14ac:dyDescent="0.25">
      <c r="A712">
        <v>711</v>
      </c>
      <c r="B712">
        <v>30183</v>
      </c>
      <c r="C712" t="s">
        <v>2849</v>
      </c>
      <c r="D712" t="s">
        <v>1587</v>
      </c>
      <c r="E712" t="s">
        <v>1546</v>
      </c>
      <c r="F712" t="s">
        <v>1547</v>
      </c>
      <c r="H712" t="s">
        <v>3824</v>
      </c>
      <c r="I712" t="s">
        <v>2917</v>
      </c>
      <c r="J712" t="s">
        <v>1668</v>
      </c>
      <c r="K712" t="s">
        <v>2488</v>
      </c>
      <c r="L712">
        <v>306</v>
      </c>
      <c r="P712" t="s">
        <v>2494</v>
      </c>
      <c r="Q712">
        <v>2007</v>
      </c>
      <c r="R712">
        <v>2007</v>
      </c>
      <c r="S712" s="1"/>
      <c r="T712" s="1">
        <v>43832</v>
      </c>
      <c r="U712" t="s">
        <v>4120</v>
      </c>
      <c r="V712" t="s">
        <v>4114</v>
      </c>
      <c r="W712" t="s">
        <v>4121</v>
      </c>
      <c r="X712" t="s">
        <v>2603</v>
      </c>
      <c r="Y712" t="s">
        <v>4125</v>
      </c>
    </row>
    <row r="713" spans="1:25" x14ac:dyDescent="0.25">
      <c r="A713">
        <v>712</v>
      </c>
      <c r="B713">
        <v>6137154</v>
      </c>
      <c r="C713" t="s">
        <v>2857</v>
      </c>
      <c r="D713" t="s">
        <v>1588</v>
      </c>
      <c r="E713" t="s">
        <v>1589</v>
      </c>
      <c r="F713" t="s">
        <v>1590</v>
      </c>
      <c r="H713" t="s">
        <v>3825</v>
      </c>
      <c r="I713" t="s">
        <v>2890</v>
      </c>
      <c r="J713" t="s">
        <v>2858</v>
      </c>
      <c r="K713" t="s">
        <v>2488</v>
      </c>
      <c r="L713">
        <v>480</v>
      </c>
      <c r="P713" t="s">
        <v>2494</v>
      </c>
      <c r="Q713">
        <v>2009</v>
      </c>
      <c r="R713">
        <v>2009</v>
      </c>
      <c r="S713" s="1"/>
      <c r="T713" s="1">
        <v>43832</v>
      </c>
      <c r="U713" t="s">
        <v>4136</v>
      </c>
      <c r="V713" t="s">
        <v>4114</v>
      </c>
      <c r="W713" t="s">
        <v>4121</v>
      </c>
      <c r="X713" t="s">
        <v>2603</v>
      </c>
      <c r="Y713" t="s">
        <v>4125</v>
      </c>
    </row>
    <row r="714" spans="1:25" x14ac:dyDescent="0.25">
      <c r="A714">
        <v>713</v>
      </c>
      <c r="B714">
        <v>3236307</v>
      </c>
      <c r="C714" t="s">
        <v>2859</v>
      </c>
      <c r="D714" t="s">
        <v>1591</v>
      </c>
      <c r="E714" t="s">
        <v>1589</v>
      </c>
      <c r="F714" t="s">
        <v>1590</v>
      </c>
      <c r="H714" t="s">
        <v>3826</v>
      </c>
      <c r="I714" t="s">
        <v>2901</v>
      </c>
      <c r="J714" t="s">
        <v>2858</v>
      </c>
      <c r="K714" t="s">
        <v>2488</v>
      </c>
      <c r="L714">
        <v>471</v>
      </c>
      <c r="P714" t="s">
        <v>2494</v>
      </c>
      <c r="Q714">
        <v>2008</v>
      </c>
      <c r="R714">
        <v>2008</v>
      </c>
      <c r="S714" s="1"/>
      <c r="T714" s="1">
        <v>43832</v>
      </c>
      <c r="U714" t="s">
        <v>4136</v>
      </c>
      <c r="V714" t="s">
        <v>4114</v>
      </c>
      <c r="W714" t="s">
        <v>4121</v>
      </c>
      <c r="X714" t="s">
        <v>2603</v>
      </c>
      <c r="Y714" t="s">
        <v>4125</v>
      </c>
    </row>
    <row r="715" spans="1:25" x14ac:dyDescent="0.25">
      <c r="A715">
        <v>714</v>
      </c>
      <c r="B715">
        <v>1630729</v>
      </c>
      <c r="C715" t="s">
        <v>2860</v>
      </c>
      <c r="D715" t="s">
        <v>1592</v>
      </c>
      <c r="E715" t="s">
        <v>1593</v>
      </c>
      <c r="F715" t="s">
        <v>1594</v>
      </c>
      <c r="H715" t="s">
        <v>3827</v>
      </c>
      <c r="I715" t="s">
        <v>2890</v>
      </c>
      <c r="J715" t="s">
        <v>1668</v>
      </c>
      <c r="K715" t="s">
        <v>2488</v>
      </c>
      <c r="L715">
        <v>516</v>
      </c>
      <c r="P715" t="s">
        <v>2494</v>
      </c>
      <c r="Q715">
        <v>2009</v>
      </c>
      <c r="R715">
        <v>2009</v>
      </c>
      <c r="S715" s="1"/>
      <c r="T715" s="1">
        <v>43832</v>
      </c>
      <c r="U715" t="s">
        <v>4138</v>
      </c>
      <c r="V715" t="s">
        <v>4114</v>
      </c>
      <c r="W715" t="s">
        <v>4121</v>
      </c>
      <c r="X715" t="s">
        <v>2603</v>
      </c>
      <c r="Y715" t="s">
        <v>4125</v>
      </c>
    </row>
    <row r="716" spans="1:25" x14ac:dyDescent="0.25">
      <c r="A716">
        <v>715</v>
      </c>
      <c r="B716">
        <v>6411961</v>
      </c>
      <c r="C716" t="s">
        <v>2861</v>
      </c>
      <c r="D716" t="s">
        <v>1595</v>
      </c>
      <c r="E716" t="s">
        <v>125</v>
      </c>
      <c r="F716" t="s">
        <v>126</v>
      </c>
      <c r="H716" t="s">
        <v>3828</v>
      </c>
      <c r="I716" t="s">
        <v>2901</v>
      </c>
      <c r="J716" t="s">
        <v>1668</v>
      </c>
      <c r="K716" t="s">
        <v>2488</v>
      </c>
      <c r="L716">
        <v>509</v>
      </c>
      <c r="P716" t="s">
        <v>2494</v>
      </c>
      <c r="Q716">
        <v>2009</v>
      </c>
      <c r="R716">
        <v>2009</v>
      </c>
      <c r="S716" s="1"/>
      <c r="T716" s="1">
        <v>43832</v>
      </c>
      <c r="U716" t="s">
        <v>4129</v>
      </c>
      <c r="V716" t="s">
        <v>4114</v>
      </c>
      <c r="W716" t="s">
        <v>4121</v>
      </c>
      <c r="X716" t="s">
        <v>2603</v>
      </c>
      <c r="Y716" t="s">
        <v>4116</v>
      </c>
    </row>
    <row r="717" spans="1:25" x14ac:dyDescent="0.25">
      <c r="A717">
        <v>716</v>
      </c>
      <c r="B717">
        <v>45978</v>
      </c>
      <c r="C717" t="s">
        <v>3829</v>
      </c>
      <c r="D717" t="s">
        <v>1597</v>
      </c>
      <c r="E717" t="s">
        <v>269</v>
      </c>
      <c r="F717" t="s">
        <v>270</v>
      </c>
      <c r="H717" t="s">
        <v>3830</v>
      </c>
      <c r="I717" t="s">
        <v>2901</v>
      </c>
      <c r="J717" t="s">
        <v>1762</v>
      </c>
      <c r="K717" t="s">
        <v>2488</v>
      </c>
      <c r="L717">
        <v>704</v>
      </c>
      <c r="P717" t="s">
        <v>2494</v>
      </c>
      <c r="Q717">
        <v>2007</v>
      </c>
      <c r="R717">
        <v>2005</v>
      </c>
      <c r="S717" s="1"/>
      <c r="T717" s="1">
        <v>43832</v>
      </c>
      <c r="U717" t="s">
        <v>4120</v>
      </c>
      <c r="V717" t="s">
        <v>4114</v>
      </c>
      <c r="W717" t="s">
        <v>4121</v>
      </c>
      <c r="X717" t="s">
        <v>2603</v>
      </c>
      <c r="Y717" t="s">
        <v>4116</v>
      </c>
    </row>
    <row r="718" spans="1:25" x14ac:dyDescent="0.25">
      <c r="A718">
        <v>717</v>
      </c>
      <c r="B718">
        <v>6548409</v>
      </c>
      <c r="C718" t="s">
        <v>2871</v>
      </c>
      <c r="D718" t="s">
        <v>17</v>
      </c>
      <c r="E718" t="s">
        <v>1598</v>
      </c>
      <c r="F718" t="s">
        <v>1599</v>
      </c>
      <c r="H718" t="s">
        <v>3831</v>
      </c>
      <c r="I718" t="s">
        <v>2901</v>
      </c>
      <c r="J718" t="s">
        <v>2872</v>
      </c>
      <c r="K718" t="s">
        <v>2488</v>
      </c>
      <c r="L718">
        <v>256</v>
      </c>
      <c r="P718" t="s">
        <v>2494</v>
      </c>
      <c r="Q718">
        <v>2009</v>
      </c>
      <c r="R718">
        <v>2005</v>
      </c>
      <c r="S718" s="1"/>
      <c r="T718" s="1">
        <v>43832</v>
      </c>
      <c r="U718" t="s">
        <v>4157</v>
      </c>
      <c r="V718" t="s">
        <v>4131</v>
      </c>
      <c r="W718" t="s">
        <v>4115</v>
      </c>
      <c r="X718" t="s">
        <v>2603</v>
      </c>
      <c r="Y718" t="s">
        <v>4116</v>
      </c>
    </row>
    <row r="719" spans="1:25" x14ac:dyDescent="0.25">
      <c r="A719">
        <v>718</v>
      </c>
      <c r="B719">
        <v>1162543</v>
      </c>
      <c r="C719" t="s">
        <v>2868</v>
      </c>
      <c r="D719" t="s">
        <v>1600</v>
      </c>
      <c r="E719" t="s">
        <v>1601</v>
      </c>
      <c r="F719" t="s">
        <v>1602</v>
      </c>
      <c r="H719" t="s">
        <v>3832</v>
      </c>
      <c r="I719" t="s">
        <v>2901</v>
      </c>
      <c r="J719" t="s">
        <v>1723</v>
      </c>
      <c r="K719" t="s">
        <v>57</v>
      </c>
      <c r="L719">
        <v>756</v>
      </c>
      <c r="P719" t="s">
        <v>2486</v>
      </c>
      <c r="Q719">
        <v>2008</v>
      </c>
      <c r="R719">
        <v>2008</v>
      </c>
      <c r="S719" s="1"/>
      <c r="T719" s="1">
        <v>43832</v>
      </c>
      <c r="U719" t="s">
        <v>4136</v>
      </c>
      <c r="V719" t="s">
        <v>4114</v>
      </c>
      <c r="W719" t="s">
        <v>4121</v>
      </c>
      <c r="X719" t="s">
        <v>2603</v>
      </c>
      <c r="Y719" t="s">
        <v>4125</v>
      </c>
    </row>
    <row r="720" spans="1:25" x14ac:dyDescent="0.25">
      <c r="A720">
        <v>719</v>
      </c>
      <c r="B720">
        <v>49041</v>
      </c>
      <c r="C720" t="s">
        <v>2870</v>
      </c>
      <c r="D720" t="s">
        <v>2869</v>
      </c>
      <c r="E720" t="s">
        <v>1601</v>
      </c>
      <c r="F720" t="s">
        <v>1602</v>
      </c>
      <c r="H720" t="s">
        <v>3833</v>
      </c>
      <c r="I720" t="s">
        <v>2901</v>
      </c>
      <c r="J720" t="s">
        <v>1723</v>
      </c>
      <c r="K720" t="s">
        <v>57</v>
      </c>
      <c r="L720">
        <v>563</v>
      </c>
      <c r="P720" t="s">
        <v>2486</v>
      </c>
      <c r="Q720">
        <v>2006</v>
      </c>
      <c r="R720">
        <v>2006</v>
      </c>
      <c r="S720" s="1"/>
      <c r="T720" s="1">
        <v>43832</v>
      </c>
      <c r="U720" t="s">
        <v>4136</v>
      </c>
      <c r="V720" t="s">
        <v>4114</v>
      </c>
      <c r="W720" t="s">
        <v>4121</v>
      </c>
      <c r="X720" t="s">
        <v>2603</v>
      </c>
      <c r="Y720" t="s">
        <v>4125</v>
      </c>
    </row>
    <row r="721" spans="1:25" x14ac:dyDescent="0.25">
      <c r="A721">
        <v>720</v>
      </c>
      <c r="B721">
        <v>12136181</v>
      </c>
      <c r="C721" t="s">
        <v>1604</v>
      </c>
      <c r="D721" t="s">
        <v>17</v>
      </c>
      <c r="E721" t="s">
        <v>1504</v>
      </c>
      <c r="F721" t="s">
        <v>1505</v>
      </c>
      <c r="H721" t="s">
        <v>3834</v>
      </c>
      <c r="I721" t="s">
        <v>2917</v>
      </c>
      <c r="J721" t="s">
        <v>2235</v>
      </c>
      <c r="K721" t="s">
        <v>2488</v>
      </c>
      <c r="L721">
        <v>142</v>
      </c>
      <c r="P721" t="s">
        <v>2494</v>
      </c>
      <c r="Q721">
        <v>2009</v>
      </c>
      <c r="R721">
        <v>2007</v>
      </c>
      <c r="S721" s="1"/>
      <c r="T721" s="1">
        <v>43832</v>
      </c>
      <c r="U721" t="s">
        <v>4149</v>
      </c>
      <c r="V721" t="s">
        <v>4114</v>
      </c>
      <c r="W721" t="s">
        <v>4133</v>
      </c>
      <c r="X721" t="s">
        <v>2494</v>
      </c>
      <c r="Y721" t="s">
        <v>4125</v>
      </c>
    </row>
    <row r="722" spans="1:25" x14ac:dyDescent="0.25">
      <c r="A722">
        <v>721</v>
      </c>
      <c r="B722">
        <v>40874325</v>
      </c>
      <c r="C722" t="s">
        <v>2873</v>
      </c>
      <c r="D722" t="s">
        <v>17</v>
      </c>
      <c r="E722" t="s">
        <v>1605</v>
      </c>
      <c r="F722" t="s">
        <v>1606</v>
      </c>
      <c r="H722" t="s">
        <v>3835</v>
      </c>
      <c r="I722" t="s">
        <v>2933</v>
      </c>
      <c r="J722" t="s">
        <v>1723</v>
      </c>
      <c r="K722" t="s">
        <v>2488</v>
      </c>
      <c r="L722">
        <v>294</v>
      </c>
      <c r="P722" t="s">
        <v>2494</v>
      </c>
      <c r="Q722">
        <v>2008</v>
      </c>
      <c r="R722">
        <v>2007</v>
      </c>
      <c r="S722" s="1"/>
      <c r="T722" s="1">
        <v>43832</v>
      </c>
      <c r="U722" t="s">
        <v>4152</v>
      </c>
      <c r="V722" t="s">
        <v>4131</v>
      </c>
      <c r="W722" t="s">
        <v>4137</v>
      </c>
      <c r="X722" t="s">
        <v>2603</v>
      </c>
      <c r="Y722" t="s">
        <v>4116</v>
      </c>
    </row>
    <row r="723" spans="1:25" x14ac:dyDescent="0.25">
      <c r="A723">
        <v>722</v>
      </c>
      <c r="B723">
        <v>13307403</v>
      </c>
      <c r="C723" t="s">
        <v>1607</v>
      </c>
      <c r="D723" t="s">
        <v>17</v>
      </c>
      <c r="E723" t="s">
        <v>1608</v>
      </c>
      <c r="F723" t="s">
        <v>1609</v>
      </c>
      <c r="H723" t="s">
        <v>3836</v>
      </c>
      <c r="I723" t="s">
        <v>2917</v>
      </c>
      <c r="J723" t="s">
        <v>1730</v>
      </c>
      <c r="K723" t="s">
        <v>2488</v>
      </c>
      <c r="L723">
        <v>318</v>
      </c>
      <c r="P723" t="s">
        <v>2494</v>
      </c>
      <c r="Q723">
        <v>2009</v>
      </c>
      <c r="R723">
        <v>2009</v>
      </c>
      <c r="S723" s="1"/>
      <c r="T723" s="1">
        <v>43832</v>
      </c>
      <c r="U723" t="s">
        <v>4149</v>
      </c>
      <c r="V723" t="s">
        <v>4114</v>
      </c>
      <c r="W723" t="s">
        <v>4148</v>
      </c>
      <c r="X723" t="s">
        <v>2486</v>
      </c>
      <c r="Y723" t="s">
        <v>4125</v>
      </c>
    </row>
    <row r="724" spans="1:25" x14ac:dyDescent="0.25">
      <c r="A724">
        <v>723</v>
      </c>
      <c r="B724">
        <v>12136189</v>
      </c>
      <c r="C724" t="s">
        <v>1610</v>
      </c>
      <c r="D724" t="s">
        <v>17</v>
      </c>
      <c r="E724" t="s">
        <v>1504</v>
      </c>
      <c r="F724" t="s">
        <v>1505</v>
      </c>
      <c r="H724" t="s">
        <v>3837</v>
      </c>
      <c r="I724" t="s">
        <v>2901</v>
      </c>
      <c r="J724" t="s">
        <v>2235</v>
      </c>
      <c r="K724" t="s">
        <v>2488</v>
      </c>
      <c r="L724">
        <v>240</v>
      </c>
      <c r="P724" t="s">
        <v>2494</v>
      </c>
      <c r="Q724">
        <v>2008</v>
      </c>
      <c r="R724">
        <v>2008</v>
      </c>
      <c r="S724" s="1"/>
      <c r="T724" s="1">
        <v>43832</v>
      </c>
      <c r="U724" t="s">
        <v>4149</v>
      </c>
      <c r="V724" t="s">
        <v>4114</v>
      </c>
      <c r="W724" t="s">
        <v>4133</v>
      </c>
      <c r="X724" t="s">
        <v>2494</v>
      </c>
      <c r="Y724" t="s">
        <v>4125</v>
      </c>
    </row>
    <row r="725" spans="1:25" x14ac:dyDescent="0.25">
      <c r="A725">
        <v>724</v>
      </c>
      <c r="B725">
        <v>52529</v>
      </c>
      <c r="C725" t="s">
        <v>2874</v>
      </c>
      <c r="D725" t="s">
        <v>1611</v>
      </c>
      <c r="E725" t="s">
        <v>1612</v>
      </c>
      <c r="F725" t="s">
        <v>1613</v>
      </c>
      <c r="H725" t="s">
        <v>3838</v>
      </c>
      <c r="I725" t="s">
        <v>2933</v>
      </c>
      <c r="J725" t="s">
        <v>1668</v>
      </c>
      <c r="K725" t="s">
        <v>2488</v>
      </c>
      <c r="L725">
        <v>199</v>
      </c>
      <c r="P725" t="s">
        <v>2494</v>
      </c>
      <c r="Q725">
        <v>2006</v>
      </c>
      <c r="R725">
        <v>2006</v>
      </c>
      <c r="S725" s="1"/>
      <c r="T725" s="1">
        <v>43832</v>
      </c>
      <c r="U725" t="s">
        <v>4130</v>
      </c>
      <c r="V725" t="s">
        <v>4131</v>
      </c>
      <c r="W725" t="s">
        <v>4156</v>
      </c>
      <c r="X725" t="s">
        <v>2603</v>
      </c>
      <c r="Y725" t="s">
        <v>4125</v>
      </c>
    </row>
    <row r="726" spans="1:25" x14ac:dyDescent="0.25">
      <c r="A726">
        <v>725</v>
      </c>
      <c r="B726">
        <v>2248573</v>
      </c>
      <c r="C726" t="s">
        <v>3839</v>
      </c>
      <c r="D726" t="s">
        <v>1615</v>
      </c>
      <c r="E726" t="s">
        <v>269</v>
      </c>
      <c r="F726" t="s">
        <v>270</v>
      </c>
      <c r="H726" t="s">
        <v>3840</v>
      </c>
      <c r="I726" t="s">
        <v>2901</v>
      </c>
      <c r="J726" t="s">
        <v>1762</v>
      </c>
      <c r="K726" t="s">
        <v>2488</v>
      </c>
      <c r="L726">
        <v>748</v>
      </c>
      <c r="P726" t="s">
        <v>2494</v>
      </c>
      <c r="Q726">
        <v>2008</v>
      </c>
      <c r="R726">
        <v>2008</v>
      </c>
      <c r="S726" s="1"/>
      <c r="T726" s="1">
        <v>43832</v>
      </c>
      <c r="U726" t="s">
        <v>4120</v>
      </c>
      <c r="V726" t="s">
        <v>4114</v>
      </c>
      <c r="W726" t="s">
        <v>4121</v>
      </c>
      <c r="X726" t="s">
        <v>2603</v>
      </c>
      <c r="Y726" t="s">
        <v>4116</v>
      </c>
    </row>
    <row r="727" spans="1:25" x14ac:dyDescent="0.25">
      <c r="A727">
        <v>726</v>
      </c>
      <c r="B727">
        <v>18144590</v>
      </c>
      <c r="C727" t="s">
        <v>2875</v>
      </c>
      <c r="D727" t="s">
        <v>17</v>
      </c>
      <c r="E727" t="s">
        <v>1616</v>
      </c>
      <c r="F727" t="s">
        <v>1617</v>
      </c>
      <c r="H727" t="s">
        <v>3841</v>
      </c>
      <c r="I727" t="s">
        <v>2917</v>
      </c>
      <c r="J727" t="s">
        <v>1668</v>
      </c>
      <c r="K727" t="s">
        <v>2488</v>
      </c>
      <c r="L727">
        <v>182</v>
      </c>
      <c r="P727" t="s">
        <v>2494</v>
      </c>
      <c r="Q727">
        <v>2014</v>
      </c>
      <c r="R727">
        <v>1988</v>
      </c>
      <c r="S727" s="1"/>
      <c r="T727" s="1">
        <v>43832</v>
      </c>
      <c r="U727" t="s">
        <v>4152</v>
      </c>
      <c r="V727" t="s">
        <v>4131</v>
      </c>
      <c r="W727" t="s">
        <v>4153</v>
      </c>
      <c r="X727" t="s">
        <v>4179</v>
      </c>
      <c r="Y727" t="s">
        <v>4116</v>
      </c>
    </row>
    <row r="728" spans="1:25" x14ac:dyDescent="0.25">
      <c r="A728">
        <v>727</v>
      </c>
      <c r="B728">
        <v>6483863</v>
      </c>
      <c r="C728" t="s">
        <v>1618</v>
      </c>
      <c r="D728" t="s">
        <v>17</v>
      </c>
      <c r="E728" t="s">
        <v>1619</v>
      </c>
      <c r="F728" t="s">
        <v>1620</v>
      </c>
      <c r="H728" t="s">
        <v>3842</v>
      </c>
      <c r="I728" t="s">
        <v>2917</v>
      </c>
      <c r="J728" t="s">
        <v>1759</v>
      </c>
      <c r="K728" t="s">
        <v>2488</v>
      </c>
      <c r="L728">
        <v>160</v>
      </c>
      <c r="P728" t="s">
        <v>2494</v>
      </c>
      <c r="Q728">
        <v>2007</v>
      </c>
      <c r="R728">
        <v>2007</v>
      </c>
      <c r="S728" s="1"/>
      <c r="T728" s="1">
        <v>43832</v>
      </c>
      <c r="U728" t="s">
        <v>4149</v>
      </c>
      <c r="V728" t="s">
        <v>4114</v>
      </c>
      <c r="W728" t="s">
        <v>4133</v>
      </c>
      <c r="X728" t="s">
        <v>2494</v>
      </c>
      <c r="Y728" t="s">
        <v>4147</v>
      </c>
    </row>
    <row r="729" spans="1:25" x14ac:dyDescent="0.25">
      <c r="A729">
        <v>728</v>
      </c>
      <c r="B729">
        <v>9223064</v>
      </c>
      <c r="C729" t="s">
        <v>1621</v>
      </c>
      <c r="D729" t="s">
        <v>17</v>
      </c>
      <c r="E729" t="s">
        <v>1504</v>
      </c>
      <c r="F729" t="s">
        <v>1505</v>
      </c>
      <c r="H729" t="s">
        <v>3843</v>
      </c>
      <c r="I729" t="s">
        <v>2901</v>
      </c>
      <c r="J729" t="s">
        <v>2235</v>
      </c>
      <c r="K729" t="s">
        <v>2488</v>
      </c>
      <c r="L729">
        <v>328</v>
      </c>
      <c r="P729" t="s">
        <v>2494</v>
      </c>
      <c r="Q729">
        <v>2010</v>
      </c>
      <c r="R729">
        <v>2007</v>
      </c>
      <c r="S729" s="1"/>
      <c r="T729" s="1">
        <v>43832</v>
      </c>
      <c r="U729" t="s">
        <v>4149</v>
      </c>
      <c r="V729" t="s">
        <v>4114</v>
      </c>
      <c r="W729" t="s">
        <v>4133</v>
      </c>
      <c r="X729" t="s">
        <v>2494</v>
      </c>
      <c r="Y729" t="s">
        <v>4125</v>
      </c>
    </row>
    <row r="730" spans="1:25" x14ac:dyDescent="0.25">
      <c r="A730">
        <v>729</v>
      </c>
      <c r="B730">
        <v>136251</v>
      </c>
      <c r="C730" t="s">
        <v>2876</v>
      </c>
      <c r="D730" t="s">
        <v>1622</v>
      </c>
      <c r="E730" t="s">
        <v>1427</v>
      </c>
      <c r="F730" t="s">
        <v>1428</v>
      </c>
      <c r="H730" t="s">
        <v>3844</v>
      </c>
      <c r="I730" t="s">
        <v>2901</v>
      </c>
      <c r="J730" t="s">
        <v>1668</v>
      </c>
      <c r="K730" t="s">
        <v>57</v>
      </c>
      <c r="L730">
        <v>759</v>
      </c>
      <c r="P730" t="s">
        <v>2486</v>
      </c>
      <c r="Q730">
        <v>2007</v>
      </c>
      <c r="R730">
        <v>2007</v>
      </c>
      <c r="S730" s="1"/>
      <c r="T730" s="1">
        <v>43832</v>
      </c>
      <c r="U730" t="s">
        <v>4120</v>
      </c>
      <c r="V730" t="s">
        <v>4114</v>
      </c>
      <c r="W730" t="s">
        <v>4115</v>
      </c>
      <c r="X730" t="s">
        <v>2603</v>
      </c>
      <c r="Y730" t="s">
        <v>4125</v>
      </c>
    </row>
    <row r="731" spans="1:25" x14ac:dyDescent="0.25">
      <c r="A731">
        <v>730</v>
      </c>
      <c r="B731">
        <v>6483864</v>
      </c>
      <c r="C731" t="s">
        <v>1623</v>
      </c>
      <c r="D731" t="s">
        <v>17</v>
      </c>
      <c r="E731" t="s">
        <v>1619</v>
      </c>
      <c r="F731" t="s">
        <v>1620</v>
      </c>
      <c r="H731" t="s">
        <v>3845</v>
      </c>
      <c r="I731" t="s">
        <v>2890</v>
      </c>
      <c r="J731" t="s">
        <v>1759</v>
      </c>
      <c r="K731" t="s">
        <v>2488</v>
      </c>
      <c r="L731">
        <v>200</v>
      </c>
      <c r="P731" t="s">
        <v>2494</v>
      </c>
      <c r="Q731">
        <v>2007</v>
      </c>
      <c r="R731">
        <v>2007</v>
      </c>
      <c r="S731" s="1"/>
      <c r="T731" s="1">
        <v>43832</v>
      </c>
      <c r="U731" t="s">
        <v>4149</v>
      </c>
      <c r="V731" t="s">
        <v>4114</v>
      </c>
      <c r="W731" t="s">
        <v>4133</v>
      </c>
      <c r="X731" t="s">
        <v>2494</v>
      </c>
      <c r="Y731" t="s">
        <v>4147</v>
      </c>
    </row>
    <row r="732" spans="1:25" x14ac:dyDescent="0.25">
      <c r="A732">
        <v>731</v>
      </c>
      <c r="B732">
        <v>10210</v>
      </c>
      <c r="C732" t="s">
        <v>1624</v>
      </c>
      <c r="D732" t="s">
        <v>17</v>
      </c>
      <c r="E732" t="s">
        <v>1625</v>
      </c>
      <c r="F732" t="s">
        <v>1626</v>
      </c>
      <c r="H732" t="s">
        <v>3846</v>
      </c>
      <c r="I732" t="s">
        <v>2933</v>
      </c>
      <c r="J732" t="s">
        <v>2883</v>
      </c>
      <c r="K732" t="s">
        <v>2488</v>
      </c>
      <c r="L732">
        <v>532</v>
      </c>
      <c r="P732" t="s">
        <v>2494</v>
      </c>
      <c r="Q732">
        <v>2003</v>
      </c>
      <c r="R732">
        <v>1847</v>
      </c>
      <c r="S732" s="1"/>
      <c r="T732" s="1">
        <v>43832</v>
      </c>
      <c r="U732" t="s">
        <v>4126</v>
      </c>
      <c r="V732" t="s">
        <v>4114</v>
      </c>
      <c r="W732" t="s">
        <v>4115</v>
      </c>
      <c r="X732" t="s">
        <v>2603</v>
      </c>
      <c r="Y732" t="s">
        <v>4125</v>
      </c>
    </row>
    <row r="733" spans="1:25" x14ac:dyDescent="0.25">
      <c r="A733">
        <v>732</v>
      </c>
      <c r="B733">
        <v>6483857</v>
      </c>
      <c r="C733" t="s">
        <v>1627</v>
      </c>
      <c r="D733" t="s">
        <v>17</v>
      </c>
      <c r="E733" t="s">
        <v>1619</v>
      </c>
      <c r="F733" t="s">
        <v>1620</v>
      </c>
      <c r="H733" t="s">
        <v>3847</v>
      </c>
      <c r="I733" t="s">
        <v>2890</v>
      </c>
      <c r="J733" t="s">
        <v>1759</v>
      </c>
      <c r="K733" t="s">
        <v>2488</v>
      </c>
      <c r="L733">
        <v>176</v>
      </c>
      <c r="P733" t="s">
        <v>2494</v>
      </c>
      <c r="Q733">
        <v>2006</v>
      </c>
      <c r="R733">
        <v>2001</v>
      </c>
      <c r="S733" s="1"/>
      <c r="T733" s="1">
        <v>43832</v>
      </c>
      <c r="U733" t="s">
        <v>4149</v>
      </c>
      <c r="V733" t="s">
        <v>4114</v>
      </c>
      <c r="W733" t="s">
        <v>4133</v>
      </c>
      <c r="X733" t="s">
        <v>2494</v>
      </c>
      <c r="Y733" t="s">
        <v>4147</v>
      </c>
    </row>
    <row r="734" spans="1:25" x14ac:dyDescent="0.25">
      <c r="A734">
        <v>733</v>
      </c>
      <c r="B734">
        <v>710826</v>
      </c>
      <c r="C734" t="s">
        <v>2884</v>
      </c>
      <c r="D734" t="s">
        <v>17</v>
      </c>
      <c r="E734" t="s">
        <v>1628</v>
      </c>
      <c r="F734" t="s">
        <v>1629</v>
      </c>
      <c r="H734" t="s">
        <v>3848</v>
      </c>
      <c r="I734" t="s">
        <v>2890</v>
      </c>
      <c r="J734" t="s">
        <v>1668</v>
      </c>
      <c r="K734" t="s">
        <v>57</v>
      </c>
      <c r="L734">
        <v>432</v>
      </c>
      <c r="P734" t="s">
        <v>2494</v>
      </c>
      <c r="Q734">
        <v>2004</v>
      </c>
      <c r="R734">
        <v>2004</v>
      </c>
      <c r="S734" s="1"/>
      <c r="T734" s="1">
        <v>43832</v>
      </c>
      <c r="U734" t="s">
        <v>4149</v>
      </c>
      <c r="V734" t="s">
        <v>4114</v>
      </c>
      <c r="W734" t="s">
        <v>4121</v>
      </c>
      <c r="X734" t="s">
        <v>2603</v>
      </c>
      <c r="Y734" t="s">
        <v>4125</v>
      </c>
    </row>
    <row r="735" spans="1:25" x14ac:dyDescent="0.25">
      <c r="A735">
        <v>734</v>
      </c>
      <c r="B735">
        <v>6483874</v>
      </c>
      <c r="C735" t="s">
        <v>1630</v>
      </c>
      <c r="D735" t="s">
        <v>17</v>
      </c>
      <c r="E735" t="s">
        <v>1619</v>
      </c>
      <c r="F735" t="s">
        <v>1620</v>
      </c>
      <c r="H735" t="s">
        <v>3849</v>
      </c>
      <c r="I735" t="s">
        <v>2901</v>
      </c>
      <c r="J735" t="s">
        <v>1759</v>
      </c>
      <c r="K735" t="s">
        <v>2488</v>
      </c>
      <c r="L735">
        <v>181</v>
      </c>
      <c r="P735" t="s">
        <v>2494</v>
      </c>
      <c r="Q735">
        <v>2005</v>
      </c>
      <c r="R735">
        <v>2005</v>
      </c>
      <c r="S735" s="1"/>
      <c r="T735" s="1">
        <v>43832</v>
      </c>
      <c r="U735" t="s">
        <v>4149</v>
      </c>
      <c r="V735" t="s">
        <v>4114</v>
      </c>
      <c r="W735" t="s">
        <v>4133</v>
      </c>
      <c r="X735" t="s">
        <v>2494</v>
      </c>
      <c r="Y735" t="s">
        <v>4147</v>
      </c>
    </row>
    <row r="736" spans="1:25" x14ac:dyDescent="0.25">
      <c r="A736">
        <v>735</v>
      </c>
      <c r="B736">
        <v>1</v>
      </c>
      <c r="C736" t="s">
        <v>2877</v>
      </c>
      <c r="D736" t="s">
        <v>1631</v>
      </c>
      <c r="E736" t="s">
        <v>1427</v>
      </c>
      <c r="F736" t="s">
        <v>1428</v>
      </c>
      <c r="H736" t="s">
        <v>3850</v>
      </c>
      <c r="I736" t="s">
        <v>2933</v>
      </c>
      <c r="J736" t="s">
        <v>1668</v>
      </c>
      <c r="K736" t="s">
        <v>57</v>
      </c>
      <c r="L736">
        <v>652</v>
      </c>
      <c r="P736" t="s">
        <v>2486</v>
      </c>
      <c r="Q736">
        <v>2006</v>
      </c>
      <c r="R736">
        <v>2005</v>
      </c>
      <c r="S736" s="1"/>
      <c r="T736" s="1">
        <v>43832</v>
      </c>
      <c r="U736" t="s">
        <v>4120</v>
      </c>
      <c r="V736" t="s">
        <v>4114</v>
      </c>
      <c r="W736" t="s">
        <v>4115</v>
      </c>
      <c r="X736" t="s">
        <v>2603</v>
      </c>
      <c r="Y736" t="s">
        <v>4125</v>
      </c>
    </row>
    <row r="737" spans="1:25" x14ac:dyDescent="0.25">
      <c r="A737">
        <v>736</v>
      </c>
      <c r="B737">
        <v>301825</v>
      </c>
      <c r="C737" t="s">
        <v>2885</v>
      </c>
      <c r="D737" t="s">
        <v>17</v>
      </c>
      <c r="E737" t="s">
        <v>1632</v>
      </c>
      <c r="F737" t="s">
        <v>1633</v>
      </c>
      <c r="H737" t="s">
        <v>3851</v>
      </c>
      <c r="I737" t="s">
        <v>2890</v>
      </c>
      <c r="J737" t="s">
        <v>1668</v>
      </c>
      <c r="K737" t="s">
        <v>2488</v>
      </c>
      <c r="L737">
        <v>442</v>
      </c>
      <c r="P737" t="s">
        <v>2494</v>
      </c>
      <c r="Q737">
        <v>2004</v>
      </c>
      <c r="R737">
        <v>2003</v>
      </c>
      <c r="S737" s="1"/>
      <c r="T737" s="1">
        <v>43832</v>
      </c>
      <c r="U737" t="s">
        <v>4149</v>
      </c>
      <c r="V737" t="s">
        <v>4114</v>
      </c>
      <c r="W737" t="s">
        <v>4121</v>
      </c>
      <c r="X737" t="s">
        <v>2603</v>
      </c>
      <c r="Y737" t="s">
        <v>4125</v>
      </c>
    </row>
    <row r="738" spans="1:25" x14ac:dyDescent="0.25">
      <c r="A738">
        <v>737</v>
      </c>
      <c r="B738">
        <v>6483861</v>
      </c>
      <c r="C738" t="s">
        <v>1634</v>
      </c>
      <c r="D738" t="s">
        <v>17</v>
      </c>
      <c r="E738" t="s">
        <v>1619</v>
      </c>
      <c r="F738" t="s">
        <v>1620</v>
      </c>
      <c r="H738" t="s">
        <v>3852</v>
      </c>
      <c r="I738" t="s">
        <v>2917</v>
      </c>
      <c r="J738" t="s">
        <v>1759</v>
      </c>
      <c r="K738" t="s">
        <v>2488</v>
      </c>
      <c r="L738">
        <v>184</v>
      </c>
      <c r="P738" t="s">
        <v>2494</v>
      </c>
      <c r="Q738">
        <v>2004</v>
      </c>
      <c r="R738">
        <v>2004</v>
      </c>
      <c r="S738" s="1"/>
      <c r="T738" s="1">
        <v>43832</v>
      </c>
      <c r="U738" t="s">
        <v>4149</v>
      </c>
      <c r="V738" t="s">
        <v>4114</v>
      </c>
      <c r="W738" t="s">
        <v>4133</v>
      </c>
      <c r="X738" t="s">
        <v>2494</v>
      </c>
      <c r="Y738" t="s">
        <v>4147</v>
      </c>
    </row>
    <row r="739" spans="1:25" x14ac:dyDescent="0.25">
      <c r="A739">
        <v>738</v>
      </c>
      <c r="B739">
        <v>2</v>
      </c>
      <c r="C739" t="s">
        <v>2878</v>
      </c>
      <c r="D739" t="s">
        <v>1635</v>
      </c>
      <c r="E739" t="s">
        <v>1427</v>
      </c>
      <c r="F739" t="s">
        <v>1428</v>
      </c>
      <c r="H739" t="s">
        <v>3853</v>
      </c>
      <c r="I739" t="s">
        <v>2933</v>
      </c>
      <c r="J739" t="s">
        <v>1668</v>
      </c>
      <c r="K739" t="s">
        <v>2488</v>
      </c>
      <c r="L739">
        <v>576</v>
      </c>
      <c r="P739" t="s">
        <v>2494</v>
      </c>
      <c r="Q739">
        <v>2004</v>
      </c>
      <c r="R739">
        <v>2003</v>
      </c>
      <c r="S739" s="1"/>
      <c r="T739" s="1">
        <v>43832</v>
      </c>
      <c r="U739" t="s">
        <v>4120</v>
      </c>
      <c r="V739" t="s">
        <v>4114</v>
      </c>
      <c r="W739" t="s">
        <v>4115</v>
      </c>
      <c r="X739" t="s">
        <v>2603</v>
      </c>
      <c r="Y739" t="s">
        <v>4125</v>
      </c>
    </row>
    <row r="740" spans="1:25" x14ac:dyDescent="0.25">
      <c r="A740">
        <v>739</v>
      </c>
      <c r="B740">
        <v>10053116</v>
      </c>
      <c r="C740" t="s">
        <v>1636</v>
      </c>
      <c r="D740" t="s">
        <v>17</v>
      </c>
      <c r="E740" t="s">
        <v>1637</v>
      </c>
      <c r="F740" t="s">
        <v>1638</v>
      </c>
      <c r="H740" t="s">
        <v>3854</v>
      </c>
      <c r="I740" t="s">
        <v>2933</v>
      </c>
      <c r="J740" t="s">
        <v>2470</v>
      </c>
      <c r="K740" t="s">
        <v>2488</v>
      </c>
      <c r="L740">
        <v>304</v>
      </c>
      <c r="P740" t="s">
        <v>2494</v>
      </c>
      <c r="Q740">
        <v>2003</v>
      </c>
      <c r="R740">
        <v>1927</v>
      </c>
      <c r="S740" s="1"/>
      <c r="T740" s="1">
        <v>43832</v>
      </c>
      <c r="U740" t="s">
        <v>4126</v>
      </c>
      <c r="V740" t="s">
        <v>4114</v>
      </c>
      <c r="W740" t="s">
        <v>4133</v>
      </c>
      <c r="X740" t="s">
        <v>2494</v>
      </c>
      <c r="Y740" t="s">
        <v>4116</v>
      </c>
    </row>
    <row r="741" spans="1:25" x14ac:dyDescent="0.25">
      <c r="A741">
        <v>740</v>
      </c>
      <c r="B741">
        <v>34468732</v>
      </c>
      <c r="C741" t="s">
        <v>1639</v>
      </c>
      <c r="D741" t="s">
        <v>17</v>
      </c>
      <c r="E741" t="s">
        <v>1628</v>
      </c>
      <c r="F741" t="s">
        <v>1629</v>
      </c>
      <c r="H741" t="s">
        <v>3855</v>
      </c>
      <c r="I741" t="s">
        <v>2890</v>
      </c>
      <c r="J741" t="s">
        <v>1668</v>
      </c>
      <c r="K741" t="s">
        <v>2488</v>
      </c>
      <c r="L741">
        <v>200</v>
      </c>
      <c r="P741" t="s">
        <v>2494</v>
      </c>
      <c r="Q741">
        <v>2002</v>
      </c>
      <c r="R741">
        <v>1983</v>
      </c>
      <c r="S741" s="1"/>
      <c r="T741" s="1">
        <v>43832</v>
      </c>
      <c r="U741" t="s">
        <v>4149</v>
      </c>
      <c r="V741" t="s">
        <v>4114</v>
      </c>
      <c r="W741" t="s">
        <v>4121</v>
      </c>
      <c r="X741" t="s">
        <v>2603</v>
      </c>
      <c r="Y741" t="s">
        <v>4125</v>
      </c>
    </row>
    <row r="742" spans="1:25" x14ac:dyDescent="0.25">
      <c r="A742">
        <v>741</v>
      </c>
      <c r="B742">
        <v>16042549</v>
      </c>
      <c r="C742" t="s">
        <v>2886</v>
      </c>
      <c r="D742" t="s">
        <v>17</v>
      </c>
      <c r="E742" t="s">
        <v>1640</v>
      </c>
      <c r="F742" t="s">
        <v>1641</v>
      </c>
      <c r="H742" t="s">
        <v>3856</v>
      </c>
      <c r="I742" t="s">
        <v>2917</v>
      </c>
      <c r="J742" t="s">
        <v>1668</v>
      </c>
      <c r="K742" t="s">
        <v>2488</v>
      </c>
      <c r="L742">
        <v>176</v>
      </c>
      <c r="P742" t="s">
        <v>2494</v>
      </c>
      <c r="Q742">
        <v>2014</v>
      </c>
      <c r="R742">
        <v>1952</v>
      </c>
      <c r="S742" s="1"/>
      <c r="T742" s="1">
        <v>43832</v>
      </c>
      <c r="U742" t="s">
        <v>4126</v>
      </c>
      <c r="V742" t="s">
        <v>4114</v>
      </c>
      <c r="W742" t="s">
        <v>4121</v>
      </c>
      <c r="X742" t="s">
        <v>2603</v>
      </c>
      <c r="Y742" t="s">
        <v>4116</v>
      </c>
    </row>
    <row r="743" spans="1:25" x14ac:dyDescent="0.25">
      <c r="A743">
        <v>742</v>
      </c>
      <c r="B743">
        <v>976</v>
      </c>
      <c r="C743" t="s">
        <v>2862</v>
      </c>
      <c r="D743" t="s">
        <v>17</v>
      </c>
      <c r="E743" t="s">
        <v>125</v>
      </c>
      <c r="F743" t="s">
        <v>126</v>
      </c>
      <c r="H743" t="s">
        <v>3857</v>
      </c>
      <c r="I743" t="s">
        <v>2933</v>
      </c>
      <c r="J743" t="s">
        <v>1668</v>
      </c>
      <c r="K743" t="s">
        <v>2488</v>
      </c>
      <c r="L743">
        <v>556</v>
      </c>
      <c r="P743" t="s">
        <v>2494</v>
      </c>
      <c r="Q743">
        <v>2002</v>
      </c>
      <c r="R743">
        <v>2001</v>
      </c>
      <c r="S743" s="1"/>
      <c r="T743" s="1">
        <v>43832</v>
      </c>
      <c r="U743" t="s">
        <v>4129</v>
      </c>
      <c r="V743" t="s">
        <v>4114</v>
      </c>
      <c r="W743" t="s">
        <v>4121</v>
      </c>
      <c r="X743" t="s">
        <v>2603</v>
      </c>
      <c r="Y743" t="s">
        <v>4116</v>
      </c>
    </row>
    <row r="744" spans="1:25" x14ac:dyDescent="0.25">
      <c r="A744">
        <v>743</v>
      </c>
      <c r="B744">
        <v>11125</v>
      </c>
      <c r="C744" t="s">
        <v>2863</v>
      </c>
      <c r="D744" t="s">
        <v>17</v>
      </c>
      <c r="E744" t="s">
        <v>125</v>
      </c>
      <c r="F744" t="s">
        <v>126</v>
      </c>
      <c r="H744" t="s">
        <v>3858</v>
      </c>
      <c r="I744" t="s">
        <v>2933</v>
      </c>
      <c r="J744" t="s">
        <v>1668</v>
      </c>
      <c r="K744" t="s">
        <v>2488</v>
      </c>
      <c r="L744">
        <v>510</v>
      </c>
      <c r="P744" t="s">
        <v>2494</v>
      </c>
      <c r="Q744">
        <v>2004</v>
      </c>
      <c r="R744">
        <v>1998</v>
      </c>
      <c r="S744" s="1"/>
      <c r="T744" s="1">
        <v>43832</v>
      </c>
      <c r="U744" t="s">
        <v>4129</v>
      </c>
      <c r="V744" t="s">
        <v>4114</v>
      </c>
      <c r="W744" t="s">
        <v>4121</v>
      </c>
      <c r="X744" t="s">
        <v>2603</v>
      </c>
      <c r="Y744" t="s">
        <v>4116</v>
      </c>
    </row>
    <row r="745" spans="1:25" x14ac:dyDescent="0.25">
      <c r="A745">
        <v>744</v>
      </c>
      <c r="B745">
        <v>17212231</v>
      </c>
      <c r="C745" t="s">
        <v>3859</v>
      </c>
      <c r="D745" t="s">
        <v>1643</v>
      </c>
      <c r="E745" t="s">
        <v>125</v>
      </c>
      <c r="F745" t="s">
        <v>126</v>
      </c>
      <c r="H745" t="s">
        <v>3860</v>
      </c>
      <c r="I745" t="s">
        <v>2933</v>
      </c>
      <c r="J745" t="s">
        <v>1668</v>
      </c>
      <c r="K745" t="s">
        <v>2488</v>
      </c>
      <c r="L745">
        <v>463</v>
      </c>
      <c r="P745" t="s">
        <v>2494</v>
      </c>
      <c r="Q745">
        <v>2013</v>
      </c>
      <c r="R745">
        <v>2013</v>
      </c>
      <c r="S745" s="1"/>
      <c r="T745" s="1">
        <v>43832</v>
      </c>
      <c r="U745" t="s">
        <v>4129</v>
      </c>
      <c r="V745" t="s">
        <v>4114</v>
      </c>
      <c r="W745" t="s">
        <v>4121</v>
      </c>
      <c r="X745" t="s">
        <v>2603</v>
      </c>
      <c r="Y745" t="s">
        <v>4116</v>
      </c>
    </row>
    <row r="746" spans="1:25" x14ac:dyDescent="0.25">
      <c r="A746">
        <v>745</v>
      </c>
      <c r="B746">
        <v>968</v>
      </c>
      <c r="C746" t="s">
        <v>2864</v>
      </c>
      <c r="D746" t="s">
        <v>1644</v>
      </c>
      <c r="E746" t="s">
        <v>125</v>
      </c>
      <c r="F746" t="s">
        <v>126</v>
      </c>
      <c r="H746" t="s">
        <v>3861</v>
      </c>
      <c r="I746" t="s">
        <v>2933</v>
      </c>
      <c r="J746" t="s">
        <v>1668</v>
      </c>
      <c r="K746" t="s">
        <v>2488</v>
      </c>
      <c r="L746">
        <v>489</v>
      </c>
      <c r="P746" t="s">
        <v>2494</v>
      </c>
      <c r="Q746">
        <v>2006</v>
      </c>
      <c r="R746">
        <v>2003</v>
      </c>
      <c r="S746" s="1"/>
      <c r="T746" s="1">
        <v>43832</v>
      </c>
      <c r="U746" t="s">
        <v>4129</v>
      </c>
      <c r="V746" t="s">
        <v>4114</v>
      </c>
      <c r="W746" t="s">
        <v>4121</v>
      </c>
      <c r="X746" t="s">
        <v>2603</v>
      </c>
      <c r="Y746" t="s">
        <v>4116</v>
      </c>
    </row>
    <row r="747" spans="1:25" x14ac:dyDescent="0.25">
      <c r="A747">
        <v>746</v>
      </c>
      <c r="B747">
        <v>40961427</v>
      </c>
      <c r="C747" t="s">
        <v>1645</v>
      </c>
      <c r="D747" t="s">
        <v>17</v>
      </c>
      <c r="E747" t="s">
        <v>1646</v>
      </c>
      <c r="F747" t="s">
        <v>1647</v>
      </c>
      <c r="H747" t="s">
        <v>3862</v>
      </c>
      <c r="I747" t="s">
        <v>2933</v>
      </c>
      <c r="J747" t="s">
        <v>1668</v>
      </c>
      <c r="K747" t="s">
        <v>57</v>
      </c>
      <c r="L747">
        <v>298</v>
      </c>
      <c r="P747" t="s">
        <v>2494</v>
      </c>
      <c r="Q747">
        <v>2013</v>
      </c>
      <c r="R747">
        <v>1948</v>
      </c>
      <c r="S747" s="1"/>
      <c r="T747" s="1">
        <v>43832</v>
      </c>
      <c r="U747" t="s">
        <v>4126</v>
      </c>
      <c r="V747" t="s">
        <v>4114</v>
      </c>
      <c r="W747" t="s">
        <v>4115</v>
      </c>
      <c r="X747" t="s">
        <v>2603</v>
      </c>
      <c r="Y747" t="s">
        <v>4116</v>
      </c>
    </row>
    <row r="748" spans="1:25" x14ac:dyDescent="0.25">
      <c r="A748">
        <v>747</v>
      </c>
      <c r="B748">
        <v>6186357</v>
      </c>
      <c r="C748" t="s">
        <v>2887</v>
      </c>
      <c r="D748" t="s">
        <v>1648</v>
      </c>
      <c r="E748" t="s">
        <v>1455</v>
      </c>
      <c r="F748" t="s">
        <v>1456</v>
      </c>
      <c r="H748" t="s">
        <v>3863</v>
      </c>
      <c r="I748" t="s">
        <v>2901</v>
      </c>
      <c r="J748" t="s">
        <v>1668</v>
      </c>
      <c r="K748" t="s">
        <v>57</v>
      </c>
      <c r="L748">
        <v>384</v>
      </c>
      <c r="P748" t="s">
        <v>2486</v>
      </c>
      <c r="Q748">
        <v>2009</v>
      </c>
      <c r="R748">
        <v>2009</v>
      </c>
      <c r="S748" s="1"/>
      <c r="T748" s="1">
        <v>43832</v>
      </c>
      <c r="U748" t="s">
        <v>4136</v>
      </c>
      <c r="V748" t="s">
        <v>4114</v>
      </c>
      <c r="W748" t="s">
        <v>4121</v>
      </c>
      <c r="X748" t="s">
        <v>2603</v>
      </c>
      <c r="Y748" t="s">
        <v>4116</v>
      </c>
    </row>
    <row r="749" spans="1:25" x14ac:dyDescent="0.25">
      <c r="A749">
        <v>748</v>
      </c>
      <c r="B749">
        <v>6466909</v>
      </c>
      <c r="C749" t="s">
        <v>2866</v>
      </c>
      <c r="D749" t="s">
        <v>1603</v>
      </c>
      <c r="E749" t="s">
        <v>1649</v>
      </c>
      <c r="F749" t="s">
        <v>1650</v>
      </c>
      <c r="H749" t="s">
        <v>3864</v>
      </c>
      <c r="I749" t="s">
        <v>2890</v>
      </c>
      <c r="J749" t="s">
        <v>1723</v>
      </c>
      <c r="K749" t="s">
        <v>57</v>
      </c>
      <c r="L749">
        <v>144</v>
      </c>
      <c r="P749" t="s">
        <v>2486</v>
      </c>
      <c r="Q749">
        <v>2009</v>
      </c>
      <c r="R749">
        <v>2009</v>
      </c>
      <c r="S749" s="1"/>
      <c r="T749" s="1">
        <v>43832</v>
      </c>
      <c r="U749" t="s">
        <v>4146</v>
      </c>
      <c r="V749" t="s">
        <v>4114</v>
      </c>
      <c r="W749" t="s">
        <v>4121</v>
      </c>
      <c r="X749" t="s">
        <v>2603</v>
      </c>
      <c r="Y749" t="s">
        <v>4116</v>
      </c>
    </row>
    <row r="750" spans="1:25" x14ac:dyDescent="0.25">
      <c r="A750">
        <v>749</v>
      </c>
      <c r="B750">
        <v>10818853</v>
      </c>
      <c r="C750" t="s">
        <v>2829</v>
      </c>
      <c r="D750" t="s">
        <v>1651</v>
      </c>
      <c r="E750" t="s">
        <v>1520</v>
      </c>
      <c r="F750" t="s">
        <v>1521</v>
      </c>
      <c r="H750" t="s">
        <v>3865</v>
      </c>
      <c r="I750" t="s">
        <v>2917</v>
      </c>
      <c r="J750" t="s">
        <v>2198</v>
      </c>
      <c r="K750" t="s">
        <v>57</v>
      </c>
      <c r="L750">
        <v>356</v>
      </c>
      <c r="P750" t="s">
        <v>2486</v>
      </c>
      <c r="Q750">
        <v>2012</v>
      </c>
      <c r="R750">
        <v>2011</v>
      </c>
      <c r="S750" s="1"/>
      <c r="T750" s="1">
        <v>43832</v>
      </c>
      <c r="U750" t="s">
        <v>4149</v>
      </c>
      <c r="V750" t="s">
        <v>4114</v>
      </c>
      <c r="W750" t="s">
        <v>4115</v>
      </c>
      <c r="X750" t="s">
        <v>2603</v>
      </c>
      <c r="Y750" t="s">
        <v>4125</v>
      </c>
    </row>
    <row r="751" spans="1:25" x14ac:dyDescent="0.25">
      <c r="A751">
        <v>750</v>
      </c>
      <c r="B751">
        <v>113436</v>
      </c>
      <c r="C751" t="s">
        <v>3866</v>
      </c>
      <c r="D751" t="s">
        <v>1653</v>
      </c>
      <c r="E751" t="s">
        <v>269</v>
      </c>
      <c r="F751" t="s">
        <v>270</v>
      </c>
      <c r="H751" t="s">
        <v>3867</v>
      </c>
      <c r="I751" t="s">
        <v>2901</v>
      </c>
      <c r="J751" t="s">
        <v>1762</v>
      </c>
      <c r="K751" t="s">
        <v>2488</v>
      </c>
      <c r="L751">
        <v>503</v>
      </c>
      <c r="P751" t="s">
        <v>2494</v>
      </c>
      <c r="Q751">
        <v>2005</v>
      </c>
      <c r="R751">
        <v>2002</v>
      </c>
      <c r="S751" s="1"/>
      <c r="T751" s="1">
        <v>43832</v>
      </c>
      <c r="U751" t="s">
        <v>4120</v>
      </c>
      <c r="V751" t="s">
        <v>4114</v>
      </c>
      <c r="W751" t="s">
        <v>4121</v>
      </c>
      <c r="X751" t="s">
        <v>2603</v>
      </c>
      <c r="Y751" t="s">
        <v>4116</v>
      </c>
    </row>
    <row r="752" spans="1:25" x14ac:dyDescent="0.25">
      <c r="A752">
        <v>751</v>
      </c>
      <c r="B752">
        <v>6</v>
      </c>
      <c r="C752" t="s">
        <v>2879</v>
      </c>
      <c r="D752" t="s">
        <v>1654</v>
      </c>
      <c r="E752" t="s">
        <v>1427</v>
      </c>
      <c r="F752" t="s">
        <v>1428</v>
      </c>
      <c r="H752" t="s">
        <v>3868</v>
      </c>
      <c r="I752" t="s">
        <v>2933</v>
      </c>
      <c r="J752" t="s">
        <v>1668</v>
      </c>
      <c r="K752" t="s">
        <v>2488</v>
      </c>
      <c r="L752">
        <v>734</v>
      </c>
      <c r="P752" t="s">
        <v>2494</v>
      </c>
      <c r="Q752">
        <v>2002</v>
      </c>
      <c r="R752">
        <v>2000</v>
      </c>
      <c r="S752" s="1"/>
      <c r="T752" s="1">
        <v>43832</v>
      </c>
      <c r="U752" t="s">
        <v>4120</v>
      </c>
      <c r="V752" t="s">
        <v>4114</v>
      </c>
      <c r="W752" t="s">
        <v>4115</v>
      </c>
      <c r="X752" t="s">
        <v>2603</v>
      </c>
      <c r="Y752" t="s">
        <v>4125</v>
      </c>
    </row>
    <row r="753" spans="1:25" x14ac:dyDescent="0.25">
      <c r="A753">
        <v>752</v>
      </c>
      <c r="B753">
        <v>5</v>
      </c>
      <c r="C753" t="s">
        <v>2880</v>
      </c>
      <c r="D753" t="s">
        <v>1655</v>
      </c>
      <c r="E753" t="s">
        <v>1427</v>
      </c>
      <c r="F753" t="s">
        <v>1428</v>
      </c>
      <c r="H753" t="s">
        <v>3869</v>
      </c>
      <c r="I753" t="s">
        <v>2933</v>
      </c>
      <c r="J753" t="s">
        <v>1668</v>
      </c>
      <c r="K753" t="s">
        <v>2488</v>
      </c>
      <c r="L753">
        <v>547</v>
      </c>
      <c r="P753" t="s">
        <v>2494</v>
      </c>
      <c r="Q753">
        <v>2004</v>
      </c>
      <c r="R753">
        <v>1999</v>
      </c>
      <c r="S753" s="1"/>
      <c r="T753" s="1">
        <v>43832</v>
      </c>
      <c r="U753" t="s">
        <v>4120</v>
      </c>
      <c r="V753" t="s">
        <v>4114</v>
      </c>
      <c r="W753" t="s">
        <v>4115</v>
      </c>
      <c r="X753" t="s">
        <v>2603</v>
      </c>
      <c r="Y753" t="s">
        <v>4125</v>
      </c>
    </row>
    <row r="754" spans="1:25" x14ac:dyDescent="0.25">
      <c r="A754">
        <v>753</v>
      </c>
      <c r="B754">
        <v>15881</v>
      </c>
      <c r="C754" t="s">
        <v>2881</v>
      </c>
      <c r="D754" t="s">
        <v>1656</v>
      </c>
      <c r="E754" t="s">
        <v>1427</v>
      </c>
      <c r="F754" t="s">
        <v>1428</v>
      </c>
      <c r="H754" t="s">
        <v>3870</v>
      </c>
      <c r="I754" t="s">
        <v>2933</v>
      </c>
      <c r="J754" t="s">
        <v>1668</v>
      </c>
      <c r="K754" t="s">
        <v>2488</v>
      </c>
      <c r="L754">
        <v>352</v>
      </c>
      <c r="P754" t="s">
        <v>2494</v>
      </c>
      <c r="Q754">
        <v>1999</v>
      </c>
      <c r="R754">
        <v>1998</v>
      </c>
      <c r="S754" s="1"/>
      <c r="T754" s="1">
        <v>43832</v>
      </c>
      <c r="U754" t="s">
        <v>4120</v>
      </c>
      <c r="V754" t="s">
        <v>4114</v>
      </c>
      <c r="W754" t="s">
        <v>4115</v>
      </c>
      <c r="X754" t="s">
        <v>2603</v>
      </c>
      <c r="Y754" t="s">
        <v>4125</v>
      </c>
    </row>
    <row r="755" spans="1:25" x14ac:dyDescent="0.25">
      <c r="A755">
        <v>754</v>
      </c>
      <c r="B755">
        <v>960</v>
      </c>
      <c r="C755" t="s">
        <v>2865</v>
      </c>
      <c r="D755" t="s">
        <v>1657</v>
      </c>
      <c r="E755" t="s">
        <v>125</v>
      </c>
      <c r="F755" t="s">
        <v>126</v>
      </c>
      <c r="H755" t="s">
        <v>3871</v>
      </c>
      <c r="I755" t="s">
        <v>2933</v>
      </c>
      <c r="J755" t="s">
        <v>1668</v>
      </c>
      <c r="K755" t="s">
        <v>2488</v>
      </c>
      <c r="L755">
        <v>736</v>
      </c>
      <c r="P755" t="s">
        <v>2494</v>
      </c>
      <c r="Q755">
        <v>2006</v>
      </c>
      <c r="R755">
        <v>2000</v>
      </c>
      <c r="S755" s="1"/>
      <c r="T755" s="1">
        <v>43832</v>
      </c>
      <c r="U755" t="s">
        <v>4129</v>
      </c>
      <c r="V755" t="s">
        <v>4114</v>
      </c>
      <c r="W755" t="s">
        <v>4121</v>
      </c>
      <c r="X755" t="s">
        <v>2603</v>
      </c>
      <c r="Y755" t="s">
        <v>4116</v>
      </c>
    </row>
    <row r="756" spans="1:25" x14ac:dyDescent="0.25">
      <c r="A756">
        <v>755</v>
      </c>
      <c r="B756">
        <v>41865</v>
      </c>
      <c r="C756" t="s">
        <v>2867</v>
      </c>
      <c r="D756" t="s">
        <v>1658</v>
      </c>
      <c r="E756" t="s">
        <v>1601</v>
      </c>
      <c r="F756" t="s">
        <v>1602</v>
      </c>
      <c r="H756" t="s">
        <v>3872</v>
      </c>
      <c r="I756" t="s">
        <v>2901</v>
      </c>
      <c r="J756" t="s">
        <v>1723</v>
      </c>
      <c r="K756" t="s">
        <v>57</v>
      </c>
      <c r="L756">
        <v>498</v>
      </c>
      <c r="P756" t="s">
        <v>2486</v>
      </c>
      <c r="Q756">
        <v>2006</v>
      </c>
      <c r="R756">
        <v>2005</v>
      </c>
      <c r="S756" s="1"/>
      <c r="T756" s="1">
        <v>43832</v>
      </c>
      <c r="U756" t="s">
        <v>4136</v>
      </c>
      <c r="V756" t="s">
        <v>4114</v>
      </c>
      <c r="W756" t="s">
        <v>4121</v>
      </c>
      <c r="X756" t="s">
        <v>2603</v>
      </c>
      <c r="Y756" t="s">
        <v>4125</v>
      </c>
    </row>
    <row r="757" spans="1:25" x14ac:dyDescent="0.25">
      <c r="A757">
        <v>756</v>
      </c>
      <c r="B757">
        <v>13335037</v>
      </c>
      <c r="C757" t="s">
        <v>2810</v>
      </c>
      <c r="D757" t="s">
        <v>1659</v>
      </c>
      <c r="E757" t="s">
        <v>813</v>
      </c>
      <c r="F757" t="s">
        <v>814</v>
      </c>
      <c r="H757" t="s">
        <v>3873</v>
      </c>
      <c r="I757" t="s">
        <v>2933</v>
      </c>
      <c r="J757" t="s">
        <v>1668</v>
      </c>
      <c r="K757" t="s">
        <v>57</v>
      </c>
      <c r="L757">
        <v>487</v>
      </c>
      <c r="P757" t="s">
        <v>2494</v>
      </c>
      <c r="Q757">
        <v>2012</v>
      </c>
      <c r="R757">
        <v>2011</v>
      </c>
      <c r="S757" s="1"/>
      <c r="T757" s="1">
        <v>43832</v>
      </c>
      <c r="U757" t="s">
        <v>4136</v>
      </c>
      <c r="V757" t="s">
        <v>4114</v>
      </c>
      <c r="W757" t="s">
        <v>4121</v>
      </c>
      <c r="X757" t="s">
        <v>2603</v>
      </c>
      <c r="Y757" t="s">
        <v>4125</v>
      </c>
    </row>
    <row r="758" spans="1:25" x14ac:dyDescent="0.25">
      <c r="A758">
        <v>757</v>
      </c>
      <c r="B758">
        <v>2767052</v>
      </c>
      <c r="C758" t="s">
        <v>2840</v>
      </c>
      <c r="D758" t="s">
        <v>1660</v>
      </c>
      <c r="E758" t="s">
        <v>668</v>
      </c>
      <c r="F758" t="s">
        <v>669</v>
      </c>
      <c r="H758" t="s">
        <v>3874</v>
      </c>
      <c r="I758" t="s">
        <v>2933</v>
      </c>
      <c r="J758" t="s">
        <v>2838</v>
      </c>
      <c r="K758" t="s">
        <v>57</v>
      </c>
      <c r="L758">
        <v>374</v>
      </c>
      <c r="P758" t="s">
        <v>2486</v>
      </c>
      <c r="Q758">
        <v>2008</v>
      </c>
      <c r="R758">
        <v>2008</v>
      </c>
      <c r="S758" s="1"/>
      <c r="T758" s="1">
        <v>43832</v>
      </c>
      <c r="U758" t="s">
        <v>4136</v>
      </c>
      <c r="V758" t="s">
        <v>4114</v>
      </c>
      <c r="W758" t="s">
        <v>4121</v>
      </c>
      <c r="X758" t="s">
        <v>2603</v>
      </c>
      <c r="Y758" t="s">
        <v>4125</v>
      </c>
    </row>
    <row r="759" spans="1:25" x14ac:dyDescent="0.25">
      <c r="A759">
        <v>758</v>
      </c>
      <c r="B759">
        <v>3</v>
      </c>
      <c r="C759" t="s">
        <v>2882</v>
      </c>
      <c r="D759" t="s">
        <v>1661</v>
      </c>
      <c r="E759" t="s">
        <v>1427</v>
      </c>
      <c r="F759" t="s">
        <v>1428</v>
      </c>
      <c r="H759" t="s">
        <v>3875</v>
      </c>
      <c r="I759" t="s">
        <v>2933</v>
      </c>
      <c r="J759" t="s">
        <v>1668</v>
      </c>
      <c r="K759" t="s">
        <v>2488</v>
      </c>
      <c r="L759">
        <v>309</v>
      </c>
      <c r="P759" t="s">
        <v>2494</v>
      </c>
      <c r="Q759">
        <v>2003</v>
      </c>
      <c r="R759">
        <v>1997</v>
      </c>
      <c r="S759" s="1"/>
      <c r="T759" s="1">
        <v>43832</v>
      </c>
      <c r="U759" t="s">
        <v>4120</v>
      </c>
      <c r="V759" t="s">
        <v>4114</v>
      </c>
      <c r="W759" t="s">
        <v>4115</v>
      </c>
      <c r="X759" t="s">
        <v>2603</v>
      </c>
      <c r="Y759" t="s">
        <v>4125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34964-52AE-4FBC-8A38-6990FE15EA75}">
  <dimension ref="A1:J759"/>
  <sheetViews>
    <sheetView workbookViewId="0"/>
  </sheetViews>
  <sheetFormatPr defaultRowHeight="15" x14ac:dyDescent="0.25"/>
  <cols>
    <col min="1" max="1" width="6.5703125" bestFit="1" customWidth="1"/>
    <col min="2" max="2" width="81.140625" bestFit="1" customWidth="1"/>
    <col min="3" max="3" width="35.28515625" bestFit="1" customWidth="1"/>
    <col min="4" max="4" width="14.140625" bestFit="1" customWidth="1"/>
    <col min="5" max="5" width="22" bestFit="1" customWidth="1"/>
    <col min="6" max="6" width="13.7109375" bestFit="1" customWidth="1"/>
    <col min="7" max="7" width="16.7109375" bestFit="1" customWidth="1"/>
    <col min="8" max="8" width="18.85546875" bestFit="1" customWidth="1"/>
    <col min="9" max="9" width="21.7109375" bestFit="1" customWidth="1"/>
    <col min="10" max="10" width="16.140625" bestFit="1" customWidth="1"/>
  </cols>
  <sheetData>
    <row r="1" spans="1:10" x14ac:dyDescent="0.25">
      <c r="A1" t="s">
        <v>2503</v>
      </c>
      <c r="B1" t="s">
        <v>1</v>
      </c>
      <c r="C1" t="s">
        <v>3</v>
      </c>
      <c r="D1" t="s">
        <v>1662</v>
      </c>
      <c r="E1" t="s">
        <v>4107</v>
      </c>
      <c r="F1" t="s">
        <v>4108</v>
      </c>
      <c r="G1" t="s">
        <v>4109</v>
      </c>
      <c r="H1" t="s">
        <v>4110</v>
      </c>
      <c r="I1" t="s">
        <v>4111</v>
      </c>
      <c r="J1" t="s">
        <v>4112</v>
      </c>
    </row>
    <row r="2" spans="1:10" x14ac:dyDescent="0.25">
      <c r="A2">
        <v>1</v>
      </c>
      <c r="B2" t="s">
        <v>2888</v>
      </c>
      <c r="C2" t="s">
        <v>13</v>
      </c>
      <c r="D2" t="s">
        <v>2889</v>
      </c>
      <c r="E2" t="s">
        <v>4113</v>
      </c>
      <c r="F2" t="s">
        <v>4114</v>
      </c>
      <c r="G2" t="s">
        <v>4115</v>
      </c>
      <c r="H2" t="s">
        <v>2603</v>
      </c>
      <c r="I2">
        <v>1973</v>
      </c>
      <c r="J2" t="s">
        <v>4116</v>
      </c>
    </row>
    <row r="3" spans="1:10" x14ac:dyDescent="0.25">
      <c r="A3">
        <v>2</v>
      </c>
      <c r="B3" t="s">
        <v>2891</v>
      </c>
      <c r="C3" t="s">
        <v>23</v>
      </c>
      <c r="D3" t="s">
        <v>2892</v>
      </c>
      <c r="E3" t="s">
        <v>4117</v>
      </c>
      <c r="F3" t="s">
        <v>4114</v>
      </c>
      <c r="G3" t="s">
        <v>4118</v>
      </c>
      <c r="H3" t="s">
        <v>4119</v>
      </c>
      <c r="I3">
        <v>2017</v>
      </c>
      <c r="J3" t="s">
        <v>4116</v>
      </c>
    </row>
    <row r="4" spans="1:10" x14ac:dyDescent="0.25">
      <c r="A4">
        <v>3</v>
      </c>
      <c r="B4" t="s">
        <v>2893</v>
      </c>
      <c r="C4" t="s">
        <v>27</v>
      </c>
      <c r="D4" t="s">
        <v>2894</v>
      </c>
      <c r="E4" t="s">
        <v>4120</v>
      </c>
      <c r="F4" t="s">
        <v>4114</v>
      </c>
      <c r="G4" t="s">
        <v>4121</v>
      </c>
      <c r="H4" t="s">
        <v>2603</v>
      </c>
      <c r="I4">
        <v>2006</v>
      </c>
      <c r="J4" t="s">
        <v>4116</v>
      </c>
    </row>
    <row r="5" spans="1:10" x14ac:dyDescent="0.25">
      <c r="A5">
        <v>4</v>
      </c>
      <c r="B5" t="s">
        <v>2497</v>
      </c>
      <c r="C5" t="s">
        <v>30</v>
      </c>
      <c r="D5" t="s">
        <v>2895</v>
      </c>
      <c r="E5" t="s">
        <v>4122</v>
      </c>
      <c r="F5" t="s">
        <v>4114</v>
      </c>
      <c r="G5" t="s">
        <v>4123</v>
      </c>
      <c r="H5" t="s">
        <v>4124</v>
      </c>
      <c r="I5">
        <v>2020</v>
      </c>
      <c r="J5" t="s">
        <v>4125</v>
      </c>
    </row>
    <row r="6" spans="1:10" x14ac:dyDescent="0.25">
      <c r="A6">
        <v>5</v>
      </c>
      <c r="B6" t="s">
        <v>32</v>
      </c>
      <c r="C6" t="s">
        <v>23</v>
      </c>
      <c r="D6" t="s">
        <v>2896</v>
      </c>
      <c r="E6" t="s">
        <v>4117</v>
      </c>
      <c r="F6" t="s">
        <v>4114</v>
      </c>
      <c r="G6" t="s">
        <v>4118</v>
      </c>
      <c r="H6" t="s">
        <v>4119</v>
      </c>
      <c r="I6">
        <v>2019</v>
      </c>
      <c r="J6" t="s">
        <v>4116</v>
      </c>
    </row>
    <row r="7" spans="1:10" x14ac:dyDescent="0.25">
      <c r="A7">
        <v>6</v>
      </c>
      <c r="B7" t="s">
        <v>2897</v>
      </c>
      <c r="C7" t="s">
        <v>35</v>
      </c>
      <c r="D7" t="s">
        <v>2898</v>
      </c>
      <c r="E7" t="s">
        <v>4117</v>
      </c>
      <c r="F7" t="s">
        <v>4114</v>
      </c>
      <c r="G7" t="s">
        <v>4118</v>
      </c>
      <c r="H7" t="s">
        <v>4119</v>
      </c>
      <c r="I7">
        <v>2017</v>
      </c>
      <c r="J7" t="s">
        <v>4125</v>
      </c>
    </row>
    <row r="8" spans="1:10" x14ac:dyDescent="0.25">
      <c r="A8">
        <v>7</v>
      </c>
      <c r="B8" t="s">
        <v>2899</v>
      </c>
      <c r="C8" t="s">
        <v>23</v>
      </c>
      <c r="D8" t="s">
        <v>2900</v>
      </c>
      <c r="E8" t="s">
        <v>4117</v>
      </c>
      <c r="F8" t="s">
        <v>4114</v>
      </c>
      <c r="G8" t="s">
        <v>4118</v>
      </c>
      <c r="H8" t="s">
        <v>4119</v>
      </c>
      <c r="I8">
        <v>2015</v>
      </c>
      <c r="J8" t="s">
        <v>4116</v>
      </c>
    </row>
    <row r="9" spans="1:10" x14ac:dyDescent="0.25">
      <c r="A9">
        <v>8</v>
      </c>
      <c r="B9" t="s">
        <v>2902</v>
      </c>
      <c r="C9" t="s">
        <v>35</v>
      </c>
      <c r="D9" t="s">
        <v>2903</v>
      </c>
      <c r="E9" t="s">
        <v>4117</v>
      </c>
      <c r="F9" t="s">
        <v>4114</v>
      </c>
      <c r="G9" t="s">
        <v>4118</v>
      </c>
      <c r="H9" t="s">
        <v>4119</v>
      </c>
      <c r="I9">
        <v>2014</v>
      </c>
      <c r="J9" t="s">
        <v>4125</v>
      </c>
    </row>
    <row r="10" spans="1:10" x14ac:dyDescent="0.25">
      <c r="A10">
        <v>9</v>
      </c>
      <c r="B10" t="s">
        <v>2904</v>
      </c>
      <c r="C10" t="s">
        <v>35</v>
      </c>
      <c r="D10" t="s">
        <v>2905</v>
      </c>
      <c r="E10" t="s">
        <v>4117</v>
      </c>
      <c r="F10" t="s">
        <v>4114</v>
      </c>
      <c r="G10" t="s">
        <v>4118</v>
      </c>
      <c r="H10" t="s">
        <v>4119</v>
      </c>
      <c r="I10">
        <v>2011</v>
      </c>
      <c r="J10" t="s">
        <v>4125</v>
      </c>
    </row>
    <row r="11" spans="1:10" x14ac:dyDescent="0.25">
      <c r="A11">
        <v>10</v>
      </c>
      <c r="B11" t="s">
        <v>2906</v>
      </c>
      <c r="C11" t="s">
        <v>30</v>
      </c>
      <c r="D11" t="s">
        <v>2907</v>
      </c>
      <c r="E11" t="s">
        <v>4122</v>
      </c>
      <c r="F11" t="s">
        <v>4114</v>
      </c>
      <c r="G11" t="s">
        <v>4123</v>
      </c>
      <c r="H11" t="s">
        <v>4124</v>
      </c>
      <c r="I11">
        <v>2025</v>
      </c>
      <c r="J11" t="s">
        <v>4125</v>
      </c>
    </row>
    <row r="12" spans="1:10" x14ac:dyDescent="0.25">
      <c r="A12">
        <v>11</v>
      </c>
      <c r="B12" t="s">
        <v>2908</v>
      </c>
      <c r="C12" t="s">
        <v>35</v>
      </c>
      <c r="D12" t="s">
        <v>2909</v>
      </c>
      <c r="E12" t="s">
        <v>4117</v>
      </c>
      <c r="F12" t="s">
        <v>4114</v>
      </c>
      <c r="G12" t="s">
        <v>4118</v>
      </c>
      <c r="H12" t="s">
        <v>4119</v>
      </c>
      <c r="I12">
        <v>2009</v>
      </c>
      <c r="J12" t="s">
        <v>4125</v>
      </c>
    </row>
    <row r="13" spans="1:10" x14ac:dyDescent="0.25">
      <c r="A13">
        <v>12</v>
      </c>
      <c r="B13" t="s">
        <v>48</v>
      </c>
      <c r="C13" t="s">
        <v>49</v>
      </c>
      <c r="D13" t="s">
        <v>2910</v>
      </c>
      <c r="E13" t="s">
        <v>4126</v>
      </c>
      <c r="F13" t="s">
        <v>4114</v>
      </c>
      <c r="G13" t="s">
        <v>4127</v>
      </c>
      <c r="H13" t="s">
        <v>4128</v>
      </c>
      <c r="I13">
        <v>2024</v>
      </c>
      <c r="J13" t="s">
        <v>4116</v>
      </c>
    </row>
    <row r="14" spans="1:10" x14ac:dyDescent="0.25">
      <c r="A14">
        <v>13</v>
      </c>
      <c r="B14" t="s">
        <v>51</v>
      </c>
      <c r="C14" t="s">
        <v>52</v>
      </c>
      <c r="D14" t="s">
        <v>2911</v>
      </c>
      <c r="E14" t="s">
        <v>4129</v>
      </c>
      <c r="F14" t="s">
        <v>4114</v>
      </c>
      <c r="G14" t="s">
        <v>4121</v>
      </c>
      <c r="H14" t="s">
        <v>2603</v>
      </c>
      <c r="I14">
        <v>2024</v>
      </c>
      <c r="J14" t="s">
        <v>4125</v>
      </c>
    </row>
    <row r="15" spans="1:10" x14ac:dyDescent="0.25">
      <c r="A15">
        <v>14</v>
      </c>
      <c r="B15" t="s">
        <v>54</v>
      </c>
      <c r="C15" t="s">
        <v>55</v>
      </c>
      <c r="D15" t="s">
        <v>2912</v>
      </c>
      <c r="E15" t="s">
        <v>4130</v>
      </c>
      <c r="F15" t="s">
        <v>4131</v>
      </c>
      <c r="G15" t="s">
        <v>4121</v>
      </c>
      <c r="H15" t="s">
        <v>2603</v>
      </c>
      <c r="I15">
        <v>2014</v>
      </c>
      <c r="J15" t="s">
        <v>4116</v>
      </c>
    </row>
    <row r="16" spans="1:10" x14ac:dyDescent="0.25">
      <c r="A16">
        <v>15</v>
      </c>
      <c r="B16" t="s">
        <v>58</v>
      </c>
      <c r="C16" t="s">
        <v>35</v>
      </c>
      <c r="D16" t="s">
        <v>2913</v>
      </c>
      <c r="E16" t="s">
        <v>4117</v>
      </c>
      <c r="F16" t="s">
        <v>4114</v>
      </c>
      <c r="G16" t="s">
        <v>4118</v>
      </c>
      <c r="H16" t="s">
        <v>4119</v>
      </c>
      <c r="I16">
        <v>2008</v>
      </c>
      <c r="J16" t="s">
        <v>4125</v>
      </c>
    </row>
    <row r="17" spans="1:10" x14ac:dyDescent="0.25">
      <c r="A17">
        <v>16</v>
      </c>
      <c r="B17" t="s">
        <v>2914</v>
      </c>
      <c r="C17" t="s">
        <v>35</v>
      </c>
      <c r="D17" t="s">
        <v>2915</v>
      </c>
      <c r="E17" t="s">
        <v>4117</v>
      </c>
      <c r="F17" t="s">
        <v>4114</v>
      </c>
      <c r="G17" t="s">
        <v>4118</v>
      </c>
      <c r="H17" t="s">
        <v>4119</v>
      </c>
      <c r="I17">
        <v>2007</v>
      </c>
      <c r="J17" t="s">
        <v>4125</v>
      </c>
    </row>
    <row r="18" spans="1:10" x14ac:dyDescent="0.25">
      <c r="A18">
        <v>17</v>
      </c>
      <c r="B18" t="s">
        <v>61</v>
      </c>
      <c r="C18" t="s">
        <v>62</v>
      </c>
      <c r="D18" t="s">
        <v>2916</v>
      </c>
      <c r="E18" t="s">
        <v>4132</v>
      </c>
      <c r="F18" t="s">
        <v>4114</v>
      </c>
      <c r="G18" t="s">
        <v>4133</v>
      </c>
      <c r="H18" t="s">
        <v>2494</v>
      </c>
      <c r="I18">
        <v>2025</v>
      </c>
      <c r="J18" t="s">
        <v>4116</v>
      </c>
    </row>
    <row r="19" spans="1:10" x14ac:dyDescent="0.25">
      <c r="A19">
        <v>18</v>
      </c>
      <c r="B19" t="s">
        <v>64</v>
      </c>
      <c r="C19" t="s">
        <v>35</v>
      </c>
      <c r="D19" t="s">
        <v>2918</v>
      </c>
      <c r="E19" t="s">
        <v>4117</v>
      </c>
      <c r="F19" t="s">
        <v>4114</v>
      </c>
      <c r="G19" t="s">
        <v>4118</v>
      </c>
      <c r="H19" t="s">
        <v>4119</v>
      </c>
      <c r="I19">
        <v>2006</v>
      </c>
      <c r="J19" t="s">
        <v>4125</v>
      </c>
    </row>
    <row r="20" spans="1:10" x14ac:dyDescent="0.25">
      <c r="A20">
        <v>19</v>
      </c>
      <c r="B20" t="s">
        <v>2919</v>
      </c>
      <c r="C20" t="s">
        <v>35</v>
      </c>
      <c r="D20" t="s">
        <v>2920</v>
      </c>
      <c r="E20" t="s">
        <v>4117</v>
      </c>
      <c r="F20" t="s">
        <v>4114</v>
      </c>
      <c r="G20" t="s">
        <v>4118</v>
      </c>
      <c r="H20" t="s">
        <v>4119</v>
      </c>
      <c r="I20">
        <v>2005</v>
      </c>
      <c r="J20" t="s">
        <v>4125</v>
      </c>
    </row>
    <row r="21" spans="1:10" x14ac:dyDescent="0.25">
      <c r="A21">
        <v>20</v>
      </c>
      <c r="B21" t="s">
        <v>2921</v>
      </c>
      <c r="C21" t="s">
        <v>30</v>
      </c>
      <c r="D21" t="s">
        <v>2922</v>
      </c>
      <c r="E21" t="s">
        <v>4122</v>
      </c>
      <c r="F21" t="s">
        <v>4114</v>
      </c>
      <c r="G21" t="s">
        <v>4123</v>
      </c>
      <c r="H21" t="s">
        <v>4124</v>
      </c>
      <c r="I21">
        <v>2019</v>
      </c>
      <c r="J21" t="s">
        <v>4125</v>
      </c>
    </row>
    <row r="22" spans="1:10" x14ac:dyDescent="0.25">
      <c r="A22">
        <v>21</v>
      </c>
      <c r="B22" t="s">
        <v>69</v>
      </c>
      <c r="C22" t="s">
        <v>70</v>
      </c>
      <c r="D22" t="s">
        <v>2923</v>
      </c>
      <c r="E22" t="s">
        <v>4134</v>
      </c>
      <c r="F22" t="s">
        <v>4114</v>
      </c>
      <c r="G22" t="s">
        <v>4118</v>
      </c>
      <c r="H22" t="s">
        <v>4119</v>
      </c>
      <c r="I22">
        <v>2024</v>
      </c>
      <c r="J22" t="s">
        <v>4116</v>
      </c>
    </row>
    <row r="23" spans="1:10" x14ac:dyDescent="0.25">
      <c r="A23">
        <v>22</v>
      </c>
      <c r="B23" t="s">
        <v>2924</v>
      </c>
      <c r="C23" t="s">
        <v>35</v>
      </c>
      <c r="D23" t="s">
        <v>2925</v>
      </c>
      <c r="E23" t="s">
        <v>4117</v>
      </c>
      <c r="F23" t="s">
        <v>4114</v>
      </c>
      <c r="G23" t="s">
        <v>4118</v>
      </c>
      <c r="H23" t="s">
        <v>4119</v>
      </c>
      <c r="I23">
        <v>2004</v>
      </c>
      <c r="J23" t="s">
        <v>4125</v>
      </c>
    </row>
    <row r="24" spans="1:10" x14ac:dyDescent="0.25">
      <c r="A24">
        <v>23</v>
      </c>
      <c r="B24" t="s">
        <v>74</v>
      </c>
      <c r="C24" t="s">
        <v>75</v>
      </c>
      <c r="D24" t="s">
        <v>2926</v>
      </c>
      <c r="E24" t="s">
        <v>4135</v>
      </c>
      <c r="F24" t="s">
        <v>4131</v>
      </c>
      <c r="G24" t="s">
        <v>4121</v>
      </c>
      <c r="H24" t="s">
        <v>2603</v>
      </c>
      <c r="I24">
        <v>2024</v>
      </c>
      <c r="J24" t="s">
        <v>4125</v>
      </c>
    </row>
    <row r="25" spans="1:10" x14ac:dyDescent="0.25">
      <c r="A25">
        <v>24</v>
      </c>
      <c r="B25" t="s">
        <v>2927</v>
      </c>
      <c r="C25" t="s">
        <v>35</v>
      </c>
      <c r="D25" t="s">
        <v>2928</v>
      </c>
      <c r="E25" t="s">
        <v>4117</v>
      </c>
      <c r="F25" t="s">
        <v>4114</v>
      </c>
      <c r="G25" t="s">
        <v>4118</v>
      </c>
      <c r="H25" t="s">
        <v>4119</v>
      </c>
      <c r="I25">
        <v>2003</v>
      </c>
      <c r="J25" t="s">
        <v>4125</v>
      </c>
    </row>
    <row r="26" spans="1:10" x14ac:dyDescent="0.25">
      <c r="A26">
        <v>25</v>
      </c>
      <c r="B26" t="s">
        <v>2504</v>
      </c>
      <c r="C26" t="s">
        <v>80</v>
      </c>
      <c r="D26" t="s">
        <v>2929</v>
      </c>
      <c r="E26" t="s">
        <v>4136</v>
      </c>
      <c r="F26" t="s">
        <v>4114</v>
      </c>
      <c r="G26" t="s">
        <v>4137</v>
      </c>
      <c r="H26" t="s">
        <v>2603</v>
      </c>
      <c r="I26">
        <v>2024</v>
      </c>
      <c r="J26" t="s">
        <v>4125</v>
      </c>
    </row>
    <row r="27" spans="1:10" x14ac:dyDescent="0.25">
      <c r="A27">
        <v>26</v>
      </c>
      <c r="B27" t="s">
        <v>2505</v>
      </c>
      <c r="C27" t="s">
        <v>82</v>
      </c>
      <c r="D27" t="s">
        <v>2930</v>
      </c>
      <c r="E27" t="s">
        <v>4138</v>
      </c>
      <c r="F27" t="s">
        <v>4114</v>
      </c>
      <c r="G27" t="s">
        <v>4121</v>
      </c>
      <c r="H27" t="s">
        <v>2603</v>
      </c>
      <c r="I27">
        <v>2018</v>
      </c>
      <c r="J27" t="s">
        <v>4125</v>
      </c>
    </row>
    <row r="28" spans="1:10" x14ac:dyDescent="0.25">
      <c r="A28">
        <v>27</v>
      </c>
      <c r="B28" t="s">
        <v>2507</v>
      </c>
      <c r="C28" t="s">
        <v>84</v>
      </c>
      <c r="D28" t="s">
        <v>2931</v>
      </c>
      <c r="E28" t="s">
        <v>4122</v>
      </c>
      <c r="F28" t="s">
        <v>4114</v>
      </c>
      <c r="G28" t="s">
        <v>4115</v>
      </c>
      <c r="H28" t="s">
        <v>2603</v>
      </c>
      <c r="I28">
        <v>2011</v>
      </c>
      <c r="J28" t="s">
        <v>4125</v>
      </c>
    </row>
    <row r="29" spans="1:10" x14ac:dyDescent="0.25">
      <c r="A29">
        <v>28</v>
      </c>
      <c r="B29" t="s">
        <v>86</v>
      </c>
      <c r="C29" t="s">
        <v>87</v>
      </c>
      <c r="D29" t="s">
        <v>2932</v>
      </c>
      <c r="E29" t="s">
        <v>4134</v>
      </c>
      <c r="F29" t="s">
        <v>4114</v>
      </c>
      <c r="G29" t="s">
        <v>4133</v>
      </c>
      <c r="H29" t="s">
        <v>2494</v>
      </c>
      <c r="I29">
        <v>2025</v>
      </c>
      <c r="J29" t="s">
        <v>4116</v>
      </c>
    </row>
    <row r="30" spans="1:10" x14ac:dyDescent="0.25">
      <c r="A30">
        <v>29</v>
      </c>
      <c r="B30" t="s">
        <v>2509</v>
      </c>
      <c r="C30" t="s">
        <v>90</v>
      </c>
      <c r="D30" t="s">
        <v>2934</v>
      </c>
      <c r="E30" t="s">
        <v>4129</v>
      </c>
      <c r="F30" t="s">
        <v>4114</v>
      </c>
      <c r="G30" t="s">
        <v>4115</v>
      </c>
      <c r="H30" t="s">
        <v>2603</v>
      </c>
      <c r="I30">
        <v>2021</v>
      </c>
      <c r="J30" t="s">
        <v>4116</v>
      </c>
    </row>
    <row r="31" spans="1:10" x14ac:dyDescent="0.25">
      <c r="A31">
        <v>30</v>
      </c>
      <c r="B31" t="s">
        <v>2935</v>
      </c>
      <c r="C31" t="s">
        <v>94</v>
      </c>
      <c r="D31" t="s">
        <v>2936</v>
      </c>
      <c r="E31" t="s">
        <v>4113</v>
      </c>
      <c r="F31" t="s">
        <v>4114</v>
      </c>
      <c r="G31" t="s">
        <v>4121</v>
      </c>
      <c r="H31" t="s">
        <v>2603</v>
      </c>
      <c r="I31">
        <v>2022</v>
      </c>
      <c r="J31" t="s">
        <v>4116</v>
      </c>
    </row>
    <row r="32" spans="1:10" x14ac:dyDescent="0.25">
      <c r="A32">
        <v>31</v>
      </c>
      <c r="B32" t="s">
        <v>96</v>
      </c>
      <c r="C32" t="s">
        <v>97</v>
      </c>
      <c r="D32" t="s">
        <v>2937</v>
      </c>
      <c r="E32" t="s">
        <v>4126</v>
      </c>
      <c r="F32" t="s">
        <v>4114</v>
      </c>
      <c r="G32" t="s">
        <v>4115</v>
      </c>
      <c r="H32" t="s">
        <v>2603</v>
      </c>
      <c r="I32">
        <v>2024</v>
      </c>
      <c r="J32" t="s">
        <v>4125</v>
      </c>
    </row>
    <row r="33" spans="1:10" x14ac:dyDescent="0.25">
      <c r="A33">
        <v>32</v>
      </c>
      <c r="B33" t="s">
        <v>2512</v>
      </c>
      <c r="C33" t="s">
        <v>90</v>
      </c>
      <c r="D33" t="s">
        <v>2938</v>
      </c>
      <c r="E33" t="s">
        <v>4129</v>
      </c>
      <c r="F33" t="s">
        <v>4114</v>
      </c>
      <c r="G33" t="s">
        <v>4115</v>
      </c>
      <c r="H33" t="s">
        <v>2603</v>
      </c>
      <c r="I33">
        <v>2020</v>
      </c>
      <c r="J33" t="s">
        <v>4116</v>
      </c>
    </row>
    <row r="34" spans="1:10" x14ac:dyDescent="0.25">
      <c r="A34">
        <v>33</v>
      </c>
      <c r="B34" t="s">
        <v>2513</v>
      </c>
      <c r="C34" t="s">
        <v>90</v>
      </c>
      <c r="D34" t="s">
        <v>2939</v>
      </c>
      <c r="E34" t="s">
        <v>4129</v>
      </c>
      <c r="F34" t="s">
        <v>4114</v>
      </c>
      <c r="G34" t="s">
        <v>4115</v>
      </c>
      <c r="H34" t="s">
        <v>2603</v>
      </c>
      <c r="I34">
        <v>2019</v>
      </c>
      <c r="J34" t="s">
        <v>4116</v>
      </c>
    </row>
    <row r="35" spans="1:10" x14ac:dyDescent="0.25">
      <c r="A35">
        <v>34</v>
      </c>
      <c r="B35" t="s">
        <v>101</v>
      </c>
      <c r="C35" t="s">
        <v>102</v>
      </c>
      <c r="D35" t="s">
        <v>2940</v>
      </c>
      <c r="E35" t="s">
        <v>4139</v>
      </c>
      <c r="F35" t="s">
        <v>4131</v>
      </c>
      <c r="G35" t="s">
        <v>4121</v>
      </c>
      <c r="H35" t="s">
        <v>2603</v>
      </c>
      <c r="I35">
        <v>2012</v>
      </c>
      <c r="J35" t="s">
        <v>4116</v>
      </c>
    </row>
    <row r="36" spans="1:10" x14ac:dyDescent="0.25">
      <c r="A36">
        <v>35</v>
      </c>
      <c r="B36" t="s">
        <v>2514</v>
      </c>
      <c r="C36" t="s">
        <v>90</v>
      </c>
      <c r="D36" t="s">
        <v>2941</v>
      </c>
      <c r="E36" t="s">
        <v>4129</v>
      </c>
      <c r="F36" t="s">
        <v>4114</v>
      </c>
      <c r="G36" t="s">
        <v>4115</v>
      </c>
      <c r="H36" t="s">
        <v>2603</v>
      </c>
      <c r="I36">
        <v>2016</v>
      </c>
      <c r="J36" t="s">
        <v>4116</v>
      </c>
    </row>
    <row r="37" spans="1:10" x14ac:dyDescent="0.25">
      <c r="A37">
        <v>36</v>
      </c>
      <c r="B37" t="s">
        <v>2516</v>
      </c>
      <c r="C37" t="s">
        <v>90</v>
      </c>
      <c r="D37" t="s">
        <v>2942</v>
      </c>
      <c r="E37" t="s">
        <v>4129</v>
      </c>
      <c r="F37" t="s">
        <v>4114</v>
      </c>
      <c r="G37" t="s">
        <v>4115</v>
      </c>
      <c r="H37" t="s">
        <v>2603</v>
      </c>
      <c r="I37">
        <v>2016</v>
      </c>
      <c r="J37" t="s">
        <v>4116</v>
      </c>
    </row>
    <row r="38" spans="1:10" x14ac:dyDescent="0.25">
      <c r="A38">
        <v>37</v>
      </c>
      <c r="B38" t="s">
        <v>108</v>
      </c>
      <c r="C38" t="s">
        <v>94</v>
      </c>
      <c r="D38" t="s">
        <v>2943</v>
      </c>
      <c r="E38" t="s">
        <v>4113</v>
      </c>
      <c r="F38" t="s">
        <v>4114</v>
      </c>
      <c r="G38" t="s">
        <v>4121</v>
      </c>
      <c r="H38" t="s">
        <v>2603</v>
      </c>
      <c r="I38">
        <v>2014</v>
      </c>
      <c r="J38" t="s">
        <v>4116</v>
      </c>
    </row>
    <row r="39" spans="1:10" x14ac:dyDescent="0.25">
      <c r="A39">
        <v>38</v>
      </c>
      <c r="B39" t="s">
        <v>2517</v>
      </c>
      <c r="C39" t="s">
        <v>90</v>
      </c>
      <c r="D39" t="s">
        <v>2944</v>
      </c>
      <c r="E39" t="s">
        <v>4129</v>
      </c>
      <c r="F39" t="s">
        <v>4114</v>
      </c>
      <c r="G39" t="s">
        <v>4115</v>
      </c>
      <c r="H39" t="s">
        <v>2603</v>
      </c>
      <c r="I39">
        <v>2015</v>
      </c>
      <c r="J39" t="s">
        <v>4116</v>
      </c>
    </row>
    <row r="40" spans="1:10" x14ac:dyDescent="0.25">
      <c r="A40">
        <v>39</v>
      </c>
      <c r="B40" t="s">
        <v>2945</v>
      </c>
      <c r="C40" t="s">
        <v>90</v>
      </c>
      <c r="D40" t="s">
        <v>2946</v>
      </c>
      <c r="E40" t="s">
        <v>4129</v>
      </c>
      <c r="F40" t="s">
        <v>4114</v>
      </c>
      <c r="G40" t="s">
        <v>4115</v>
      </c>
      <c r="H40" t="s">
        <v>2603</v>
      </c>
      <c r="I40">
        <v>2014</v>
      </c>
      <c r="J40" t="s">
        <v>4116</v>
      </c>
    </row>
    <row r="41" spans="1:10" x14ac:dyDescent="0.25">
      <c r="A41">
        <v>40</v>
      </c>
      <c r="B41" t="s">
        <v>113</v>
      </c>
      <c r="C41" t="s">
        <v>114</v>
      </c>
      <c r="D41" t="s">
        <v>2947</v>
      </c>
      <c r="E41" t="s">
        <v>4122</v>
      </c>
      <c r="F41" t="s">
        <v>4114</v>
      </c>
      <c r="G41" t="s">
        <v>4133</v>
      </c>
      <c r="H41" t="s">
        <v>2494</v>
      </c>
      <c r="I41">
        <v>2025</v>
      </c>
      <c r="J41" t="s">
        <v>4116</v>
      </c>
    </row>
    <row r="42" spans="1:10" x14ac:dyDescent="0.25">
      <c r="A42">
        <v>41</v>
      </c>
      <c r="B42" t="s">
        <v>2948</v>
      </c>
      <c r="C42" t="s">
        <v>90</v>
      </c>
      <c r="D42" t="s">
        <v>2949</v>
      </c>
      <c r="E42" t="s">
        <v>4129</v>
      </c>
      <c r="F42" t="s">
        <v>4114</v>
      </c>
      <c r="G42" t="s">
        <v>4115</v>
      </c>
      <c r="H42" t="s">
        <v>2603</v>
      </c>
      <c r="I42">
        <v>2013</v>
      </c>
      <c r="J42" t="s">
        <v>4116</v>
      </c>
    </row>
    <row r="43" spans="1:10" x14ac:dyDescent="0.25">
      <c r="A43">
        <v>42</v>
      </c>
      <c r="B43" t="s">
        <v>2950</v>
      </c>
      <c r="C43" t="s">
        <v>39</v>
      </c>
      <c r="D43" t="s">
        <v>2951</v>
      </c>
      <c r="E43" t="s">
        <v>4117</v>
      </c>
      <c r="F43" t="s">
        <v>4114</v>
      </c>
      <c r="G43" t="s">
        <v>4118</v>
      </c>
      <c r="H43" t="s">
        <v>4119</v>
      </c>
      <c r="I43">
        <v>2007</v>
      </c>
      <c r="J43" t="s">
        <v>4116</v>
      </c>
    </row>
    <row r="44" spans="1:10" x14ac:dyDescent="0.25">
      <c r="A44">
        <v>43</v>
      </c>
      <c r="B44" t="s">
        <v>2952</v>
      </c>
      <c r="C44" t="s">
        <v>125</v>
      </c>
      <c r="D44" t="s">
        <v>2953</v>
      </c>
      <c r="E44" t="s">
        <v>4129</v>
      </c>
      <c r="F44" t="s">
        <v>4114</v>
      </c>
      <c r="G44" t="s">
        <v>4121</v>
      </c>
      <c r="H44" t="s">
        <v>2603</v>
      </c>
      <c r="I44">
        <v>2025</v>
      </c>
      <c r="J44" t="s">
        <v>4116</v>
      </c>
    </row>
    <row r="45" spans="1:10" x14ac:dyDescent="0.25">
      <c r="A45">
        <v>44</v>
      </c>
      <c r="B45" t="s">
        <v>2954</v>
      </c>
      <c r="C45" t="s">
        <v>127</v>
      </c>
      <c r="D45" t="s">
        <v>2955</v>
      </c>
      <c r="E45" t="s">
        <v>4120</v>
      </c>
      <c r="F45" t="s">
        <v>4114</v>
      </c>
      <c r="G45" t="s">
        <v>4121</v>
      </c>
      <c r="H45" t="s">
        <v>2603</v>
      </c>
      <c r="I45">
        <v>2014</v>
      </c>
      <c r="J45" t="s">
        <v>4125</v>
      </c>
    </row>
    <row r="46" spans="1:10" x14ac:dyDescent="0.25">
      <c r="A46">
        <v>45</v>
      </c>
      <c r="B46" t="s">
        <v>2956</v>
      </c>
      <c r="C46" t="s">
        <v>133</v>
      </c>
      <c r="D46" t="s">
        <v>2957</v>
      </c>
      <c r="E46" t="s">
        <v>4120</v>
      </c>
      <c r="F46" t="s">
        <v>4114</v>
      </c>
      <c r="G46" t="s">
        <v>4115</v>
      </c>
      <c r="H46" t="s">
        <v>2603</v>
      </c>
      <c r="I46">
        <v>2024</v>
      </c>
      <c r="J46" t="s">
        <v>4125</v>
      </c>
    </row>
    <row r="47" spans="1:10" x14ac:dyDescent="0.25">
      <c r="A47">
        <v>46</v>
      </c>
      <c r="B47" t="s">
        <v>2958</v>
      </c>
      <c r="C47" t="s">
        <v>80</v>
      </c>
      <c r="D47" t="s">
        <v>2959</v>
      </c>
      <c r="E47" t="s">
        <v>4136</v>
      </c>
      <c r="F47" t="s">
        <v>4114</v>
      </c>
      <c r="G47" t="s">
        <v>4137</v>
      </c>
      <c r="H47" t="s">
        <v>2603</v>
      </c>
      <c r="I47">
        <v>2023</v>
      </c>
      <c r="J47" t="s">
        <v>4125</v>
      </c>
    </row>
    <row r="48" spans="1:10" x14ac:dyDescent="0.25">
      <c r="A48">
        <v>47</v>
      </c>
      <c r="B48" t="s">
        <v>137</v>
      </c>
      <c r="C48" t="s">
        <v>138</v>
      </c>
      <c r="D48" t="s">
        <v>2960</v>
      </c>
      <c r="E48" t="s">
        <v>4130</v>
      </c>
      <c r="F48" t="s">
        <v>4131</v>
      </c>
      <c r="G48" t="s">
        <v>4133</v>
      </c>
      <c r="H48" t="s">
        <v>2494</v>
      </c>
      <c r="I48">
        <v>2025</v>
      </c>
      <c r="J48" t="s">
        <v>4116</v>
      </c>
    </row>
    <row r="49" spans="1:10" x14ac:dyDescent="0.25">
      <c r="A49">
        <v>48</v>
      </c>
      <c r="B49" t="s">
        <v>140</v>
      </c>
      <c r="C49" t="s">
        <v>141</v>
      </c>
      <c r="D49" t="s">
        <v>2961</v>
      </c>
      <c r="E49" t="s">
        <v>4140</v>
      </c>
      <c r="F49" t="s">
        <v>4131</v>
      </c>
      <c r="G49" t="s">
        <v>4121</v>
      </c>
      <c r="H49" t="s">
        <v>2603</v>
      </c>
      <c r="I49">
        <v>2024</v>
      </c>
      <c r="J49" t="s">
        <v>4116</v>
      </c>
    </row>
    <row r="50" spans="1:10" x14ac:dyDescent="0.25">
      <c r="A50">
        <v>49</v>
      </c>
      <c r="B50" t="s">
        <v>143</v>
      </c>
      <c r="C50" t="s">
        <v>144</v>
      </c>
      <c r="D50" t="s">
        <v>2962</v>
      </c>
      <c r="E50" t="s">
        <v>4129</v>
      </c>
      <c r="F50" t="s">
        <v>4114</v>
      </c>
      <c r="G50" t="s">
        <v>4115</v>
      </c>
      <c r="H50" t="s">
        <v>2603</v>
      </c>
      <c r="I50">
        <v>2021</v>
      </c>
      <c r="J50" t="s">
        <v>4125</v>
      </c>
    </row>
    <row r="51" spans="1:10" x14ac:dyDescent="0.25">
      <c r="A51">
        <v>50</v>
      </c>
      <c r="B51" t="s">
        <v>2963</v>
      </c>
      <c r="C51" t="s">
        <v>90</v>
      </c>
      <c r="D51" t="s">
        <v>2964</v>
      </c>
      <c r="E51" t="s">
        <v>4129</v>
      </c>
      <c r="F51" t="s">
        <v>4114</v>
      </c>
      <c r="G51" t="s">
        <v>4115</v>
      </c>
      <c r="H51" t="s">
        <v>2603</v>
      </c>
      <c r="I51">
        <v>2012</v>
      </c>
      <c r="J51" t="s">
        <v>4116</v>
      </c>
    </row>
    <row r="52" spans="1:10" x14ac:dyDescent="0.25">
      <c r="A52">
        <v>51</v>
      </c>
      <c r="B52" t="s">
        <v>148</v>
      </c>
      <c r="C52" t="s">
        <v>149</v>
      </c>
      <c r="D52" t="s">
        <v>2965</v>
      </c>
      <c r="E52" t="s">
        <v>4129</v>
      </c>
      <c r="F52" t="s">
        <v>4114</v>
      </c>
      <c r="G52" t="s">
        <v>4121</v>
      </c>
      <c r="H52" t="s">
        <v>2603</v>
      </c>
      <c r="I52">
        <v>2021</v>
      </c>
      <c r="J52" t="s">
        <v>4125</v>
      </c>
    </row>
    <row r="53" spans="1:10" x14ac:dyDescent="0.25">
      <c r="A53">
        <v>52</v>
      </c>
      <c r="B53" t="s">
        <v>2966</v>
      </c>
      <c r="C53" t="s">
        <v>90</v>
      </c>
      <c r="D53" t="s">
        <v>2967</v>
      </c>
      <c r="E53" t="s">
        <v>4129</v>
      </c>
      <c r="F53" t="s">
        <v>4114</v>
      </c>
      <c r="G53" t="s">
        <v>4115</v>
      </c>
      <c r="H53" t="s">
        <v>2603</v>
      </c>
      <c r="I53">
        <v>2011</v>
      </c>
      <c r="J53" t="s">
        <v>4116</v>
      </c>
    </row>
    <row r="54" spans="1:10" x14ac:dyDescent="0.25">
      <c r="A54">
        <v>53</v>
      </c>
      <c r="B54" t="s">
        <v>2968</v>
      </c>
      <c r="C54" t="s">
        <v>133</v>
      </c>
      <c r="D54" t="s">
        <v>2969</v>
      </c>
      <c r="E54" t="s">
        <v>4120</v>
      </c>
      <c r="F54" t="s">
        <v>4114</v>
      </c>
      <c r="G54" t="s">
        <v>4115</v>
      </c>
      <c r="H54" t="s">
        <v>2603</v>
      </c>
      <c r="I54">
        <v>2024</v>
      </c>
      <c r="J54" t="s">
        <v>4125</v>
      </c>
    </row>
    <row r="55" spans="1:10" x14ac:dyDescent="0.25">
      <c r="A55">
        <v>54</v>
      </c>
      <c r="B55" t="s">
        <v>2522</v>
      </c>
      <c r="C55" t="s">
        <v>157</v>
      </c>
      <c r="D55" t="s">
        <v>2970</v>
      </c>
      <c r="E55" t="s">
        <v>4122</v>
      </c>
      <c r="F55" t="s">
        <v>4114</v>
      </c>
      <c r="G55" t="s">
        <v>4115</v>
      </c>
      <c r="H55" t="s">
        <v>2603</v>
      </c>
      <c r="I55">
        <v>2021</v>
      </c>
      <c r="J55" t="s">
        <v>4125</v>
      </c>
    </row>
    <row r="56" spans="1:10" x14ac:dyDescent="0.25">
      <c r="A56">
        <v>55</v>
      </c>
      <c r="B56" t="s">
        <v>2971</v>
      </c>
      <c r="C56" t="s">
        <v>163</v>
      </c>
      <c r="D56" t="s">
        <v>2972</v>
      </c>
      <c r="E56" t="s">
        <v>4138</v>
      </c>
      <c r="F56" t="s">
        <v>4114</v>
      </c>
      <c r="G56" t="s">
        <v>4141</v>
      </c>
      <c r="H56" t="s">
        <v>2603</v>
      </c>
      <c r="I56">
        <v>2019</v>
      </c>
      <c r="J56" t="s">
        <v>4125</v>
      </c>
    </row>
    <row r="57" spans="1:10" x14ac:dyDescent="0.25">
      <c r="A57">
        <v>56</v>
      </c>
      <c r="B57" t="s">
        <v>2973</v>
      </c>
      <c r="C57" t="s">
        <v>167</v>
      </c>
      <c r="D57" t="s">
        <v>2974</v>
      </c>
      <c r="E57" t="s">
        <v>4126</v>
      </c>
      <c r="F57" t="s">
        <v>4114</v>
      </c>
      <c r="G57" t="s">
        <v>4142</v>
      </c>
      <c r="H57" t="s">
        <v>4143</v>
      </c>
      <c r="I57">
        <v>2022</v>
      </c>
      <c r="J57" t="s">
        <v>4125</v>
      </c>
    </row>
    <row r="58" spans="1:10" x14ac:dyDescent="0.25">
      <c r="A58">
        <v>57</v>
      </c>
      <c r="B58" t="s">
        <v>169</v>
      </c>
      <c r="C58" t="s">
        <v>170</v>
      </c>
      <c r="D58" t="s">
        <v>2975</v>
      </c>
      <c r="E58" t="s">
        <v>4129</v>
      </c>
      <c r="F58" t="s">
        <v>4114</v>
      </c>
      <c r="G58" t="s">
        <v>4144</v>
      </c>
      <c r="H58" t="s">
        <v>4124</v>
      </c>
      <c r="I58">
        <v>2014</v>
      </c>
      <c r="J58" t="s">
        <v>4116</v>
      </c>
    </row>
    <row r="59" spans="1:10" x14ac:dyDescent="0.25">
      <c r="A59">
        <v>58</v>
      </c>
      <c r="B59" t="s">
        <v>2977</v>
      </c>
      <c r="C59" t="s">
        <v>174</v>
      </c>
      <c r="D59" t="s">
        <v>2978</v>
      </c>
      <c r="E59" t="s">
        <v>4120</v>
      </c>
      <c r="F59" t="s">
        <v>4114</v>
      </c>
      <c r="G59" t="s">
        <v>4115</v>
      </c>
      <c r="H59" t="s">
        <v>2603</v>
      </c>
      <c r="I59">
        <v>2003</v>
      </c>
      <c r="J59" t="s">
        <v>4116</v>
      </c>
    </row>
    <row r="60" spans="1:10" x14ac:dyDescent="0.25">
      <c r="A60">
        <v>59</v>
      </c>
      <c r="B60" t="s">
        <v>176</v>
      </c>
      <c r="C60" t="s">
        <v>177</v>
      </c>
      <c r="D60" t="s">
        <v>2979</v>
      </c>
      <c r="E60" t="s">
        <v>4138</v>
      </c>
      <c r="F60" t="s">
        <v>4114</v>
      </c>
      <c r="G60" t="s">
        <v>4141</v>
      </c>
      <c r="H60" t="s">
        <v>2603</v>
      </c>
      <c r="I60">
        <v>1996</v>
      </c>
      <c r="J60" t="s">
        <v>4125</v>
      </c>
    </row>
    <row r="61" spans="1:10" x14ac:dyDescent="0.25">
      <c r="A61">
        <v>60</v>
      </c>
      <c r="B61" t="s">
        <v>179</v>
      </c>
      <c r="C61" t="s">
        <v>180</v>
      </c>
      <c r="D61" t="s">
        <v>2980</v>
      </c>
      <c r="E61" t="s">
        <v>4140</v>
      </c>
      <c r="F61" t="s">
        <v>4131</v>
      </c>
      <c r="G61" t="s">
        <v>4121</v>
      </c>
      <c r="H61" t="s">
        <v>2603</v>
      </c>
      <c r="I61">
        <v>1992</v>
      </c>
      <c r="J61" t="s">
        <v>4116</v>
      </c>
    </row>
    <row r="62" spans="1:10" x14ac:dyDescent="0.25">
      <c r="A62">
        <v>61</v>
      </c>
      <c r="B62" t="s">
        <v>2981</v>
      </c>
      <c r="C62" t="s">
        <v>184</v>
      </c>
      <c r="D62" t="s">
        <v>2982</v>
      </c>
      <c r="E62" t="s">
        <v>4117</v>
      </c>
      <c r="F62" t="s">
        <v>4114</v>
      </c>
      <c r="G62" t="s">
        <v>4118</v>
      </c>
      <c r="H62" t="s">
        <v>4119</v>
      </c>
      <c r="I62">
        <v>2020</v>
      </c>
      <c r="J62" t="s">
        <v>4145</v>
      </c>
    </row>
    <row r="63" spans="1:10" x14ac:dyDescent="0.25">
      <c r="A63">
        <v>62</v>
      </c>
      <c r="B63" t="s">
        <v>186</v>
      </c>
      <c r="C63" t="s">
        <v>20</v>
      </c>
      <c r="D63" t="s">
        <v>2983</v>
      </c>
      <c r="E63" t="s">
        <v>4140</v>
      </c>
      <c r="F63" t="s">
        <v>4131</v>
      </c>
      <c r="G63" t="s">
        <v>4133</v>
      </c>
      <c r="H63" t="s">
        <v>2494</v>
      </c>
      <c r="I63">
        <v>2024</v>
      </c>
      <c r="J63" t="s">
        <v>4125</v>
      </c>
    </row>
    <row r="64" spans="1:10" x14ac:dyDescent="0.25">
      <c r="A64">
        <v>63</v>
      </c>
      <c r="B64" t="s">
        <v>188</v>
      </c>
      <c r="C64" t="s">
        <v>159</v>
      </c>
      <c r="D64" t="s">
        <v>2984</v>
      </c>
      <c r="E64" t="s">
        <v>4146</v>
      </c>
      <c r="F64" t="s">
        <v>4114</v>
      </c>
      <c r="G64" t="s">
        <v>4133</v>
      </c>
      <c r="H64" t="s">
        <v>2494</v>
      </c>
      <c r="I64">
        <v>2021</v>
      </c>
      <c r="J64" t="s">
        <v>4147</v>
      </c>
    </row>
    <row r="65" spans="1:10" x14ac:dyDescent="0.25">
      <c r="A65">
        <v>64</v>
      </c>
      <c r="B65" t="s">
        <v>189</v>
      </c>
      <c r="C65" t="s">
        <v>190</v>
      </c>
      <c r="D65" t="s">
        <v>2985</v>
      </c>
      <c r="E65" t="s">
        <v>4117</v>
      </c>
      <c r="F65" t="s">
        <v>4114</v>
      </c>
      <c r="G65" t="s">
        <v>4121</v>
      </c>
      <c r="H65" t="s">
        <v>2603</v>
      </c>
      <c r="I65">
        <v>1992</v>
      </c>
      <c r="J65" t="s">
        <v>4125</v>
      </c>
    </row>
    <row r="66" spans="1:10" x14ac:dyDescent="0.25">
      <c r="A66">
        <v>65</v>
      </c>
      <c r="B66" t="s">
        <v>2986</v>
      </c>
      <c r="C66" t="s">
        <v>174</v>
      </c>
      <c r="D66" t="s">
        <v>2987</v>
      </c>
      <c r="E66" t="s">
        <v>4120</v>
      </c>
      <c r="F66" t="s">
        <v>4114</v>
      </c>
      <c r="G66" t="s">
        <v>4115</v>
      </c>
      <c r="H66" t="s">
        <v>2603</v>
      </c>
      <c r="I66">
        <v>1999</v>
      </c>
      <c r="J66" t="s">
        <v>4116</v>
      </c>
    </row>
    <row r="67" spans="1:10" x14ac:dyDescent="0.25">
      <c r="A67">
        <v>66</v>
      </c>
      <c r="B67" t="s">
        <v>194</v>
      </c>
      <c r="C67" t="s">
        <v>195</v>
      </c>
      <c r="D67" t="s">
        <v>2988</v>
      </c>
      <c r="E67" t="s">
        <v>4130</v>
      </c>
      <c r="F67" t="s">
        <v>4131</v>
      </c>
      <c r="G67" t="s">
        <v>4148</v>
      </c>
      <c r="H67" t="s">
        <v>2486</v>
      </c>
      <c r="I67">
        <v>2019</v>
      </c>
      <c r="J67" t="s">
        <v>4125</v>
      </c>
    </row>
    <row r="68" spans="1:10" x14ac:dyDescent="0.25">
      <c r="A68">
        <v>67</v>
      </c>
      <c r="B68" t="s">
        <v>2989</v>
      </c>
      <c r="C68" t="s">
        <v>39</v>
      </c>
      <c r="D68" t="s">
        <v>2990</v>
      </c>
      <c r="E68" t="s">
        <v>4117</v>
      </c>
      <c r="F68" t="s">
        <v>4114</v>
      </c>
      <c r="G68" t="s">
        <v>4118</v>
      </c>
      <c r="H68" t="s">
        <v>4119</v>
      </c>
      <c r="I68">
        <v>2006</v>
      </c>
      <c r="J68" t="s">
        <v>4116</v>
      </c>
    </row>
    <row r="69" spans="1:10" x14ac:dyDescent="0.25">
      <c r="A69">
        <v>68</v>
      </c>
      <c r="B69" t="s">
        <v>2991</v>
      </c>
      <c r="C69" t="s">
        <v>203</v>
      </c>
      <c r="D69" t="s">
        <v>2992</v>
      </c>
      <c r="E69" t="s">
        <v>4149</v>
      </c>
      <c r="F69" t="s">
        <v>4114</v>
      </c>
      <c r="G69" t="s">
        <v>4115</v>
      </c>
      <c r="H69" t="s">
        <v>2603</v>
      </c>
      <c r="I69">
        <v>2024</v>
      </c>
      <c r="J69" t="s">
        <v>4125</v>
      </c>
    </row>
    <row r="70" spans="1:10" x14ac:dyDescent="0.25">
      <c r="A70">
        <v>69</v>
      </c>
      <c r="B70" t="s">
        <v>2993</v>
      </c>
      <c r="C70" t="s">
        <v>207</v>
      </c>
      <c r="D70" t="s">
        <v>2994</v>
      </c>
      <c r="E70" t="s">
        <v>4117</v>
      </c>
      <c r="F70" t="s">
        <v>4114</v>
      </c>
      <c r="G70" t="s">
        <v>4118</v>
      </c>
      <c r="H70" t="s">
        <v>4119</v>
      </c>
      <c r="I70">
        <v>2024</v>
      </c>
      <c r="J70" t="s">
        <v>4116</v>
      </c>
    </row>
    <row r="71" spans="1:10" x14ac:dyDescent="0.25">
      <c r="A71">
        <v>70</v>
      </c>
      <c r="B71" t="s">
        <v>209</v>
      </c>
      <c r="C71" t="s">
        <v>210</v>
      </c>
      <c r="D71" t="s">
        <v>2995</v>
      </c>
      <c r="E71" t="s">
        <v>4140</v>
      </c>
      <c r="F71" t="s">
        <v>4131</v>
      </c>
      <c r="G71" t="s">
        <v>4121</v>
      </c>
      <c r="H71" t="s">
        <v>2603</v>
      </c>
      <c r="I71">
        <v>2024</v>
      </c>
      <c r="J71" t="s">
        <v>4125</v>
      </c>
    </row>
    <row r="72" spans="1:10" x14ac:dyDescent="0.25">
      <c r="A72">
        <v>71</v>
      </c>
      <c r="B72" t="s">
        <v>2996</v>
      </c>
      <c r="C72" t="s">
        <v>39</v>
      </c>
      <c r="D72" t="s">
        <v>2997</v>
      </c>
      <c r="E72" t="s">
        <v>4117</v>
      </c>
      <c r="F72" t="s">
        <v>4114</v>
      </c>
      <c r="G72" t="s">
        <v>4118</v>
      </c>
      <c r="H72" t="s">
        <v>4119</v>
      </c>
      <c r="I72">
        <v>2005</v>
      </c>
      <c r="J72" t="s">
        <v>4116</v>
      </c>
    </row>
    <row r="73" spans="1:10" x14ac:dyDescent="0.25">
      <c r="A73">
        <v>72</v>
      </c>
      <c r="B73" t="s">
        <v>214</v>
      </c>
      <c r="C73" t="s">
        <v>215</v>
      </c>
      <c r="D73" t="s">
        <v>2998</v>
      </c>
      <c r="E73" t="s">
        <v>4117</v>
      </c>
      <c r="F73" t="s">
        <v>4114</v>
      </c>
      <c r="G73" t="s">
        <v>4133</v>
      </c>
      <c r="H73" t="s">
        <v>2494</v>
      </c>
      <c r="I73">
        <v>2025</v>
      </c>
      <c r="J73" t="s">
        <v>4116</v>
      </c>
    </row>
    <row r="74" spans="1:10" x14ac:dyDescent="0.25">
      <c r="A74">
        <v>73</v>
      </c>
      <c r="B74" t="s">
        <v>217</v>
      </c>
      <c r="C74" t="s">
        <v>215</v>
      </c>
      <c r="D74" t="s">
        <v>2999</v>
      </c>
      <c r="E74" t="s">
        <v>4117</v>
      </c>
      <c r="F74" t="s">
        <v>4114</v>
      </c>
      <c r="G74" t="s">
        <v>4133</v>
      </c>
      <c r="H74" t="s">
        <v>2494</v>
      </c>
      <c r="I74">
        <v>2024</v>
      </c>
      <c r="J74" t="s">
        <v>4116</v>
      </c>
    </row>
    <row r="75" spans="1:10" x14ac:dyDescent="0.25">
      <c r="A75">
        <v>74</v>
      </c>
      <c r="B75" t="s">
        <v>3000</v>
      </c>
      <c r="C75" t="s">
        <v>220</v>
      </c>
      <c r="D75" t="s">
        <v>3001</v>
      </c>
      <c r="E75" t="s">
        <v>4149</v>
      </c>
      <c r="F75" t="s">
        <v>4114</v>
      </c>
      <c r="G75" t="s">
        <v>4121</v>
      </c>
      <c r="H75" t="s">
        <v>2603</v>
      </c>
      <c r="I75">
        <v>2025</v>
      </c>
      <c r="J75" t="s">
        <v>4125</v>
      </c>
    </row>
    <row r="76" spans="1:10" x14ac:dyDescent="0.25">
      <c r="A76">
        <v>75</v>
      </c>
      <c r="B76" t="s">
        <v>222</v>
      </c>
      <c r="C76" t="s">
        <v>215</v>
      </c>
      <c r="D76" t="s">
        <v>3002</v>
      </c>
      <c r="E76" t="s">
        <v>4117</v>
      </c>
      <c r="F76" t="s">
        <v>4114</v>
      </c>
      <c r="G76" t="s">
        <v>4133</v>
      </c>
      <c r="H76" t="s">
        <v>2494</v>
      </c>
      <c r="I76">
        <v>2024</v>
      </c>
      <c r="J76" t="s">
        <v>4116</v>
      </c>
    </row>
    <row r="77" spans="1:10" x14ac:dyDescent="0.25">
      <c r="A77">
        <v>76</v>
      </c>
      <c r="B77" t="s">
        <v>223</v>
      </c>
      <c r="C77" t="s">
        <v>224</v>
      </c>
      <c r="D77" t="s">
        <v>3003</v>
      </c>
      <c r="E77" t="s">
        <v>4129</v>
      </c>
      <c r="F77" t="s">
        <v>4114</v>
      </c>
      <c r="G77" t="s">
        <v>4115</v>
      </c>
      <c r="H77" t="s">
        <v>2603</v>
      </c>
      <c r="I77">
        <v>2024</v>
      </c>
      <c r="J77" t="s">
        <v>4125</v>
      </c>
    </row>
    <row r="78" spans="1:10" x14ac:dyDescent="0.25">
      <c r="A78">
        <v>77</v>
      </c>
      <c r="B78" t="s">
        <v>3004</v>
      </c>
      <c r="C78" t="s">
        <v>174</v>
      </c>
      <c r="D78" t="s">
        <v>3005</v>
      </c>
      <c r="E78" t="s">
        <v>4120</v>
      </c>
      <c r="F78" t="s">
        <v>4114</v>
      </c>
      <c r="G78" t="s">
        <v>4115</v>
      </c>
      <c r="H78" t="s">
        <v>2603</v>
      </c>
      <c r="I78">
        <v>1994</v>
      </c>
      <c r="J78" t="s">
        <v>4116</v>
      </c>
    </row>
    <row r="79" spans="1:10" x14ac:dyDescent="0.25">
      <c r="A79">
        <v>78</v>
      </c>
      <c r="B79" t="s">
        <v>230</v>
      </c>
      <c r="C79" t="s">
        <v>231</v>
      </c>
      <c r="D79" t="s">
        <v>3007</v>
      </c>
      <c r="E79" t="s">
        <v>4129</v>
      </c>
      <c r="F79" t="s">
        <v>4114</v>
      </c>
      <c r="G79" t="s">
        <v>4121</v>
      </c>
      <c r="H79" t="s">
        <v>2603</v>
      </c>
      <c r="I79">
        <v>2023</v>
      </c>
      <c r="J79" t="s">
        <v>4116</v>
      </c>
    </row>
    <row r="80" spans="1:10" x14ac:dyDescent="0.25">
      <c r="A80">
        <v>79</v>
      </c>
      <c r="B80" t="s">
        <v>233</v>
      </c>
      <c r="C80" t="s">
        <v>215</v>
      </c>
      <c r="D80" t="s">
        <v>3008</v>
      </c>
      <c r="E80" t="s">
        <v>4117</v>
      </c>
      <c r="F80" t="s">
        <v>4114</v>
      </c>
      <c r="G80" t="s">
        <v>4133</v>
      </c>
      <c r="H80" t="s">
        <v>2494</v>
      </c>
      <c r="I80">
        <v>2023</v>
      </c>
      <c r="J80" t="s">
        <v>4116</v>
      </c>
    </row>
    <row r="81" spans="1:10" x14ac:dyDescent="0.25">
      <c r="A81">
        <v>80</v>
      </c>
      <c r="B81" t="s">
        <v>3009</v>
      </c>
      <c r="C81" t="s">
        <v>127</v>
      </c>
      <c r="D81" t="s">
        <v>3010</v>
      </c>
      <c r="E81" t="s">
        <v>4120</v>
      </c>
      <c r="F81" t="s">
        <v>4114</v>
      </c>
      <c r="G81" t="s">
        <v>4121</v>
      </c>
      <c r="H81" t="s">
        <v>2603</v>
      </c>
      <c r="I81">
        <v>2013</v>
      </c>
      <c r="J81" t="s">
        <v>4125</v>
      </c>
    </row>
    <row r="82" spans="1:10" x14ac:dyDescent="0.25">
      <c r="A82">
        <v>81</v>
      </c>
      <c r="B82" t="s">
        <v>236</v>
      </c>
      <c r="C82" t="s">
        <v>237</v>
      </c>
      <c r="D82" t="s">
        <v>3011</v>
      </c>
      <c r="E82" t="s">
        <v>4113</v>
      </c>
      <c r="F82" t="s">
        <v>4114</v>
      </c>
      <c r="G82" t="s">
        <v>4115</v>
      </c>
      <c r="H82" t="s">
        <v>2603</v>
      </c>
      <c r="I82">
        <v>2024</v>
      </c>
      <c r="J82" t="s">
        <v>4125</v>
      </c>
    </row>
    <row r="83" spans="1:10" x14ac:dyDescent="0.25">
      <c r="A83">
        <v>82</v>
      </c>
      <c r="B83" t="s">
        <v>3012</v>
      </c>
      <c r="C83" t="s">
        <v>241</v>
      </c>
      <c r="D83" t="s">
        <v>3013</v>
      </c>
      <c r="E83" t="s">
        <v>4117</v>
      </c>
      <c r="F83" t="s">
        <v>4114</v>
      </c>
      <c r="G83" t="s">
        <v>4115</v>
      </c>
      <c r="H83" t="s">
        <v>2603</v>
      </c>
      <c r="I83">
        <v>2023</v>
      </c>
      <c r="J83" t="s">
        <v>4125</v>
      </c>
    </row>
    <row r="84" spans="1:10" x14ac:dyDescent="0.25">
      <c r="A84">
        <v>83</v>
      </c>
      <c r="B84" t="s">
        <v>243</v>
      </c>
      <c r="C84" t="s">
        <v>215</v>
      </c>
      <c r="D84" t="s">
        <v>3014</v>
      </c>
      <c r="E84" t="s">
        <v>4117</v>
      </c>
      <c r="F84" t="s">
        <v>4114</v>
      </c>
      <c r="G84" t="s">
        <v>4133</v>
      </c>
      <c r="H84" t="s">
        <v>2494</v>
      </c>
      <c r="I84">
        <v>2023</v>
      </c>
      <c r="J84" t="s">
        <v>4116</v>
      </c>
    </row>
    <row r="85" spans="1:10" x14ac:dyDescent="0.25">
      <c r="A85">
        <v>84</v>
      </c>
      <c r="B85" t="s">
        <v>3015</v>
      </c>
      <c r="C85" t="s">
        <v>163</v>
      </c>
      <c r="D85" t="s">
        <v>3016</v>
      </c>
      <c r="E85" t="s">
        <v>4138</v>
      </c>
      <c r="F85" t="s">
        <v>4114</v>
      </c>
      <c r="G85" t="s">
        <v>4141</v>
      </c>
      <c r="H85" t="s">
        <v>2603</v>
      </c>
      <c r="I85">
        <v>2018</v>
      </c>
      <c r="J85" t="s">
        <v>4125</v>
      </c>
    </row>
    <row r="86" spans="1:10" x14ac:dyDescent="0.25">
      <c r="A86">
        <v>85</v>
      </c>
      <c r="B86" t="s">
        <v>3017</v>
      </c>
      <c r="C86" t="s">
        <v>163</v>
      </c>
      <c r="D86" t="s">
        <v>3018</v>
      </c>
      <c r="E86" t="s">
        <v>4138</v>
      </c>
      <c r="F86" t="s">
        <v>4114</v>
      </c>
      <c r="G86" t="s">
        <v>4141</v>
      </c>
      <c r="H86" t="s">
        <v>2603</v>
      </c>
      <c r="I86">
        <v>2017</v>
      </c>
      <c r="J86" t="s">
        <v>4125</v>
      </c>
    </row>
    <row r="87" spans="1:10" x14ac:dyDescent="0.25">
      <c r="A87">
        <v>86</v>
      </c>
      <c r="B87" t="s">
        <v>2543</v>
      </c>
      <c r="C87" t="s">
        <v>125</v>
      </c>
      <c r="D87" t="s">
        <v>3019</v>
      </c>
      <c r="E87" t="s">
        <v>4129</v>
      </c>
      <c r="F87" t="s">
        <v>4114</v>
      </c>
      <c r="G87" t="s">
        <v>4121</v>
      </c>
      <c r="H87" t="s">
        <v>2603</v>
      </c>
      <c r="I87">
        <v>2017</v>
      </c>
      <c r="J87" t="s">
        <v>4116</v>
      </c>
    </row>
    <row r="88" spans="1:10" x14ac:dyDescent="0.25">
      <c r="A88">
        <v>87</v>
      </c>
      <c r="B88" t="s">
        <v>249</v>
      </c>
      <c r="C88" t="s">
        <v>250</v>
      </c>
      <c r="D88" t="s">
        <v>3020</v>
      </c>
      <c r="E88" t="s">
        <v>4113</v>
      </c>
      <c r="F88" t="s">
        <v>4114</v>
      </c>
      <c r="G88" t="s">
        <v>4150</v>
      </c>
      <c r="H88" t="s">
        <v>4151</v>
      </c>
      <c r="I88">
        <v>2017</v>
      </c>
      <c r="J88" t="s">
        <v>4116</v>
      </c>
    </row>
    <row r="89" spans="1:10" x14ac:dyDescent="0.25">
      <c r="A89">
        <v>88</v>
      </c>
      <c r="B89" t="s">
        <v>3021</v>
      </c>
      <c r="C89" t="s">
        <v>163</v>
      </c>
      <c r="D89" t="s">
        <v>3022</v>
      </c>
      <c r="E89" t="s">
        <v>4138</v>
      </c>
      <c r="F89" t="s">
        <v>4114</v>
      </c>
      <c r="G89" t="s">
        <v>4141</v>
      </c>
      <c r="H89" t="s">
        <v>2603</v>
      </c>
      <c r="I89">
        <v>2016</v>
      </c>
      <c r="J89" t="s">
        <v>4125</v>
      </c>
    </row>
    <row r="90" spans="1:10" x14ac:dyDescent="0.25">
      <c r="A90">
        <v>89</v>
      </c>
      <c r="B90" t="s">
        <v>254</v>
      </c>
      <c r="C90" t="s">
        <v>255</v>
      </c>
      <c r="D90" t="s">
        <v>3023</v>
      </c>
      <c r="E90" t="s">
        <v>4152</v>
      </c>
      <c r="F90" t="s">
        <v>4131</v>
      </c>
      <c r="G90" t="s">
        <v>4121</v>
      </c>
      <c r="H90" t="s">
        <v>2603</v>
      </c>
      <c r="I90">
        <v>1995</v>
      </c>
      <c r="J90" t="s">
        <v>4125</v>
      </c>
    </row>
    <row r="91" spans="1:10" x14ac:dyDescent="0.25">
      <c r="A91">
        <v>90</v>
      </c>
      <c r="B91" t="s">
        <v>3024</v>
      </c>
      <c r="C91" t="s">
        <v>163</v>
      </c>
      <c r="D91" t="s">
        <v>3025</v>
      </c>
      <c r="E91" t="s">
        <v>4138</v>
      </c>
      <c r="F91" t="s">
        <v>4114</v>
      </c>
      <c r="G91" t="s">
        <v>4141</v>
      </c>
      <c r="H91" t="s">
        <v>2603</v>
      </c>
      <c r="I91">
        <v>2015</v>
      </c>
      <c r="J91" t="s">
        <v>4125</v>
      </c>
    </row>
    <row r="92" spans="1:10" x14ac:dyDescent="0.25">
      <c r="A92">
        <v>91</v>
      </c>
      <c r="B92" t="s">
        <v>3026</v>
      </c>
      <c r="C92" t="s">
        <v>261</v>
      </c>
      <c r="D92" t="s">
        <v>3027</v>
      </c>
      <c r="E92" t="s">
        <v>4129</v>
      </c>
      <c r="F92" t="s">
        <v>4114</v>
      </c>
      <c r="G92" t="s">
        <v>4153</v>
      </c>
      <c r="H92" t="s">
        <v>2603</v>
      </c>
      <c r="I92">
        <v>2018</v>
      </c>
      <c r="J92" t="s">
        <v>4116</v>
      </c>
    </row>
    <row r="93" spans="1:10" x14ac:dyDescent="0.25">
      <c r="A93">
        <v>92</v>
      </c>
      <c r="B93" t="s">
        <v>3028</v>
      </c>
      <c r="C93" t="s">
        <v>163</v>
      </c>
      <c r="D93" t="s">
        <v>3029</v>
      </c>
      <c r="E93" t="s">
        <v>4138</v>
      </c>
      <c r="F93" t="s">
        <v>4114</v>
      </c>
      <c r="G93" t="s">
        <v>4141</v>
      </c>
      <c r="H93" t="s">
        <v>2603</v>
      </c>
      <c r="I93">
        <v>2014</v>
      </c>
      <c r="J93" t="s">
        <v>4125</v>
      </c>
    </row>
    <row r="94" spans="1:10" x14ac:dyDescent="0.25">
      <c r="A94">
        <v>93</v>
      </c>
      <c r="B94" t="s">
        <v>3030</v>
      </c>
      <c r="C94" t="s">
        <v>269</v>
      </c>
      <c r="D94" t="s">
        <v>3031</v>
      </c>
      <c r="E94" t="s">
        <v>4120</v>
      </c>
      <c r="F94" t="s">
        <v>4114</v>
      </c>
      <c r="G94" t="s">
        <v>4121</v>
      </c>
      <c r="H94" t="s">
        <v>2603</v>
      </c>
      <c r="I94">
        <v>2023</v>
      </c>
      <c r="J94" t="s">
        <v>4116</v>
      </c>
    </row>
    <row r="95" spans="1:10" x14ac:dyDescent="0.25">
      <c r="A95">
        <v>94</v>
      </c>
      <c r="B95" t="s">
        <v>2546</v>
      </c>
      <c r="C95" t="s">
        <v>174</v>
      </c>
      <c r="D95" t="s">
        <v>3032</v>
      </c>
      <c r="E95" t="s">
        <v>4120</v>
      </c>
      <c r="F95" t="s">
        <v>4114</v>
      </c>
      <c r="G95" t="s">
        <v>4115</v>
      </c>
      <c r="H95" t="s">
        <v>2603</v>
      </c>
      <c r="I95">
        <v>1995</v>
      </c>
      <c r="J95" t="s">
        <v>4116</v>
      </c>
    </row>
    <row r="96" spans="1:10" x14ac:dyDescent="0.25">
      <c r="A96">
        <v>95</v>
      </c>
      <c r="B96" t="s">
        <v>3033</v>
      </c>
      <c r="C96" t="s">
        <v>203</v>
      </c>
      <c r="D96" t="s">
        <v>3034</v>
      </c>
      <c r="E96" t="s">
        <v>4149</v>
      </c>
      <c r="F96" t="s">
        <v>4114</v>
      </c>
      <c r="G96" t="s">
        <v>4115</v>
      </c>
      <c r="H96" t="s">
        <v>2603</v>
      </c>
      <c r="I96">
        <v>2020</v>
      </c>
      <c r="J96" t="s">
        <v>4125</v>
      </c>
    </row>
    <row r="97" spans="1:10" x14ac:dyDescent="0.25">
      <c r="A97">
        <v>96</v>
      </c>
      <c r="B97" t="s">
        <v>3035</v>
      </c>
      <c r="C97" t="s">
        <v>174</v>
      </c>
      <c r="D97" t="s">
        <v>3036</v>
      </c>
      <c r="E97" t="s">
        <v>4120</v>
      </c>
      <c r="F97" t="s">
        <v>4114</v>
      </c>
      <c r="G97" t="s">
        <v>4115</v>
      </c>
      <c r="H97" t="s">
        <v>2603</v>
      </c>
      <c r="I97">
        <v>1993</v>
      </c>
      <c r="J97" t="s">
        <v>4116</v>
      </c>
    </row>
    <row r="98" spans="1:10" x14ac:dyDescent="0.25">
      <c r="A98">
        <v>97</v>
      </c>
      <c r="B98" t="s">
        <v>275</v>
      </c>
      <c r="C98" t="s">
        <v>276</v>
      </c>
      <c r="D98" t="s">
        <v>3037</v>
      </c>
      <c r="E98" t="s">
        <v>4134</v>
      </c>
      <c r="F98" t="s">
        <v>4114</v>
      </c>
      <c r="G98" t="s">
        <v>4115</v>
      </c>
      <c r="H98" t="s">
        <v>2603</v>
      </c>
      <c r="I98">
        <v>2018</v>
      </c>
      <c r="J98" t="s">
        <v>4125</v>
      </c>
    </row>
    <row r="99" spans="1:10" x14ac:dyDescent="0.25">
      <c r="A99">
        <v>98</v>
      </c>
      <c r="B99" t="s">
        <v>3038</v>
      </c>
      <c r="C99" t="s">
        <v>280</v>
      </c>
      <c r="D99" t="s">
        <v>3039</v>
      </c>
      <c r="E99" t="s">
        <v>4117</v>
      </c>
      <c r="F99" t="s">
        <v>4114</v>
      </c>
      <c r="G99" t="s">
        <v>4115</v>
      </c>
      <c r="H99" t="s">
        <v>2603</v>
      </c>
      <c r="I99">
        <v>2010</v>
      </c>
      <c r="J99" t="s">
        <v>4116</v>
      </c>
    </row>
    <row r="100" spans="1:10" x14ac:dyDescent="0.25">
      <c r="A100">
        <v>99</v>
      </c>
      <c r="B100" t="s">
        <v>3040</v>
      </c>
      <c r="C100" t="s">
        <v>203</v>
      </c>
      <c r="D100" t="s">
        <v>3041</v>
      </c>
      <c r="E100" t="s">
        <v>4149</v>
      </c>
      <c r="F100" t="s">
        <v>4114</v>
      </c>
      <c r="G100" t="s">
        <v>4115</v>
      </c>
      <c r="H100" t="s">
        <v>2603</v>
      </c>
      <c r="I100">
        <v>2019</v>
      </c>
      <c r="J100" t="s">
        <v>4125</v>
      </c>
    </row>
    <row r="101" spans="1:10" x14ac:dyDescent="0.25">
      <c r="A101">
        <v>100</v>
      </c>
      <c r="B101" t="s">
        <v>3042</v>
      </c>
      <c r="C101" t="s">
        <v>220</v>
      </c>
      <c r="D101" t="s">
        <v>3043</v>
      </c>
      <c r="E101" t="s">
        <v>4149</v>
      </c>
      <c r="F101" t="s">
        <v>4114</v>
      </c>
      <c r="G101" t="s">
        <v>4121</v>
      </c>
      <c r="H101" t="s">
        <v>2603</v>
      </c>
      <c r="I101">
        <v>2023</v>
      </c>
      <c r="J101" t="s">
        <v>4125</v>
      </c>
    </row>
    <row r="102" spans="1:10" x14ac:dyDescent="0.25">
      <c r="A102">
        <v>101</v>
      </c>
      <c r="B102" t="s">
        <v>286</v>
      </c>
      <c r="C102" t="s">
        <v>287</v>
      </c>
      <c r="D102" t="s">
        <v>3044</v>
      </c>
      <c r="E102" t="s">
        <v>4132</v>
      </c>
      <c r="F102" t="s">
        <v>4114</v>
      </c>
      <c r="G102" t="s">
        <v>4121</v>
      </c>
      <c r="H102" t="s">
        <v>2603</v>
      </c>
      <c r="I102">
        <v>2022</v>
      </c>
      <c r="J102" t="s">
        <v>4116</v>
      </c>
    </row>
    <row r="103" spans="1:10" x14ac:dyDescent="0.25">
      <c r="A103">
        <v>102</v>
      </c>
      <c r="B103" t="s">
        <v>289</v>
      </c>
      <c r="C103" t="s">
        <v>290</v>
      </c>
      <c r="D103" t="s">
        <v>3045</v>
      </c>
      <c r="E103" t="s">
        <v>4130</v>
      </c>
      <c r="F103" t="s">
        <v>4131</v>
      </c>
      <c r="G103" t="s">
        <v>4148</v>
      </c>
      <c r="H103" t="s">
        <v>2486</v>
      </c>
      <c r="I103">
        <v>2023</v>
      </c>
      <c r="J103" t="s">
        <v>4116</v>
      </c>
    </row>
    <row r="104" spans="1:10" x14ac:dyDescent="0.25">
      <c r="A104">
        <v>103</v>
      </c>
      <c r="B104" t="s">
        <v>292</v>
      </c>
      <c r="C104" t="s">
        <v>149</v>
      </c>
      <c r="D104" t="s">
        <v>3046</v>
      </c>
      <c r="E104" t="s">
        <v>4129</v>
      </c>
      <c r="F104" t="s">
        <v>4114</v>
      </c>
      <c r="G104" t="s">
        <v>4121</v>
      </c>
      <c r="H104" t="s">
        <v>2603</v>
      </c>
      <c r="I104">
        <v>2022</v>
      </c>
      <c r="J104" t="s">
        <v>4125</v>
      </c>
    </row>
    <row r="105" spans="1:10" x14ac:dyDescent="0.25">
      <c r="A105">
        <v>104</v>
      </c>
      <c r="B105" t="s">
        <v>3047</v>
      </c>
      <c r="C105" t="s">
        <v>149</v>
      </c>
      <c r="D105" t="s">
        <v>3048</v>
      </c>
      <c r="E105" t="s">
        <v>4129</v>
      </c>
      <c r="F105" t="s">
        <v>4114</v>
      </c>
      <c r="G105" t="s">
        <v>4121</v>
      </c>
      <c r="H105" t="s">
        <v>2603</v>
      </c>
      <c r="I105">
        <v>2022</v>
      </c>
      <c r="J105" t="s">
        <v>4125</v>
      </c>
    </row>
    <row r="106" spans="1:10" x14ac:dyDescent="0.25">
      <c r="A106">
        <v>105</v>
      </c>
      <c r="B106" t="s">
        <v>3049</v>
      </c>
      <c r="C106" t="s">
        <v>220</v>
      </c>
      <c r="D106" t="s">
        <v>3050</v>
      </c>
      <c r="E106" t="s">
        <v>4149</v>
      </c>
      <c r="F106" t="s">
        <v>4114</v>
      </c>
      <c r="G106" t="s">
        <v>4121</v>
      </c>
      <c r="H106" t="s">
        <v>2603</v>
      </c>
      <c r="I106">
        <v>2023</v>
      </c>
      <c r="J106" t="s">
        <v>4125</v>
      </c>
    </row>
    <row r="107" spans="1:10" x14ac:dyDescent="0.25">
      <c r="A107">
        <v>106</v>
      </c>
      <c r="B107" t="s">
        <v>297</v>
      </c>
      <c r="C107" t="s">
        <v>298</v>
      </c>
      <c r="D107" t="s">
        <v>3051</v>
      </c>
      <c r="E107" t="s">
        <v>4140</v>
      </c>
      <c r="F107" t="s">
        <v>4131</v>
      </c>
      <c r="G107" t="s">
        <v>4154</v>
      </c>
      <c r="H107" t="s">
        <v>2603</v>
      </c>
      <c r="I107">
        <v>2011</v>
      </c>
      <c r="J107" t="s">
        <v>4116</v>
      </c>
    </row>
    <row r="108" spans="1:10" x14ac:dyDescent="0.25">
      <c r="A108">
        <v>107</v>
      </c>
      <c r="B108" t="s">
        <v>3052</v>
      </c>
      <c r="C108" t="s">
        <v>302</v>
      </c>
      <c r="D108" t="s">
        <v>3053</v>
      </c>
      <c r="E108" t="s">
        <v>4138</v>
      </c>
      <c r="F108" t="s">
        <v>4114</v>
      </c>
      <c r="G108" t="s">
        <v>4115</v>
      </c>
      <c r="H108" t="s">
        <v>2603</v>
      </c>
      <c r="I108">
        <v>2023</v>
      </c>
      <c r="J108" t="s">
        <v>4116</v>
      </c>
    </row>
    <row r="109" spans="1:10" x14ac:dyDescent="0.25">
      <c r="A109">
        <v>108</v>
      </c>
      <c r="B109" t="s">
        <v>2557</v>
      </c>
      <c r="C109" t="s">
        <v>304</v>
      </c>
      <c r="D109" t="s">
        <v>3054</v>
      </c>
      <c r="E109" t="s">
        <v>4155</v>
      </c>
      <c r="F109" t="s">
        <v>4131</v>
      </c>
      <c r="G109" t="s">
        <v>4156</v>
      </c>
      <c r="H109" t="s">
        <v>2603</v>
      </c>
      <c r="I109">
        <v>2003</v>
      </c>
      <c r="J109" t="s">
        <v>4125</v>
      </c>
    </row>
    <row r="110" spans="1:10" x14ac:dyDescent="0.25">
      <c r="A110">
        <v>109</v>
      </c>
      <c r="B110" t="s">
        <v>3055</v>
      </c>
      <c r="C110" t="s">
        <v>127</v>
      </c>
      <c r="D110" t="s">
        <v>3056</v>
      </c>
      <c r="E110" t="s">
        <v>4120</v>
      </c>
      <c r="F110" t="s">
        <v>4114</v>
      </c>
      <c r="G110" t="s">
        <v>4121</v>
      </c>
      <c r="H110" t="s">
        <v>2603</v>
      </c>
      <c r="I110">
        <v>2012</v>
      </c>
      <c r="J110" t="s">
        <v>4125</v>
      </c>
    </row>
    <row r="111" spans="1:10" x14ac:dyDescent="0.25">
      <c r="A111">
        <v>110</v>
      </c>
      <c r="B111" t="s">
        <v>3057</v>
      </c>
      <c r="C111" t="s">
        <v>27</v>
      </c>
      <c r="D111" t="s">
        <v>3058</v>
      </c>
      <c r="E111" t="s">
        <v>4120</v>
      </c>
      <c r="F111" t="s">
        <v>4114</v>
      </c>
      <c r="G111" t="s">
        <v>4121</v>
      </c>
      <c r="H111" t="s">
        <v>2603</v>
      </c>
      <c r="I111">
        <v>2019</v>
      </c>
      <c r="J111" t="s">
        <v>4116</v>
      </c>
    </row>
    <row r="112" spans="1:10" x14ac:dyDescent="0.25">
      <c r="A112">
        <v>111</v>
      </c>
      <c r="B112" t="s">
        <v>3059</v>
      </c>
      <c r="C112" t="s">
        <v>27</v>
      </c>
      <c r="D112" t="s">
        <v>3060</v>
      </c>
      <c r="E112" t="s">
        <v>4120</v>
      </c>
      <c r="F112" t="s">
        <v>4114</v>
      </c>
      <c r="G112" t="s">
        <v>4121</v>
      </c>
      <c r="H112" t="s">
        <v>2603</v>
      </c>
      <c r="I112">
        <v>2018</v>
      </c>
      <c r="J112" t="s">
        <v>4116</v>
      </c>
    </row>
    <row r="113" spans="1:10" x14ac:dyDescent="0.25">
      <c r="A113">
        <v>112</v>
      </c>
      <c r="B113" t="s">
        <v>312</v>
      </c>
      <c r="C113" t="s">
        <v>302</v>
      </c>
      <c r="D113" t="s">
        <v>3061</v>
      </c>
      <c r="E113" t="s">
        <v>4138</v>
      </c>
      <c r="F113" t="s">
        <v>4114</v>
      </c>
      <c r="G113" t="s">
        <v>4115</v>
      </c>
      <c r="H113" t="s">
        <v>2603</v>
      </c>
      <c r="I113">
        <v>2020</v>
      </c>
      <c r="J113" t="s">
        <v>4116</v>
      </c>
    </row>
    <row r="114" spans="1:10" x14ac:dyDescent="0.25">
      <c r="A114">
        <v>113</v>
      </c>
      <c r="B114" t="s">
        <v>3062</v>
      </c>
      <c r="C114" t="s">
        <v>315</v>
      </c>
      <c r="D114" t="s">
        <v>3063</v>
      </c>
      <c r="E114" t="s">
        <v>4113</v>
      </c>
      <c r="F114" t="s">
        <v>4114</v>
      </c>
      <c r="G114" t="s">
        <v>4121</v>
      </c>
      <c r="H114" t="s">
        <v>2603</v>
      </c>
      <c r="I114">
        <v>2014</v>
      </c>
      <c r="J114" t="s">
        <v>4116</v>
      </c>
    </row>
    <row r="115" spans="1:10" x14ac:dyDescent="0.25">
      <c r="A115">
        <v>114</v>
      </c>
      <c r="B115" t="s">
        <v>317</v>
      </c>
      <c r="C115" t="s">
        <v>197</v>
      </c>
      <c r="D115" t="s">
        <v>3064</v>
      </c>
      <c r="E115" t="s">
        <v>4117</v>
      </c>
      <c r="F115" t="s">
        <v>4114</v>
      </c>
      <c r="G115" t="s">
        <v>4115</v>
      </c>
      <c r="H115" t="s">
        <v>2603</v>
      </c>
      <c r="I115">
        <v>2022</v>
      </c>
      <c r="J115" t="s">
        <v>4116</v>
      </c>
    </row>
    <row r="116" spans="1:10" x14ac:dyDescent="0.25">
      <c r="A116">
        <v>115</v>
      </c>
      <c r="B116" t="s">
        <v>318</v>
      </c>
      <c r="C116" t="s">
        <v>319</v>
      </c>
      <c r="D116" t="s">
        <v>3065</v>
      </c>
      <c r="E116" t="s">
        <v>4135</v>
      </c>
      <c r="F116" t="s">
        <v>4131</v>
      </c>
      <c r="G116" t="s">
        <v>4115</v>
      </c>
      <c r="H116" t="s">
        <v>2603</v>
      </c>
      <c r="I116">
        <v>2018</v>
      </c>
      <c r="J116" t="s">
        <v>4125</v>
      </c>
    </row>
    <row r="117" spans="1:10" x14ac:dyDescent="0.25">
      <c r="A117">
        <v>116</v>
      </c>
      <c r="B117" t="s">
        <v>321</v>
      </c>
      <c r="C117" t="s">
        <v>322</v>
      </c>
      <c r="D117" t="s">
        <v>3066</v>
      </c>
      <c r="E117" t="s">
        <v>4136</v>
      </c>
      <c r="F117" t="s">
        <v>4114</v>
      </c>
      <c r="G117" t="s">
        <v>4121</v>
      </c>
      <c r="H117" t="s">
        <v>2603</v>
      </c>
      <c r="I117">
        <v>2024</v>
      </c>
      <c r="J117" t="s">
        <v>4125</v>
      </c>
    </row>
    <row r="118" spans="1:10" x14ac:dyDescent="0.25">
      <c r="A118">
        <v>117</v>
      </c>
      <c r="B118" t="s">
        <v>324</v>
      </c>
      <c r="C118" t="s">
        <v>163</v>
      </c>
      <c r="D118" t="s">
        <v>3067</v>
      </c>
      <c r="E118" t="s">
        <v>4138</v>
      </c>
      <c r="F118" t="s">
        <v>4114</v>
      </c>
      <c r="G118" t="s">
        <v>4141</v>
      </c>
      <c r="H118" t="s">
        <v>2603</v>
      </c>
      <c r="I118">
        <v>2013</v>
      </c>
      <c r="J118" t="s">
        <v>4125</v>
      </c>
    </row>
    <row r="119" spans="1:10" x14ac:dyDescent="0.25">
      <c r="A119">
        <v>118</v>
      </c>
      <c r="B119" t="s">
        <v>325</v>
      </c>
      <c r="C119" t="s">
        <v>326</v>
      </c>
      <c r="D119" t="s">
        <v>3068</v>
      </c>
      <c r="E119" t="s">
        <v>4135</v>
      </c>
      <c r="F119" t="s">
        <v>4131</v>
      </c>
      <c r="G119" t="s">
        <v>4142</v>
      </c>
      <c r="H119" t="s">
        <v>4143</v>
      </c>
      <c r="I119">
        <v>2013</v>
      </c>
      <c r="J119" t="s">
        <v>4125</v>
      </c>
    </row>
    <row r="120" spans="1:10" x14ac:dyDescent="0.25">
      <c r="A120">
        <v>119</v>
      </c>
      <c r="B120" t="s">
        <v>328</v>
      </c>
      <c r="C120" t="s">
        <v>329</v>
      </c>
      <c r="D120" t="s">
        <v>3069</v>
      </c>
      <c r="E120" t="s">
        <v>4126</v>
      </c>
      <c r="F120" t="s">
        <v>4114</v>
      </c>
      <c r="G120" t="s">
        <v>4148</v>
      </c>
      <c r="H120" t="s">
        <v>2486</v>
      </c>
      <c r="I120">
        <v>2013</v>
      </c>
      <c r="J120" t="s">
        <v>4125</v>
      </c>
    </row>
    <row r="121" spans="1:10" x14ac:dyDescent="0.25">
      <c r="A121">
        <v>120</v>
      </c>
      <c r="B121" t="s">
        <v>331</v>
      </c>
      <c r="C121" t="s">
        <v>332</v>
      </c>
      <c r="D121" t="s">
        <v>3070</v>
      </c>
      <c r="E121" t="s">
        <v>4129</v>
      </c>
      <c r="F121" t="s">
        <v>4114</v>
      </c>
      <c r="G121" t="s">
        <v>4123</v>
      </c>
      <c r="H121" t="s">
        <v>4124</v>
      </c>
      <c r="I121">
        <v>2020</v>
      </c>
      <c r="J121" t="s">
        <v>4116</v>
      </c>
    </row>
    <row r="122" spans="1:10" x14ac:dyDescent="0.25">
      <c r="A122">
        <v>121</v>
      </c>
      <c r="B122" t="s">
        <v>334</v>
      </c>
      <c r="C122" t="s">
        <v>335</v>
      </c>
      <c r="D122" t="s">
        <v>3071</v>
      </c>
      <c r="E122" t="s">
        <v>4157</v>
      </c>
      <c r="F122" t="s">
        <v>4131</v>
      </c>
      <c r="G122" t="s">
        <v>4133</v>
      </c>
      <c r="H122" t="s">
        <v>2494</v>
      </c>
      <c r="I122">
        <v>2024</v>
      </c>
      <c r="J122" t="s">
        <v>4116</v>
      </c>
    </row>
    <row r="123" spans="1:10" x14ac:dyDescent="0.25">
      <c r="A123">
        <v>122</v>
      </c>
      <c r="B123" t="s">
        <v>336</v>
      </c>
      <c r="C123" t="s">
        <v>337</v>
      </c>
      <c r="D123" t="s">
        <v>3072</v>
      </c>
      <c r="E123" t="s">
        <v>4135</v>
      </c>
      <c r="F123" t="s">
        <v>4131</v>
      </c>
      <c r="G123" t="s">
        <v>4148</v>
      </c>
      <c r="H123" t="s">
        <v>2486</v>
      </c>
      <c r="I123">
        <v>2020</v>
      </c>
      <c r="J123" t="s">
        <v>4125</v>
      </c>
    </row>
    <row r="124" spans="1:10" x14ac:dyDescent="0.25">
      <c r="A124">
        <v>123</v>
      </c>
      <c r="B124" t="s">
        <v>339</v>
      </c>
      <c r="C124" t="s">
        <v>163</v>
      </c>
      <c r="D124" t="s">
        <v>3073</v>
      </c>
      <c r="E124" t="s">
        <v>4138</v>
      </c>
      <c r="F124" t="s">
        <v>4114</v>
      </c>
      <c r="G124" t="s">
        <v>4141</v>
      </c>
      <c r="H124" t="s">
        <v>2603</v>
      </c>
      <c r="I124">
        <v>2016</v>
      </c>
      <c r="J124" t="s">
        <v>4125</v>
      </c>
    </row>
    <row r="125" spans="1:10" x14ac:dyDescent="0.25">
      <c r="A125">
        <v>124</v>
      </c>
      <c r="B125" t="s">
        <v>340</v>
      </c>
      <c r="C125" t="s">
        <v>341</v>
      </c>
      <c r="D125" t="s">
        <v>3074</v>
      </c>
      <c r="E125" t="s">
        <v>4134</v>
      </c>
      <c r="F125" t="s">
        <v>4114</v>
      </c>
      <c r="G125" t="s">
        <v>4121</v>
      </c>
      <c r="H125" t="s">
        <v>2603</v>
      </c>
      <c r="I125">
        <v>2019</v>
      </c>
      <c r="J125" t="s">
        <v>4125</v>
      </c>
    </row>
    <row r="126" spans="1:10" x14ac:dyDescent="0.25">
      <c r="A126">
        <v>125</v>
      </c>
      <c r="B126" t="s">
        <v>343</v>
      </c>
      <c r="C126" t="s">
        <v>344</v>
      </c>
      <c r="D126" t="s">
        <v>3075</v>
      </c>
      <c r="E126" t="s">
        <v>4130</v>
      </c>
      <c r="F126" t="s">
        <v>4131</v>
      </c>
      <c r="G126" t="s">
        <v>4148</v>
      </c>
      <c r="H126" t="s">
        <v>2486</v>
      </c>
      <c r="I126">
        <v>2023</v>
      </c>
      <c r="J126" t="s">
        <v>4125</v>
      </c>
    </row>
    <row r="127" spans="1:10" x14ac:dyDescent="0.25">
      <c r="A127">
        <v>126</v>
      </c>
      <c r="B127" t="s">
        <v>3076</v>
      </c>
      <c r="C127" t="s">
        <v>241</v>
      </c>
      <c r="D127" t="s">
        <v>3077</v>
      </c>
      <c r="E127" t="s">
        <v>4117</v>
      </c>
      <c r="F127" t="s">
        <v>4114</v>
      </c>
      <c r="G127" t="s">
        <v>4115</v>
      </c>
      <c r="H127" t="s">
        <v>2603</v>
      </c>
      <c r="I127">
        <v>2022</v>
      </c>
      <c r="J127" t="s">
        <v>4125</v>
      </c>
    </row>
    <row r="128" spans="1:10" x14ac:dyDescent="0.25">
      <c r="A128">
        <v>127</v>
      </c>
      <c r="B128" t="s">
        <v>348</v>
      </c>
      <c r="C128" t="s">
        <v>349</v>
      </c>
      <c r="D128" t="s">
        <v>3078</v>
      </c>
      <c r="E128" t="s">
        <v>4158</v>
      </c>
      <c r="F128" t="s">
        <v>4114</v>
      </c>
      <c r="G128" t="s">
        <v>4127</v>
      </c>
      <c r="H128" t="s">
        <v>4128</v>
      </c>
      <c r="I128">
        <v>2007</v>
      </c>
      <c r="J128" t="s">
        <v>4125</v>
      </c>
    </row>
    <row r="129" spans="1:10" x14ac:dyDescent="0.25">
      <c r="A129">
        <v>128</v>
      </c>
      <c r="B129" t="s">
        <v>351</v>
      </c>
      <c r="C129" t="s">
        <v>352</v>
      </c>
      <c r="D129" t="s">
        <v>3079</v>
      </c>
      <c r="E129" t="s">
        <v>4129</v>
      </c>
      <c r="F129" t="s">
        <v>4114</v>
      </c>
      <c r="G129" t="s">
        <v>4115</v>
      </c>
      <c r="H129" t="s">
        <v>2603</v>
      </c>
      <c r="I129">
        <v>2018</v>
      </c>
      <c r="J129" t="s">
        <v>4125</v>
      </c>
    </row>
    <row r="130" spans="1:10" x14ac:dyDescent="0.25">
      <c r="A130">
        <v>129</v>
      </c>
      <c r="B130" t="s">
        <v>354</v>
      </c>
      <c r="C130" t="s">
        <v>62</v>
      </c>
      <c r="D130" t="s">
        <v>3080</v>
      </c>
      <c r="E130" t="s">
        <v>4132</v>
      </c>
      <c r="F130" t="s">
        <v>4114</v>
      </c>
      <c r="G130" t="s">
        <v>4133</v>
      </c>
      <c r="H130" t="s">
        <v>2494</v>
      </c>
      <c r="I130">
        <v>2023</v>
      </c>
      <c r="J130" t="s">
        <v>4116</v>
      </c>
    </row>
    <row r="131" spans="1:10" x14ac:dyDescent="0.25">
      <c r="A131">
        <v>130</v>
      </c>
      <c r="B131" t="s">
        <v>355</v>
      </c>
      <c r="C131" t="s">
        <v>356</v>
      </c>
      <c r="D131" t="s">
        <v>3081</v>
      </c>
      <c r="E131" t="s">
        <v>4134</v>
      </c>
      <c r="F131" t="s">
        <v>4114</v>
      </c>
      <c r="G131" t="s">
        <v>4118</v>
      </c>
      <c r="H131" t="s">
        <v>4119</v>
      </c>
      <c r="I131">
        <v>2015</v>
      </c>
      <c r="J131" t="s">
        <v>4125</v>
      </c>
    </row>
    <row r="132" spans="1:10" x14ac:dyDescent="0.25">
      <c r="A132">
        <v>131</v>
      </c>
      <c r="B132" t="s">
        <v>358</v>
      </c>
      <c r="C132" t="s">
        <v>359</v>
      </c>
      <c r="D132" t="s">
        <v>3082</v>
      </c>
      <c r="E132" t="s">
        <v>4117</v>
      </c>
      <c r="F132" t="s">
        <v>4114</v>
      </c>
      <c r="G132" t="s">
        <v>4142</v>
      </c>
      <c r="H132" t="s">
        <v>4143</v>
      </c>
      <c r="I132">
        <v>2023</v>
      </c>
      <c r="J132" t="s">
        <v>4116</v>
      </c>
    </row>
    <row r="133" spans="1:10" x14ac:dyDescent="0.25">
      <c r="A133">
        <v>132</v>
      </c>
      <c r="B133" t="s">
        <v>2569</v>
      </c>
      <c r="C133" t="s">
        <v>361</v>
      </c>
      <c r="D133" t="s">
        <v>3083</v>
      </c>
      <c r="E133" t="s">
        <v>4117</v>
      </c>
      <c r="F133" t="s">
        <v>4114</v>
      </c>
      <c r="G133" t="s">
        <v>4156</v>
      </c>
      <c r="H133" t="s">
        <v>2603</v>
      </c>
      <c r="I133">
        <v>2022</v>
      </c>
      <c r="J133" t="s">
        <v>4116</v>
      </c>
    </row>
    <row r="134" spans="1:10" x14ac:dyDescent="0.25">
      <c r="A134">
        <v>133</v>
      </c>
      <c r="B134" t="s">
        <v>363</v>
      </c>
      <c r="C134" t="s">
        <v>364</v>
      </c>
      <c r="D134" t="s">
        <v>3084</v>
      </c>
      <c r="E134" t="s">
        <v>4126</v>
      </c>
      <c r="F134" t="s">
        <v>4114</v>
      </c>
      <c r="G134" t="s">
        <v>4159</v>
      </c>
      <c r="H134" t="s">
        <v>4160</v>
      </c>
      <c r="I134">
        <v>2006</v>
      </c>
      <c r="J134" t="s">
        <v>4147</v>
      </c>
    </row>
    <row r="135" spans="1:10" x14ac:dyDescent="0.25">
      <c r="A135">
        <v>134</v>
      </c>
      <c r="B135" t="s">
        <v>366</v>
      </c>
      <c r="C135" t="s">
        <v>367</v>
      </c>
      <c r="D135" t="s">
        <v>3085</v>
      </c>
      <c r="E135" t="s">
        <v>4134</v>
      </c>
      <c r="F135" t="s">
        <v>4114</v>
      </c>
      <c r="G135" t="s">
        <v>4115</v>
      </c>
      <c r="H135" t="s">
        <v>2603</v>
      </c>
      <c r="I135">
        <v>2020</v>
      </c>
      <c r="J135" t="s">
        <v>4116</v>
      </c>
    </row>
    <row r="136" spans="1:10" x14ac:dyDescent="0.25">
      <c r="A136">
        <v>135</v>
      </c>
      <c r="B136" t="s">
        <v>369</v>
      </c>
      <c r="C136" t="s">
        <v>370</v>
      </c>
      <c r="D136" t="s">
        <v>3086</v>
      </c>
      <c r="E136" t="s">
        <v>4135</v>
      </c>
      <c r="F136" t="s">
        <v>4131</v>
      </c>
      <c r="G136" t="s">
        <v>4121</v>
      </c>
      <c r="H136" t="s">
        <v>2603</v>
      </c>
      <c r="I136">
        <v>2018</v>
      </c>
      <c r="J136" t="s">
        <v>4125</v>
      </c>
    </row>
    <row r="137" spans="1:10" x14ac:dyDescent="0.25">
      <c r="A137">
        <v>136</v>
      </c>
      <c r="B137" t="s">
        <v>372</v>
      </c>
      <c r="C137" t="s">
        <v>373</v>
      </c>
      <c r="D137" t="s">
        <v>3087</v>
      </c>
      <c r="E137" t="s">
        <v>4135</v>
      </c>
      <c r="F137" t="s">
        <v>4131</v>
      </c>
      <c r="G137" t="s">
        <v>4115</v>
      </c>
      <c r="H137" t="s">
        <v>2603</v>
      </c>
      <c r="I137">
        <v>2023</v>
      </c>
      <c r="J137" t="s">
        <v>4116</v>
      </c>
    </row>
    <row r="138" spans="1:10" x14ac:dyDescent="0.25">
      <c r="A138">
        <v>137</v>
      </c>
      <c r="B138" t="s">
        <v>375</v>
      </c>
      <c r="C138" t="s">
        <v>376</v>
      </c>
      <c r="D138" t="s">
        <v>3088</v>
      </c>
      <c r="E138" t="s">
        <v>4134</v>
      </c>
      <c r="F138" t="s">
        <v>4114</v>
      </c>
      <c r="G138" t="s">
        <v>4161</v>
      </c>
      <c r="H138" t="s">
        <v>2603</v>
      </c>
      <c r="I138">
        <v>2016</v>
      </c>
      <c r="J138" t="s">
        <v>4125</v>
      </c>
    </row>
    <row r="139" spans="1:10" x14ac:dyDescent="0.25">
      <c r="A139">
        <v>138</v>
      </c>
      <c r="B139" t="s">
        <v>378</v>
      </c>
      <c r="C139" t="s">
        <v>379</v>
      </c>
      <c r="D139" t="s">
        <v>3089</v>
      </c>
      <c r="E139" t="s">
        <v>4135</v>
      </c>
      <c r="F139" t="s">
        <v>4131</v>
      </c>
      <c r="G139" t="s">
        <v>4133</v>
      </c>
      <c r="H139" t="s">
        <v>2494</v>
      </c>
      <c r="I139">
        <v>2018</v>
      </c>
      <c r="J139" t="s">
        <v>4116</v>
      </c>
    </row>
    <row r="140" spans="1:10" x14ac:dyDescent="0.25">
      <c r="A140">
        <v>139</v>
      </c>
      <c r="B140" t="s">
        <v>381</v>
      </c>
      <c r="C140" t="s">
        <v>382</v>
      </c>
      <c r="D140" t="s">
        <v>3090</v>
      </c>
      <c r="E140" t="s">
        <v>4149</v>
      </c>
      <c r="F140" t="s">
        <v>4114</v>
      </c>
      <c r="G140" t="s">
        <v>4115</v>
      </c>
      <c r="H140" t="s">
        <v>2603</v>
      </c>
      <c r="I140">
        <v>2017</v>
      </c>
      <c r="J140" t="s">
        <v>4125</v>
      </c>
    </row>
    <row r="141" spans="1:10" x14ac:dyDescent="0.25">
      <c r="A141">
        <v>140</v>
      </c>
      <c r="B141" t="s">
        <v>2574</v>
      </c>
      <c r="C141" t="s">
        <v>384</v>
      </c>
      <c r="D141" t="s">
        <v>3091</v>
      </c>
      <c r="E141" t="s">
        <v>4130</v>
      </c>
      <c r="F141" t="s">
        <v>4131</v>
      </c>
      <c r="G141" t="s">
        <v>4121</v>
      </c>
      <c r="H141" t="s">
        <v>2603</v>
      </c>
      <c r="I141">
        <v>2018</v>
      </c>
      <c r="J141" t="s">
        <v>4116</v>
      </c>
    </row>
    <row r="142" spans="1:10" x14ac:dyDescent="0.25">
      <c r="A142">
        <v>141</v>
      </c>
      <c r="B142" t="s">
        <v>386</v>
      </c>
      <c r="C142" t="s">
        <v>215</v>
      </c>
      <c r="D142" t="s">
        <v>3092</v>
      </c>
      <c r="E142" t="s">
        <v>4117</v>
      </c>
      <c r="F142" t="s">
        <v>4114</v>
      </c>
      <c r="G142" t="s">
        <v>4133</v>
      </c>
      <c r="H142" t="s">
        <v>2494</v>
      </c>
      <c r="I142">
        <v>2022</v>
      </c>
      <c r="J142" t="s">
        <v>4116</v>
      </c>
    </row>
    <row r="143" spans="1:10" x14ac:dyDescent="0.25">
      <c r="A143">
        <v>142</v>
      </c>
      <c r="B143" t="s">
        <v>387</v>
      </c>
      <c r="C143" t="s">
        <v>215</v>
      </c>
      <c r="D143" t="s">
        <v>3093</v>
      </c>
      <c r="E143" t="s">
        <v>4117</v>
      </c>
      <c r="F143" t="s">
        <v>4114</v>
      </c>
      <c r="G143" t="s">
        <v>4133</v>
      </c>
      <c r="H143" t="s">
        <v>2494</v>
      </c>
      <c r="I143">
        <v>2022</v>
      </c>
      <c r="J143" t="s">
        <v>4116</v>
      </c>
    </row>
    <row r="144" spans="1:10" x14ac:dyDescent="0.25">
      <c r="A144">
        <v>143</v>
      </c>
      <c r="B144" t="s">
        <v>388</v>
      </c>
      <c r="C144" t="s">
        <v>215</v>
      </c>
      <c r="D144" t="s">
        <v>3094</v>
      </c>
      <c r="E144" t="s">
        <v>4117</v>
      </c>
      <c r="F144" t="s">
        <v>4114</v>
      </c>
      <c r="G144" t="s">
        <v>4133</v>
      </c>
      <c r="H144" t="s">
        <v>2494</v>
      </c>
      <c r="I144">
        <v>2021</v>
      </c>
      <c r="J144" t="s">
        <v>4116</v>
      </c>
    </row>
    <row r="145" spans="1:10" x14ac:dyDescent="0.25">
      <c r="A145">
        <v>144</v>
      </c>
      <c r="B145" t="s">
        <v>389</v>
      </c>
      <c r="C145" t="s">
        <v>215</v>
      </c>
      <c r="D145" t="s">
        <v>3095</v>
      </c>
      <c r="E145" t="s">
        <v>4117</v>
      </c>
      <c r="F145" t="s">
        <v>4114</v>
      </c>
      <c r="G145" t="s">
        <v>4133</v>
      </c>
      <c r="H145" t="s">
        <v>2494</v>
      </c>
      <c r="I145">
        <v>2021</v>
      </c>
      <c r="J145" t="s">
        <v>4116</v>
      </c>
    </row>
    <row r="146" spans="1:10" x14ac:dyDescent="0.25">
      <c r="A146">
        <v>145</v>
      </c>
      <c r="B146" t="s">
        <v>390</v>
      </c>
      <c r="C146" t="s">
        <v>302</v>
      </c>
      <c r="D146" t="s">
        <v>3096</v>
      </c>
      <c r="E146" t="s">
        <v>4138</v>
      </c>
      <c r="F146" t="s">
        <v>4114</v>
      </c>
      <c r="G146" t="s">
        <v>4115</v>
      </c>
      <c r="H146" t="s">
        <v>2603</v>
      </c>
      <c r="I146">
        <v>1978</v>
      </c>
      <c r="J146" t="s">
        <v>4116</v>
      </c>
    </row>
    <row r="147" spans="1:10" x14ac:dyDescent="0.25">
      <c r="A147">
        <v>146</v>
      </c>
      <c r="B147" t="s">
        <v>391</v>
      </c>
      <c r="C147" t="s">
        <v>215</v>
      </c>
      <c r="D147" t="s">
        <v>3097</v>
      </c>
      <c r="E147" t="s">
        <v>4117</v>
      </c>
      <c r="F147" t="s">
        <v>4114</v>
      </c>
      <c r="G147" t="s">
        <v>4133</v>
      </c>
      <c r="H147" t="s">
        <v>2494</v>
      </c>
      <c r="I147">
        <v>2020</v>
      </c>
      <c r="J147" t="s">
        <v>4116</v>
      </c>
    </row>
    <row r="148" spans="1:10" x14ac:dyDescent="0.25">
      <c r="A148">
        <v>147</v>
      </c>
      <c r="B148" t="s">
        <v>392</v>
      </c>
      <c r="C148" t="s">
        <v>215</v>
      </c>
      <c r="D148" t="s">
        <v>3098</v>
      </c>
      <c r="E148" t="s">
        <v>4117</v>
      </c>
      <c r="F148" t="s">
        <v>4114</v>
      </c>
      <c r="G148" t="s">
        <v>4133</v>
      </c>
      <c r="H148" t="s">
        <v>2494</v>
      </c>
      <c r="I148">
        <v>2020</v>
      </c>
      <c r="J148" t="s">
        <v>4116</v>
      </c>
    </row>
    <row r="149" spans="1:10" x14ac:dyDescent="0.25">
      <c r="A149">
        <v>148</v>
      </c>
      <c r="B149" t="s">
        <v>393</v>
      </c>
      <c r="C149" t="s">
        <v>394</v>
      </c>
      <c r="D149" t="s">
        <v>3099</v>
      </c>
      <c r="E149" t="s">
        <v>4149</v>
      </c>
      <c r="F149" t="s">
        <v>4114</v>
      </c>
      <c r="G149" t="s">
        <v>4133</v>
      </c>
      <c r="H149" t="s">
        <v>2494</v>
      </c>
      <c r="I149">
        <v>2014</v>
      </c>
      <c r="J149" t="s">
        <v>4125</v>
      </c>
    </row>
    <row r="150" spans="1:10" x14ac:dyDescent="0.25">
      <c r="A150">
        <v>149</v>
      </c>
      <c r="B150" t="s">
        <v>396</v>
      </c>
      <c r="C150" t="s">
        <v>215</v>
      </c>
      <c r="D150" t="s">
        <v>3100</v>
      </c>
      <c r="E150" t="s">
        <v>4117</v>
      </c>
      <c r="F150" t="s">
        <v>4114</v>
      </c>
      <c r="G150" t="s">
        <v>4133</v>
      </c>
      <c r="H150" t="s">
        <v>2494</v>
      </c>
      <c r="I150">
        <v>2019</v>
      </c>
      <c r="J150" t="s">
        <v>4116</v>
      </c>
    </row>
    <row r="151" spans="1:10" x14ac:dyDescent="0.25">
      <c r="A151">
        <v>150</v>
      </c>
      <c r="B151" t="s">
        <v>397</v>
      </c>
      <c r="C151" t="s">
        <v>215</v>
      </c>
      <c r="D151" t="s">
        <v>3101</v>
      </c>
      <c r="E151" t="s">
        <v>4117</v>
      </c>
      <c r="F151" t="s">
        <v>4114</v>
      </c>
      <c r="G151" t="s">
        <v>4133</v>
      </c>
      <c r="H151" t="s">
        <v>2494</v>
      </c>
      <c r="I151">
        <v>2019</v>
      </c>
      <c r="J151" t="s">
        <v>4116</v>
      </c>
    </row>
    <row r="152" spans="1:10" x14ac:dyDescent="0.25">
      <c r="A152">
        <v>151</v>
      </c>
      <c r="B152" t="s">
        <v>398</v>
      </c>
      <c r="C152" t="s">
        <v>399</v>
      </c>
      <c r="D152" t="s">
        <v>3102</v>
      </c>
      <c r="E152" t="s">
        <v>4139</v>
      </c>
      <c r="F152" t="s">
        <v>4131</v>
      </c>
      <c r="G152" t="s">
        <v>4121</v>
      </c>
      <c r="H152" t="s">
        <v>2603</v>
      </c>
      <c r="I152">
        <v>2020</v>
      </c>
      <c r="J152" t="s">
        <v>4116</v>
      </c>
    </row>
    <row r="153" spans="1:10" x14ac:dyDescent="0.25">
      <c r="A153">
        <v>152</v>
      </c>
      <c r="B153" t="s">
        <v>401</v>
      </c>
      <c r="C153" t="s">
        <v>215</v>
      </c>
      <c r="D153" t="s">
        <v>3103</v>
      </c>
      <c r="E153" t="s">
        <v>4117</v>
      </c>
      <c r="F153" t="s">
        <v>4114</v>
      </c>
      <c r="G153" t="s">
        <v>4133</v>
      </c>
      <c r="H153" t="s">
        <v>2494</v>
      </c>
      <c r="I153">
        <v>2018</v>
      </c>
      <c r="J153" t="s">
        <v>4116</v>
      </c>
    </row>
    <row r="154" spans="1:10" x14ac:dyDescent="0.25">
      <c r="A154">
        <v>153</v>
      </c>
      <c r="B154" t="s">
        <v>402</v>
      </c>
      <c r="C154" t="s">
        <v>403</v>
      </c>
      <c r="D154" t="s">
        <v>3104</v>
      </c>
      <c r="E154" t="s">
        <v>4134</v>
      </c>
      <c r="F154" t="s">
        <v>4114</v>
      </c>
      <c r="G154" t="s">
        <v>4121</v>
      </c>
      <c r="H154" t="s">
        <v>2603</v>
      </c>
      <c r="I154">
        <v>2016</v>
      </c>
      <c r="J154" t="s">
        <v>4125</v>
      </c>
    </row>
    <row r="155" spans="1:10" x14ac:dyDescent="0.25">
      <c r="A155">
        <v>154</v>
      </c>
      <c r="B155" t="s">
        <v>405</v>
      </c>
      <c r="C155" t="s">
        <v>215</v>
      </c>
      <c r="D155" t="s">
        <v>3105</v>
      </c>
      <c r="E155" t="s">
        <v>4117</v>
      </c>
      <c r="F155" t="s">
        <v>4114</v>
      </c>
      <c r="G155" t="s">
        <v>4133</v>
      </c>
      <c r="H155" t="s">
        <v>2494</v>
      </c>
      <c r="I155">
        <v>2018</v>
      </c>
      <c r="J155" t="s">
        <v>4116</v>
      </c>
    </row>
    <row r="156" spans="1:10" x14ac:dyDescent="0.25">
      <c r="A156">
        <v>155</v>
      </c>
      <c r="B156" t="s">
        <v>406</v>
      </c>
      <c r="C156" t="s">
        <v>215</v>
      </c>
      <c r="D156" t="s">
        <v>3106</v>
      </c>
      <c r="E156" t="s">
        <v>4117</v>
      </c>
      <c r="F156" t="s">
        <v>4114</v>
      </c>
      <c r="G156" t="s">
        <v>4133</v>
      </c>
      <c r="H156" t="s">
        <v>2494</v>
      </c>
      <c r="I156">
        <v>2017</v>
      </c>
      <c r="J156" t="s">
        <v>4116</v>
      </c>
    </row>
    <row r="157" spans="1:10" x14ac:dyDescent="0.25">
      <c r="A157">
        <v>156</v>
      </c>
      <c r="B157" t="s">
        <v>407</v>
      </c>
      <c r="C157" t="s">
        <v>408</v>
      </c>
      <c r="D157" t="s">
        <v>3107</v>
      </c>
      <c r="E157" t="s">
        <v>4129</v>
      </c>
      <c r="F157" t="s">
        <v>4114</v>
      </c>
      <c r="G157" t="s">
        <v>4141</v>
      </c>
      <c r="H157" t="s">
        <v>2603</v>
      </c>
      <c r="I157">
        <v>2016</v>
      </c>
      <c r="J157" t="s">
        <v>4125</v>
      </c>
    </row>
    <row r="158" spans="1:10" x14ac:dyDescent="0.25">
      <c r="A158">
        <v>157</v>
      </c>
      <c r="B158" t="s">
        <v>410</v>
      </c>
      <c r="C158" t="s">
        <v>215</v>
      </c>
      <c r="D158" t="s">
        <v>3108</v>
      </c>
      <c r="E158" t="s">
        <v>4117</v>
      </c>
      <c r="F158" t="s">
        <v>4114</v>
      </c>
      <c r="G158" t="s">
        <v>4133</v>
      </c>
      <c r="H158" t="s">
        <v>2494</v>
      </c>
      <c r="I158">
        <v>2017</v>
      </c>
      <c r="J158" t="s">
        <v>4116</v>
      </c>
    </row>
    <row r="159" spans="1:10" x14ac:dyDescent="0.25">
      <c r="A159">
        <v>158</v>
      </c>
      <c r="B159" t="s">
        <v>411</v>
      </c>
      <c r="C159" t="s">
        <v>412</v>
      </c>
      <c r="D159" t="s">
        <v>3109</v>
      </c>
      <c r="E159" t="s">
        <v>4149</v>
      </c>
      <c r="F159" t="s">
        <v>4114</v>
      </c>
      <c r="G159" t="s">
        <v>4133</v>
      </c>
      <c r="H159" t="s">
        <v>2494</v>
      </c>
      <c r="I159">
        <v>2012</v>
      </c>
      <c r="J159" t="s">
        <v>4125</v>
      </c>
    </row>
    <row r="160" spans="1:10" x14ac:dyDescent="0.25">
      <c r="A160">
        <v>159</v>
      </c>
      <c r="B160" t="s">
        <v>414</v>
      </c>
      <c r="C160" t="s">
        <v>415</v>
      </c>
      <c r="D160" t="s">
        <v>3110</v>
      </c>
      <c r="E160" t="s">
        <v>4134</v>
      </c>
      <c r="F160" t="s">
        <v>4114</v>
      </c>
      <c r="G160" t="s">
        <v>4156</v>
      </c>
      <c r="H160" t="s">
        <v>2603</v>
      </c>
      <c r="I160">
        <v>2018</v>
      </c>
      <c r="J160" t="s">
        <v>4125</v>
      </c>
    </row>
    <row r="161" spans="1:10" x14ac:dyDescent="0.25">
      <c r="A161">
        <v>160</v>
      </c>
      <c r="B161" t="s">
        <v>417</v>
      </c>
      <c r="C161" t="s">
        <v>418</v>
      </c>
      <c r="D161" t="s">
        <v>3111</v>
      </c>
      <c r="E161" t="s">
        <v>4120</v>
      </c>
      <c r="F161" t="s">
        <v>4114</v>
      </c>
      <c r="G161" t="s">
        <v>4115</v>
      </c>
      <c r="H161" t="s">
        <v>2603</v>
      </c>
      <c r="I161">
        <v>1996</v>
      </c>
      <c r="J161" t="s">
        <v>4116</v>
      </c>
    </row>
    <row r="162" spans="1:10" x14ac:dyDescent="0.25">
      <c r="A162">
        <v>161</v>
      </c>
      <c r="B162" t="s">
        <v>3112</v>
      </c>
      <c r="C162" t="s">
        <v>422</v>
      </c>
      <c r="D162" t="s">
        <v>3113</v>
      </c>
      <c r="E162" t="s">
        <v>4136</v>
      </c>
      <c r="F162" t="s">
        <v>4114</v>
      </c>
      <c r="G162" t="s">
        <v>4121</v>
      </c>
      <c r="H162" t="s">
        <v>2603</v>
      </c>
      <c r="I162">
        <v>2016</v>
      </c>
      <c r="J162" t="s">
        <v>4125</v>
      </c>
    </row>
    <row r="163" spans="1:10" x14ac:dyDescent="0.25">
      <c r="A163">
        <v>162</v>
      </c>
      <c r="B163" t="s">
        <v>3114</v>
      </c>
      <c r="C163" t="s">
        <v>203</v>
      </c>
      <c r="D163" t="s">
        <v>3115</v>
      </c>
      <c r="E163" t="s">
        <v>4149</v>
      </c>
      <c r="F163" t="s">
        <v>4114</v>
      </c>
      <c r="G163" t="s">
        <v>4115</v>
      </c>
      <c r="H163" t="s">
        <v>2603</v>
      </c>
      <c r="I163">
        <v>2018</v>
      </c>
      <c r="J163" t="s">
        <v>4125</v>
      </c>
    </row>
    <row r="164" spans="1:10" x14ac:dyDescent="0.25">
      <c r="A164">
        <v>163</v>
      </c>
      <c r="B164" t="s">
        <v>426</v>
      </c>
      <c r="C164" t="s">
        <v>121</v>
      </c>
      <c r="D164" t="s">
        <v>3116</v>
      </c>
      <c r="E164" t="s">
        <v>4113</v>
      </c>
      <c r="F164" t="s">
        <v>4114</v>
      </c>
      <c r="G164" t="s">
        <v>4137</v>
      </c>
      <c r="H164" t="s">
        <v>2603</v>
      </c>
      <c r="I164">
        <v>2022</v>
      </c>
      <c r="J164" t="s">
        <v>4125</v>
      </c>
    </row>
    <row r="165" spans="1:10" x14ac:dyDescent="0.25">
      <c r="A165">
        <v>164</v>
      </c>
      <c r="B165" t="s">
        <v>3117</v>
      </c>
      <c r="C165" t="s">
        <v>429</v>
      </c>
      <c r="D165" t="s">
        <v>3118</v>
      </c>
      <c r="E165" t="s">
        <v>4120</v>
      </c>
      <c r="F165" t="s">
        <v>4114</v>
      </c>
      <c r="G165" t="s">
        <v>4121</v>
      </c>
      <c r="H165" t="s">
        <v>2603</v>
      </c>
      <c r="I165">
        <v>1982</v>
      </c>
      <c r="J165" t="s">
        <v>4116</v>
      </c>
    </row>
    <row r="166" spans="1:10" x14ac:dyDescent="0.25">
      <c r="A166">
        <v>165</v>
      </c>
      <c r="B166" t="s">
        <v>431</v>
      </c>
      <c r="C166" t="s">
        <v>215</v>
      </c>
      <c r="D166" t="s">
        <v>3119</v>
      </c>
      <c r="E166" t="s">
        <v>4117</v>
      </c>
      <c r="F166" t="s">
        <v>4114</v>
      </c>
      <c r="G166" t="s">
        <v>4133</v>
      </c>
      <c r="H166" t="s">
        <v>2494</v>
      </c>
      <c r="I166">
        <v>2016</v>
      </c>
      <c r="J166" t="s">
        <v>4116</v>
      </c>
    </row>
    <row r="167" spans="1:10" x14ac:dyDescent="0.25">
      <c r="A167">
        <v>166</v>
      </c>
      <c r="B167" t="s">
        <v>432</v>
      </c>
      <c r="C167" t="s">
        <v>215</v>
      </c>
      <c r="D167" t="s">
        <v>3120</v>
      </c>
      <c r="E167" t="s">
        <v>4117</v>
      </c>
      <c r="F167" t="s">
        <v>4114</v>
      </c>
      <c r="G167" t="s">
        <v>4133</v>
      </c>
      <c r="H167" t="s">
        <v>2494</v>
      </c>
      <c r="I167">
        <v>2014</v>
      </c>
      <c r="J167" t="s">
        <v>4116</v>
      </c>
    </row>
    <row r="168" spans="1:10" x14ac:dyDescent="0.25">
      <c r="A168">
        <v>167</v>
      </c>
      <c r="B168" t="s">
        <v>3121</v>
      </c>
      <c r="C168" t="s">
        <v>422</v>
      </c>
      <c r="D168" t="s">
        <v>3122</v>
      </c>
      <c r="E168" t="s">
        <v>4136</v>
      </c>
      <c r="F168" t="s">
        <v>4114</v>
      </c>
      <c r="G168" t="s">
        <v>4121</v>
      </c>
      <c r="H168" t="s">
        <v>2603</v>
      </c>
      <c r="I168">
        <v>2015</v>
      </c>
      <c r="J168" t="s">
        <v>4125</v>
      </c>
    </row>
    <row r="169" spans="1:10" x14ac:dyDescent="0.25">
      <c r="A169">
        <v>168</v>
      </c>
      <c r="B169" t="s">
        <v>435</v>
      </c>
      <c r="C169" t="s">
        <v>436</v>
      </c>
      <c r="D169" t="s">
        <v>3123</v>
      </c>
      <c r="E169" t="s">
        <v>4135</v>
      </c>
      <c r="F169" t="s">
        <v>4131</v>
      </c>
      <c r="G169" t="s">
        <v>4115</v>
      </c>
      <c r="H169" t="s">
        <v>2603</v>
      </c>
      <c r="I169">
        <v>2022</v>
      </c>
      <c r="J169" t="s">
        <v>4116</v>
      </c>
    </row>
    <row r="170" spans="1:10" x14ac:dyDescent="0.25">
      <c r="A170">
        <v>169</v>
      </c>
      <c r="B170" t="s">
        <v>438</v>
      </c>
      <c r="C170" t="s">
        <v>215</v>
      </c>
      <c r="D170" t="s">
        <v>3124</v>
      </c>
      <c r="E170" t="s">
        <v>4117</v>
      </c>
      <c r="F170" t="s">
        <v>4114</v>
      </c>
      <c r="G170" t="s">
        <v>4133</v>
      </c>
      <c r="H170" t="s">
        <v>2494</v>
      </c>
      <c r="I170">
        <v>2013</v>
      </c>
      <c r="J170" t="s">
        <v>4116</v>
      </c>
    </row>
    <row r="171" spans="1:10" x14ac:dyDescent="0.25">
      <c r="A171">
        <v>170</v>
      </c>
      <c r="B171" t="s">
        <v>3125</v>
      </c>
      <c r="C171" t="s">
        <v>441</v>
      </c>
      <c r="D171" t="s">
        <v>3126</v>
      </c>
      <c r="E171" t="s">
        <v>4129</v>
      </c>
      <c r="F171" t="s">
        <v>4114</v>
      </c>
      <c r="G171" t="s">
        <v>4115</v>
      </c>
      <c r="H171" t="s">
        <v>2603</v>
      </c>
      <c r="I171">
        <v>2009</v>
      </c>
      <c r="J171" t="s">
        <v>4116</v>
      </c>
    </row>
    <row r="172" spans="1:10" x14ac:dyDescent="0.25">
      <c r="A172">
        <v>171</v>
      </c>
      <c r="B172" t="s">
        <v>3127</v>
      </c>
      <c r="C172" t="s">
        <v>445</v>
      </c>
      <c r="D172" t="s">
        <v>3128</v>
      </c>
      <c r="E172" t="s">
        <v>4136</v>
      </c>
      <c r="F172" t="s">
        <v>4114</v>
      </c>
      <c r="G172" t="s">
        <v>4156</v>
      </c>
      <c r="H172" t="s">
        <v>2603</v>
      </c>
      <c r="I172">
        <v>2015</v>
      </c>
      <c r="J172" t="s">
        <v>4125</v>
      </c>
    </row>
    <row r="173" spans="1:10" x14ac:dyDescent="0.25">
      <c r="A173">
        <v>172</v>
      </c>
      <c r="B173" t="s">
        <v>447</v>
      </c>
      <c r="C173" t="s">
        <v>215</v>
      </c>
      <c r="D173" t="s">
        <v>3129</v>
      </c>
      <c r="E173" t="s">
        <v>4117</v>
      </c>
      <c r="F173" t="s">
        <v>4114</v>
      </c>
      <c r="G173" t="s">
        <v>4133</v>
      </c>
      <c r="H173" t="s">
        <v>2494</v>
      </c>
      <c r="I173">
        <v>2012</v>
      </c>
      <c r="J173" t="s">
        <v>4116</v>
      </c>
    </row>
    <row r="174" spans="1:10" x14ac:dyDescent="0.25">
      <c r="A174">
        <v>173</v>
      </c>
      <c r="B174" t="s">
        <v>448</v>
      </c>
      <c r="C174" t="s">
        <v>215</v>
      </c>
      <c r="D174" t="s">
        <v>3130</v>
      </c>
      <c r="E174" t="s">
        <v>4117</v>
      </c>
      <c r="F174" t="s">
        <v>4114</v>
      </c>
      <c r="G174" t="s">
        <v>4133</v>
      </c>
      <c r="H174" t="s">
        <v>2494</v>
      </c>
      <c r="I174">
        <v>2011</v>
      </c>
      <c r="J174" t="s">
        <v>4116</v>
      </c>
    </row>
    <row r="175" spans="1:10" x14ac:dyDescent="0.25">
      <c r="A175">
        <v>174</v>
      </c>
      <c r="B175" t="s">
        <v>449</v>
      </c>
      <c r="C175" t="s">
        <v>450</v>
      </c>
      <c r="D175" t="s">
        <v>3131</v>
      </c>
      <c r="E175" t="s">
        <v>4130</v>
      </c>
      <c r="F175" t="s">
        <v>4131</v>
      </c>
      <c r="G175" t="s">
        <v>4115</v>
      </c>
      <c r="H175" t="s">
        <v>2603</v>
      </c>
      <c r="I175">
        <v>2023</v>
      </c>
      <c r="J175" t="s">
        <v>4116</v>
      </c>
    </row>
    <row r="176" spans="1:10" x14ac:dyDescent="0.25">
      <c r="A176">
        <v>175</v>
      </c>
      <c r="B176" t="s">
        <v>452</v>
      </c>
      <c r="C176" t="s">
        <v>215</v>
      </c>
      <c r="D176" t="s">
        <v>3132</v>
      </c>
      <c r="E176" t="s">
        <v>4117</v>
      </c>
      <c r="F176" t="s">
        <v>4114</v>
      </c>
      <c r="G176" t="s">
        <v>4133</v>
      </c>
      <c r="H176" t="s">
        <v>2494</v>
      </c>
      <c r="I176">
        <v>2011</v>
      </c>
      <c r="J176" t="s">
        <v>4116</v>
      </c>
    </row>
    <row r="177" spans="1:10" x14ac:dyDescent="0.25">
      <c r="A177">
        <v>176</v>
      </c>
      <c r="B177" t="s">
        <v>3133</v>
      </c>
      <c r="C177" t="s">
        <v>455</v>
      </c>
      <c r="D177" t="s">
        <v>3134</v>
      </c>
      <c r="E177" t="s">
        <v>4120</v>
      </c>
      <c r="F177" t="s">
        <v>4114</v>
      </c>
      <c r="G177" t="s">
        <v>4121</v>
      </c>
      <c r="H177" t="s">
        <v>2603</v>
      </c>
      <c r="I177">
        <v>1990</v>
      </c>
      <c r="J177" t="s">
        <v>4116</v>
      </c>
    </row>
    <row r="178" spans="1:10" x14ac:dyDescent="0.25">
      <c r="A178">
        <v>177</v>
      </c>
      <c r="B178" t="s">
        <v>3135</v>
      </c>
      <c r="C178" t="s">
        <v>459</v>
      </c>
      <c r="D178" t="s">
        <v>3136</v>
      </c>
      <c r="E178" t="s">
        <v>4136</v>
      </c>
      <c r="F178" t="s">
        <v>4114</v>
      </c>
      <c r="G178" t="s">
        <v>4137</v>
      </c>
      <c r="H178" t="s">
        <v>2603</v>
      </c>
      <c r="I178">
        <v>2014</v>
      </c>
      <c r="J178" t="s">
        <v>4125</v>
      </c>
    </row>
    <row r="179" spans="1:10" x14ac:dyDescent="0.25">
      <c r="A179">
        <v>178</v>
      </c>
      <c r="B179" t="s">
        <v>461</v>
      </c>
      <c r="C179" t="s">
        <v>215</v>
      </c>
      <c r="D179" t="s">
        <v>3137</v>
      </c>
      <c r="E179" t="s">
        <v>4117</v>
      </c>
      <c r="F179" t="s">
        <v>4114</v>
      </c>
      <c r="G179" t="s">
        <v>4133</v>
      </c>
      <c r="H179" t="s">
        <v>2494</v>
      </c>
      <c r="I179">
        <v>2010</v>
      </c>
      <c r="J179" t="s">
        <v>4116</v>
      </c>
    </row>
    <row r="180" spans="1:10" x14ac:dyDescent="0.25">
      <c r="A180">
        <v>179</v>
      </c>
      <c r="B180" t="s">
        <v>462</v>
      </c>
      <c r="C180" t="s">
        <v>215</v>
      </c>
      <c r="D180" t="s">
        <v>3138</v>
      </c>
      <c r="E180" t="s">
        <v>4117</v>
      </c>
      <c r="F180" t="s">
        <v>4114</v>
      </c>
      <c r="G180" t="s">
        <v>4133</v>
      </c>
      <c r="H180" t="s">
        <v>2494</v>
      </c>
      <c r="I180">
        <v>2009</v>
      </c>
      <c r="J180" t="s">
        <v>4116</v>
      </c>
    </row>
    <row r="181" spans="1:10" x14ac:dyDescent="0.25">
      <c r="A181">
        <v>180</v>
      </c>
      <c r="B181" t="s">
        <v>463</v>
      </c>
      <c r="C181" t="s">
        <v>215</v>
      </c>
      <c r="D181" t="s">
        <v>3139</v>
      </c>
      <c r="E181" t="s">
        <v>4117</v>
      </c>
      <c r="F181" t="s">
        <v>4114</v>
      </c>
      <c r="G181" t="s">
        <v>4133</v>
      </c>
      <c r="H181" t="s">
        <v>2494</v>
      </c>
      <c r="I181">
        <v>2008</v>
      </c>
      <c r="J181" t="s">
        <v>4116</v>
      </c>
    </row>
    <row r="182" spans="1:10" x14ac:dyDescent="0.25">
      <c r="A182">
        <v>181</v>
      </c>
      <c r="B182" t="s">
        <v>464</v>
      </c>
      <c r="C182" t="s">
        <v>215</v>
      </c>
      <c r="D182" t="s">
        <v>3140</v>
      </c>
      <c r="E182" t="s">
        <v>4117</v>
      </c>
      <c r="F182" t="s">
        <v>4114</v>
      </c>
      <c r="G182" t="s">
        <v>4133</v>
      </c>
      <c r="H182" t="s">
        <v>2494</v>
      </c>
      <c r="I182">
        <v>2008</v>
      </c>
      <c r="J182" t="s">
        <v>4116</v>
      </c>
    </row>
    <row r="183" spans="1:10" x14ac:dyDescent="0.25">
      <c r="A183">
        <v>182</v>
      </c>
      <c r="B183" t="s">
        <v>3141</v>
      </c>
      <c r="C183" t="s">
        <v>467</v>
      </c>
      <c r="D183" t="s">
        <v>3142</v>
      </c>
      <c r="E183" t="s">
        <v>4113</v>
      </c>
      <c r="F183" t="s">
        <v>4114</v>
      </c>
      <c r="G183" t="s">
        <v>4121</v>
      </c>
      <c r="H183" t="s">
        <v>2603</v>
      </c>
      <c r="I183">
        <v>2018</v>
      </c>
      <c r="J183" t="s">
        <v>4116</v>
      </c>
    </row>
    <row r="184" spans="1:10" x14ac:dyDescent="0.25">
      <c r="A184">
        <v>183</v>
      </c>
      <c r="B184" t="s">
        <v>3143</v>
      </c>
      <c r="C184" t="s">
        <v>471</v>
      </c>
      <c r="D184" t="s">
        <v>3144</v>
      </c>
      <c r="E184" t="s">
        <v>4120</v>
      </c>
      <c r="F184" t="s">
        <v>4114</v>
      </c>
      <c r="G184" t="s">
        <v>4121</v>
      </c>
      <c r="H184" t="s">
        <v>2603</v>
      </c>
      <c r="I184">
        <v>2022</v>
      </c>
      <c r="J184" t="s">
        <v>4125</v>
      </c>
    </row>
    <row r="185" spans="1:10" x14ac:dyDescent="0.25">
      <c r="A185">
        <v>184</v>
      </c>
      <c r="B185" t="s">
        <v>3145</v>
      </c>
      <c r="C185" t="s">
        <v>422</v>
      </c>
      <c r="D185" t="s">
        <v>3146</v>
      </c>
      <c r="E185" t="s">
        <v>4136</v>
      </c>
      <c r="F185" t="s">
        <v>4114</v>
      </c>
      <c r="G185" t="s">
        <v>4121</v>
      </c>
      <c r="H185" t="s">
        <v>2603</v>
      </c>
      <c r="I185">
        <v>2015</v>
      </c>
      <c r="J185" t="s">
        <v>4125</v>
      </c>
    </row>
    <row r="186" spans="1:10" x14ac:dyDescent="0.25">
      <c r="A186">
        <v>185</v>
      </c>
      <c r="B186" t="s">
        <v>3147</v>
      </c>
      <c r="C186" t="s">
        <v>174</v>
      </c>
      <c r="D186" t="s">
        <v>3148</v>
      </c>
      <c r="E186" t="s">
        <v>4120</v>
      </c>
      <c r="F186" t="s">
        <v>4114</v>
      </c>
      <c r="G186" t="s">
        <v>4115</v>
      </c>
      <c r="H186" t="s">
        <v>2603</v>
      </c>
      <c r="I186">
        <v>1989</v>
      </c>
      <c r="J186" t="s">
        <v>4116</v>
      </c>
    </row>
    <row r="187" spans="1:10" x14ac:dyDescent="0.25">
      <c r="A187">
        <v>186</v>
      </c>
      <c r="B187" t="s">
        <v>3149</v>
      </c>
      <c r="C187" t="s">
        <v>467</v>
      </c>
      <c r="D187" t="s">
        <v>3150</v>
      </c>
      <c r="E187" t="s">
        <v>4113</v>
      </c>
      <c r="F187" t="s">
        <v>4114</v>
      </c>
      <c r="G187" t="s">
        <v>4121</v>
      </c>
      <c r="H187" t="s">
        <v>2603</v>
      </c>
      <c r="I187">
        <v>2018</v>
      </c>
      <c r="J187" t="s">
        <v>4116</v>
      </c>
    </row>
    <row r="188" spans="1:10" x14ac:dyDescent="0.25">
      <c r="A188">
        <v>187</v>
      </c>
      <c r="B188" t="s">
        <v>3151</v>
      </c>
      <c r="C188" t="s">
        <v>422</v>
      </c>
      <c r="D188" t="s">
        <v>3152</v>
      </c>
      <c r="E188" t="s">
        <v>4136</v>
      </c>
      <c r="F188" t="s">
        <v>4114</v>
      </c>
      <c r="G188" t="s">
        <v>4121</v>
      </c>
      <c r="H188" t="s">
        <v>2603</v>
      </c>
      <c r="I188">
        <v>2014</v>
      </c>
      <c r="J188" t="s">
        <v>4125</v>
      </c>
    </row>
    <row r="189" spans="1:10" x14ac:dyDescent="0.25">
      <c r="A189">
        <v>188</v>
      </c>
      <c r="B189" t="s">
        <v>481</v>
      </c>
      <c r="C189" t="s">
        <v>482</v>
      </c>
      <c r="D189" t="s">
        <v>3153</v>
      </c>
      <c r="E189" t="s">
        <v>4129</v>
      </c>
      <c r="F189" t="s">
        <v>4114</v>
      </c>
      <c r="G189" t="s">
        <v>4148</v>
      </c>
      <c r="H189" t="s">
        <v>2486</v>
      </c>
      <c r="I189">
        <v>2020</v>
      </c>
      <c r="J189" t="s">
        <v>4125</v>
      </c>
    </row>
    <row r="190" spans="1:10" x14ac:dyDescent="0.25">
      <c r="A190">
        <v>189</v>
      </c>
      <c r="B190" t="s">
        <v>3154</v>
      </c>
      <c r="C190" t="s">
        <v>422</v>
      </c>
      <c r="D190" t="s">
        <v>3155</v>
      </c>
      <c r="E190" t="s">
        <v>4136</v>
      </c>
      <c r="F190" t="s">
        <v>4114</v>
      </c>
      <c r="G190" t="s">
        <v>4121</v>
      </c>
      <c r="H190" t="s">
        <v>2603</v>
      </c>
      <c r="I190">
        <v>2013</v>
      </c>
      <c r="J190" t="s">
        <v>4125</v>
      </c>
    </row>
    <row r="191" spans="1:10" x14ac:dyDescent="0.25">
      <c r="A191">
        <v>190</v>
      </c>
      <c r="B191" t="s">
        <v>486</v>
      </c>
      <c r="C191" t="s">
        <v>487</v>
      </c>
      <c r="D191" t="s">
        <v>3156</v>
      </c>
      <c r="E191" t="s">
        <v>4155</v>
      </c>
      <c r="F191" t="s">
        <v>4131</v>
      </c>
      <c r="G191" t="s">
        <v>4133</v>
      </c>
      <c r="H191" t="s">
        <v>2494</v>
      </c>
      <c r="I191">
        <v>2020</v>
      </c>
      <c r="J191" t="s">
        <v>4116</v>
      </c>
    </row>
    <row r="192" spans="1:10" x14ac:dyDescent="0.25">
      <c r="A192">
        <v>191</v>
      </c>
      <c r="B192" t="s">
        <v>489</v>
      </c>
      <c r="C192" t="s">
        <v>418</v>
      </c>
      <c r="D192" t="s">
        <v>3157</v>
      </c>
      <c r="E192" t="s">
        <v>4120</v>
      </c>
      <c r="F192" t="s">
        <v>4114</v>
      </c>
      <c r="G192" t="s">
        <v>4115</v>
      </c>
      <c r="H192" t="s">
        <v>2603</v>
      </c>
      <c r="I192">
        <v>2017</v>
      </c>
      <c r="J192" t="s">
        <v>4116</v>
      </c>
    </row>
    <row r="193" spans="1:10" x14ac:dyDescent="0.25">
      <c r="A193">
        <v>192</v>
      </c>
      <c r="B193" t="s">
        <v>3158</v>
      </c>
      <c r="C193" t="s">
        <v>459</v>
      </c>
      <c r="D193" t="s">
        <v>3159</v>
      </c>
      <c r="E193" t="s">
        <v>4136</v>
      </c>
      <c r="F193" t="s">
        <v>4114</v>
      </c>
      <c r="G193" t="s">
        <v>4137</v>
      </c>
      <c r="H193" t="s">
        <v>2603</v>
      </c>
      <c r="I193">
        <v>2013</v>
      </c>
      <c r="J193" t="s">
        <v>4125</v>
      </c>
    </row>
    <row r="194" spans="1:10" x14ac:dyDescent="0.25">
      <c r="A194">
        <v>193</v>
      </c>
      <c r="B194" t="s">
        <v>492</v>
      </c>
      <c r="C194" t="s">
        <v>493</v>
      </c>
      <c r="D194" t="s">
        <v>3160</v>
      </c>
      <c r="E194" t="s">
        <v>4139</v>
      </c>
      <c r="F194" t="s">
        <v>4131</v>
      </c>
      <c r="G194" t="s">
        <v>4127</v>
      </c>
      <c r="H194" t="s">
        <v>2603</v>
      </c>
      <c r="I194">
        <v>2018</v>
      </c>
      <c r="J194" t="s">
        <v>4116</v>
      </c>
    </row>
    <row r="195" spans="1:10" x14ac:dyDescent="0.25">
      <c r="A195">
        <v>194</v>
      </c>
      <c r="B195" t="s">
        <v>495</v>
      </c>
      <c r="C195" t="s">
        <v>215</v>
      </c>
      <c r="D195" t="s">
        <v>3161</v>
      </c>
      <c r="E195" t="s">
        <v>4117</v>
      </c>
      <c r="F195" t="s">
        <v>4114</v>
      </c>
      <c r="G195" t="s">
        <v>4133</v>
      </c>
      <c r="H195" t="s">
        <v>2494</v>
      </c>
      <c r="I195">
        <v>2007</v>
      </c>
      <c r="J195" t="s">
        <v>4116</v>
      </c>
    </row>
    <row r="196" spans="1:10" x14ac:dyDescent="0.25">
      <c r="A196">
        <v>195</v>
      </c>
      <c r="B196" t="s">
        <v>3162</v>
      </c>
      <c r="C196" t="s">
        <v>459</v>
      </c>
      <c r="D196" t="s">
        <v>3163</v>
      </c>
      <c r="E196" t="s">
        <v>4136</v>
      </c>
      <c r="F196" t="s">
        <v>4114</v>
      </c>
      <c r="G196" t="s">
        <v>4137</v>
      </c>
      <c r="H196" t="s">
        <v>2603</v>
      </c>
      <c r="I196">
        <v>2012</v>
      </c>
      <c r="J196" t="s">
        <v>4125</v>
      </c>
    </row>
    <row r="197" spans="1:10" x14ac:dyDescent="0.25">
      <c r="A197">
        <v>196</v>
      </c>
      <c r="B197" t="s">
        <v>498</v>
      </c>
      <c r="C197" t="s">
        <v>215</v>
      </c>
      <c r="D197" t="s">
        <v>3164</v>
      </c>
      <c r="E197" t="s">
        <v>4117</v>
      </c>
      <c r="F197" t="s">
        <v>4114</v>
      </c>
      <c r="G197" t="s">
        <v>4133</v>
      </c>
      <c r="H197" t="s">
        <v>2494</v>
      </c>
      <c r="I197">
        <v>2005</v>
      </c>
      <c r="J197" t="s">
        <v>4116</v>
      </c>
    </row>
    <row r="198" spans="1:10" x14ac:dyDescent="0.25">
      <c r="A198">
        <v>197</v>
      </c>
      <c r="B198" t="s">
        <v>499</v>
      </c>
      <c r="C198" t="s">
        <v>500</v>
      </c>
      <c r="D198" t="s">
        <v>3165</v>
      </c>
      <c r="E198" t="s">
        <v>4134</v>
      </c>
      <c r="F198" t="s">
        <v>4114</v>
      </c>
      <c r="G198" t="s">
        <v>4121</v>
      </c>
      <c r="H198" t="s">
        <v>2603</v>
      </c>
      <c r="I198">
        <v>2022</v>
      </c>
      <c r="J198" t="s">
        <v>4125</v>
      </c>
    </row>
    <row r="199" spans="1:10" x14ac:dyDescent="0.25">
      <c r="A199">
        <v>198</v>
      </c>
      <c r="B199" t="s">
        <v>502</v>
      </c>
      <c r="C199" t="s">
        <v>503</v>
      </c>
      <c r="D199" t="s">
        <v>3166</v>
      </c>
      <c r="E199" t="s">
        <v>4134</v>
      </c>
      <c r="F199" t="s">
        <v>4114</v>
      </c>
      <c r="G199" t="s">
        <v>4118</v>
      </c>
      <c r="H199" t="s">
        <v>4119</v>
      </c>
      <c r="I199">
        <v>2015</v>
      </c>
      <c r="J199" t="s">
        <v>4116</v>
      </c>
    </row>
    <row r="200" spans="1:10" x14ac:dyDescent="0.25">
      <c r="A200">
        <v>199</v>
      </c>
      <c r="B200" t="s">
        <v>505</v>
      </c>
      <c r="C200" t="s">
        <v>506</v>
      </c>
      <c r="D200" t="s">
        <v>3167</v>
      </c>
      <c r="E200" t="s">
        <v>4117</v>
      </c>
      <c r="F200" t="s">
        <v>4114</v>
      </c>
      <c r="G200" t="s">
        <v>4121</v>
      </c>
      <c r="H200" t="s">
        <v>2603</v>
      </c>
      <c r="I200">
        <v>2020</v>
      </c>
      <c r="J200" t="s">
        <v>4116</v>
      </c>
    </row>
    <row r="201" spans="1:10" x14ac:dyDescent="0.25">
      <c r="A201">
        <v>200</v>
      </c>
      <c r="B201" t="s">
        <v>508</v>
      </c>
      <c r="C201" t="s">
        <v>509</v>
      </c>
      <c r="D201" t="s">
        <v>3168</v>
      </c>
      <c r="E201" t="s">
        <v>4132</v>
      </c>
      <c r="F201" t="s">
        <v>4114</v>
      </c>
      <c r="G201" t="s">
        <v>4121</v>
      </c>
      <c r="H201" t="s">
        <v>2603</v>
      </c>
      <c r="I201">
        <v>2014</v>
      </c>
      <c r="J201" t="s">
        <v>4125</v>
      </c>
    </row>
    <row r="202" spans="1:10" x14ac:dyDescent="0.25">
      <c r="A202">
        <v>201</v>
      </c>
      <c r="B202" t="s">
        <v>511</v>
      </c>
      <c r="C202" t="s">
        <v>512</v>
      </c>
      <c r="D202" t="s">
        <v>3169</v>
      </c>
      <c r="E202" t="s">
        <v>4135</v>
      </c>
      <c r="F202" t="s">
        <v>4131</v>
      </c>
      <c r="G202" t="s">
        <v>4115</v>
      </c>
      <c r="H202" t="s">
        <v>2603</v>
      </c>
      <c r="I202">
        <v>2022</v>
      </c>
      <c r="J202" t="s">
        <v>4116</v>
      </c>
    </row>
    <row r="203" spans="1:10" x14ac:dyDescent="0.25">
      <c r="A203">
        <v>202</v>
      </c>
      <c r="B203" t="s">
        <v>514</v>
      </c>
      <c r="C203" t="s">
        <v>287</v>
      </c>
      <c r="D203" t="s">
        <v>3170</v>
      </c>
      <c r="E203" t="s">
        <v>4132</v>
      </c>
      <c r="F203" t="s">
        <v>4114</v>
      </c>
      <c r="G203" t="s">
        <v>4121</v>
      </c>
      <c r="H203" t="s">
        <v>2603</v>
      </c>
      <c r="I203">
        <v>2013</v>
      </c>
      <c r="J203" t="s">
        <v>4116</v>
      </c>
    </row>
    <row r="204" spans="1:10" x14ac:dyDescent="0.25">
      <c r="A204">
        <v>203</v>
      </c>
      <c r="B204" t="s">
        <v>2619</v>
      </c>
      <c r="C204" t="s">
        <v>516</v>
      </c>
      <c r="D204" t="s">
        <v>3171</v>
      </c>
      <c r="E204" t="s">
        <v>4117</v>
      </c>
      <c r="F204" t="s">
        <v>4114</v>
      </c>
      <c r="G204" t="s">
        <v>4115</v>
      </c>
      <c r="H204" t="s">
        <v>2603</v>
      </c>
      <c r="I204">
        <v>2020</v>
      </c>
      <c r="J204" t="s">
        <v>4145</v>
      </c>
    </row>
    <row r="205" spans="1:10" x14ac:dyDescent="0.25">
      <c r="A205">
        <v>204</v>
      </c>
      <c r="B205" t="s">
        <v>3172</v>
      </c>
      <c r="C205" t="s">
        <v>280</v>
      </c>
      <c r="D205" t="s">
        <v>3173</v>
      </c>
      <c r="E205" t="s">
        <v>4117</v>
      </c>
      <c r="F205" t="s">
        <v>4114</v>
      </c>
      <c r="G205" t="s">
        <v>4115</v>
      </c>
      <c r="H205" t="s">
        <v>2603</v>
      </c>
      <c r="I205">
        <v>1999</v>
      </c>
      <c r="J205" t="s">
        <v>4116</v>
      </c>
    </row>
    <row r="206" spans="1:10" x14ac:dyDescent="0.25">
      <c r="A206">
        <v>205</v>
      </c>
      <c r="B206" t="s">
        <v>3174</v>
      </c>
      <c r="C206" t="s">
        <v>522</v>
      </c>
      <c r="D206" t="s">
        <v>3175</v>
      </c>
      <c r="E206" t="s">
        <v>4117</v>
      </c>
      <c r="F206" t="s">
        <v>4114</v>
      </c>
      <c r="G206" t="s">
        <v>4162</v>
      </c>
      <c r="H206" t="s">
        <v>4163</v>
      </c>
      <c r="I206">
        <v>2018</v>
      </c>
      <c r="J206" t="s">
        <v>4125</v>
      </c>
    </row>
    <row r="207" spans="1:10" x14ac:dyDescent="0.25">
      <c r="A207">
        <v>206</v>
      </c>
      <c r="B207" t="s">
        <v>524</v>
      </c>
      <c r="C207" t="s">
        <v>335</v>
      </c>
      <c r="D207" t="s">
        <v>3176</v>
      </c>
      <c r="E207" t="s">
        <v>4157</v>
      </c>
      <c r="F207" t="s">
        <v>4131</v>
      </c>
      <c r="G207" t="s">
        <v>4133</v>
      </c>
      <c r="H207" t="s">
        <v>2494</v>
      </c>
      <c r="I207">
        <v>2022</v>
      </c>
      <c r="J207" t="s">
        <v>4116</v>
      </c>
    </row>
    <row r="208" spans="1:10" x14ac:dyDescent="0.25">
      <c r="A208">
        <v>207</v>
      </c>
      <c r="B208" t="s">
        <v>525</v>
      </c>
      <c r="C208" t="s">
        <v>526</v>
      </c>
      <c r="D208" t="s">
        <v>3177</v>
      </c>
      <c r="E208" t="s">
        <v>4140</v>
      </c>
      <c r="F208" t="s">
        <v>4131</v>
      </c>
      <c r="G208" t="s">
        <v>4121</v>
      </c>
      <c r="H208" t="s">
        <v>2603</v>
      </c>
      <c r="I208">
        <v>2006</v>
      </c>
      <c r="J208" t="s">
        <v>4116</v>
      </c>
    </row>
    <row r="209" spans="1:10" x14ac:dyDescent="0.25">
      <c r="A209">
        <v>208</v>
      </c>
      <c r="B209" t="s">
        <v>3178</v>
      </c>
      <c r="C209" t="s">
        <v>530</v>
      </c>
      <c r="D209" t="s">
        <v>3179</v>
      </c>
      <c r="E209" t="s">
        <v>4136</v>
      </c>
      <c r="F209" t="s">
        <v>4114</v>
      </c>
      <c r="G209" t="s">
        <v>4121</v>
      </c>
      <c r="H209" t="s">
        <v>2603</v>
      </c>
      <c r="I209">
        <v>2022</v>
      </c>
      <c r="J209" t="s">
        <v>4116</v>
      </c>
    </row>
    <row r="210" spans="1:10" x14ac:dyDescent="0.25">
      <c r="A210">
        <v>209</v>
      </c>
      <c r="B210" t="s">
        <v>3180</v>
      </c>
      <c r="C210" t="s">
        <v>269</v>
      </c>
      <c r="D210" t="s">
        <v>3181</v>
      </c>
      <c r="E210" t="s">
        <v>4120</v>
      </c>
      <c r="F210" t="s">
        <v>4114</v>
      </c>
      <c r="G210" t="s">
        <v>4121</v>
      </c>
      <c r="H210" t="s">
        <v>2603</v>
      </c>
      <c r="I210">
        <v>2023</v>
      </c>
      <c r="J210" t="s">
        <v>4116</v>
      </c>
    </row>
    <row r="211" spans="1:10" x14ac:dyDescent="0.25">
      <c r="A211">
        <v>210</v>
      </c>
      <c r="B211" t="s">
        <v>3182</v>
      </c>
      <c r="C211" t="s">
        <v>536</v>
      </c>
      <c r="D211" t="s">
        <v>3183</v>
      </c>
      <c r="E211" t="s">
        <v>4149</v>
      </c>
      <c r="F211" t="s">
        <v>4114</v>
      </c>
      <c r="G211" t="s">
        <v>4121</v>
      </c>
      <c r="H211" t="s">
        <v>2603</v>
      </c>
      <c r="I211">
        <v>2022</v>
      </c>
      <c r="J211" t="s">
        <v>4125</v>
      </c>
    </row>
    <row r="212" spans="1:10" x14ac:dyDescent="0.25">
      <c r="A212">
        <v>211</v>
      </c>
      <c r="B212" t="s">
        <v>3184</v>
      </c>
      <c r="C212" t="s">
        <v>184</v>
      </c>
      <c r="D212" t="s">
        <v>3185</v>
      </c>
      <c r="E212" t="s">
        <v>4117</v>
      </c>
      <c r="F212" t="s">
        <v>4114</v>
      </c>
      <c r="G212" t="s">
        <v>4118</v>
      </c>
      <c r="H212" t="s">
        <v>4119</v>
      </c>
      <c r="I212">
        <v>2018</v>
      </c>
      <c r="J212" t="s">
        <v>4145</v>
      </c>
    </row>
    <row r="213" spans="1:10" x14ac:dyDescent="0.25">
      <c r="A213">
        <v>212</v>
      </c>
      <c r="B213" t="s">
        <v>540</v>
      </c>
      <c r="C213" t="s">
        <v>541</v>
      </c>
      <c r="D213" t="s">
        <v>3186</v>
      </c>
      <c r="E213" t="s">
        <v>4138</v>
      </c>
      <c r="F213" t="s">
        <v>4114</v>
      </c>
      <c r="G213" t="s">
        <v>4121</v>
      </c>
      <c r="H213" t="s">
        <v>2603</v>
      </c>
      <c r="I213">
        <v>2019</v>
      </c>
      <c r="J213" t="s">
        <v>4125</v>
      </c>
    </row>
    <row r="214" spans="1:10" x14ac:dyDescent="0.25">
      <c r="A214">
        <v>213</v>
      </c>
      <c r="B214" t="s">
        <v>543</v>
      </c>
      <c r="C214" t="s">
        <v>163</v>
      </c>
      <c r="D214" t="s">
        <v>3187</v>
      </c>
      <c r="E214" t="s">
        <v>4138</v>
      </c>
      <c r="F214" t="s">
        <v>4114</v>
      </c>
      <c r="G214" t="s">
        <v>4141</v>
      </c>
      <c r="H214" t="s">
        <v>2603</v>
      </c>
      <c r="I214">
        <v>2022</v>
      </c>
      <c r="J214" t="s">
        <v>4125</v>
      </c>
    </row>
    <row r="215" spans="1:10" x14ac:dyDescent="0.25">
      <c r="A215">
        <v>214</v>
      </c>
      <c r="B215" t="s">
        <v>544</v>
      </c>
      <c r="C215" t="s">
        <v>2624</v>
      </c>
      <c r="D215" t="s">
        <v>3188</v>
      </c>
      <c r="E215" t="s">
        <v>4126</v>
      </c>
      <c r="F215" t="s">
        <v>4114</v>
      </c>
      <c r="G215" t="s">
        <v>4121</v>
      </c>
      <c r="H215" t="s">
        <v>2603</v>
      </c>
      <c r="I215">
        <v>2010</v>
      </c>
      <c r="J215" t="s">
        <v>4116</v>
      </c>
    </row>
    <row r="216" spans="1:10" x14ac:dyDescent="0.25">
      <c r="A216">
        <v>215</v>
      </c>
      <c r="B216" t="s">
        <v>3189</v>
      </c>
      <c r="C216" t="s">
        <v>184</v>
      </c>
      <c r="D216" t="s">
        <v>3190</v>
      </c>
      <c r="E216" t="s">
        <v>4117</v>
      </c>
      <c r="F216" t="s">
        <v>4114</v>
      </c>
      <c r="G216" t="s">
        <v>4118</v>
      </c>
      <c r="H216" t="s">
        <v>4119</v>
      </c>
      <c r="I216">
        <v>2015</v>
      </c>
      <c r="J216" t="s">
        <v>4145</v>
      </c>
    </row>
    <row r="217" spans="1:10" x14ac:dyDescent="0.25">
      <c r="A217">
        <v>216</v>
      </c>
      <c r="B217" t="s">
        <v>2543</v>
      </c>
      <c r="C217" t="s">
        <v>2626</v>
      </c>
      <c r="D217" t="s">
        <v>3191</v>
      </c>
      <c r="E217" t="s">
        <v>4129</v>
      </c>
      <c r="F217" t="s">
        <v>4114</v>
      </c>
      <c r="G217" t="s">
        <v>4121</v>
      </c>
      <c r="H217" t="s">
        <v>2603</v>
      </c>
      <c r="I217">
        <v>2018</v>
      </c>
      <c r="J217" t="s">
        <v>4116</v>
      </c>
    </row>
    <row r="218" spans="1:10" x14ac:dyDescent="0.25">
      <c r="A218">
        <v>217</v>
      </c>
      <c r="B218" t="s">
        <v>3192</v>
      </c>
      <c r="C218" t="s">
        <v>184</v>
      </c>
      <c r="D218" t="s">
        <v>3193</v>
      </c>
      <c r="E218" t="s">
        <v>4117</v>
      </c>
      <c r="F218" t="s">
        <v>4114</v>
      </c>
      <c r="G218" t="s">
        <v>4118</v>
      </c>
      <c r="H218" t="s">
        <v>4119</v>
      </c>
      <c r="I218">
        <v>2016</v>
      </c>
      <c r="J218" t="s">
        <v>4145</v>
      </c>
    </row>
    <row r="219" spans="1:10" x14ac:dyDescent="0.25">
      <c r="A219">
        <v>218</v>
      </c>
      <c r="B219" t="s">
        <v>551</v>
      </c>
      <c r="C219" t="s">
        <v>552</v>
      </c>
      <c r="D219" t="s">
        <v>3194</v>
      </c>
      <c r="E219" t="s">
        <v>4117</v>
      </c>
      <c r="F219" t="s">
        <v>4114</v>
      </c>
      <c r="G219" t="s">
        <v>4127</v>
      </c>
      <c r="H219" t="s">
        <v>4128</v>
      </c>
      <c r="I219">
        <v>2023</v>
      </c>
      <c r="J219" t="s">
        <v>4116</v>
      </c>
    </row>
    <row r="220" spans="1:10" x14ac:dyDescent="0.25">
      <c r="A220">
        <v>219</v>
      </c>
      <c r="B220" t="s">
        <v>3195</v>
      </c>
      <c r="C220" t="s">
        <v>556</v>
      </c>
      <c r="D220" t="s">
        <v>3196</v>
      </c>
      <c r="E220" t="s">
        <v>4113</v>
      </c>
      <c r="F220" t="s">
        <v>4114</v>
      </c>
      <c r="G220" t="s">
        <v>4164</v>
      </c>
      <c r="H220" t="s">
        <v>4165</v>
      </c>
      <c r="I220">
        <v>2010</v>
      </c>
      <c r="J220" t="s">
        <v>4116</v>
      </c>
    </row>
    <row r="221" spans="1:10" x14ac:dyDescent="0.25">
      <c r="A221">
        <v>220</v>
      </c>
      <c r="B221" t="s">
        <v>3197</v>
      </c>
      <c r="C221" t="s">
        <v>133</v>
      </c>
      <c r="D221" t="s">
        <v>3198</v>
      </c>
      <c r="E221" t="s">
        <v>4120</v>
      </c>
      <c r="F221" t="s">
        <v>4114</v>
      </c>
      <c r="G221" t="s">
        <v>4115</v>
      </c>
      <c r="H221" t="s">
        <v>2603</v>
      </c>
      <c r="I221">
        <v>2023</v>
      </c>
      <c r="J221" t="s">
        <v>4125</v>
      </c>
    </row>
    <row r="222" spans="1:10" x14ac:dyDescent="0.25">
      <c r="A222">
        <v>221</v>
      </c>
      <c r="B222" t="s">
        <v>3199</v>
      </c>
      <c r="C222" t="s">
        <v>556</v>
      </c>
      <c r="D222" t="s">
        <v>3200</v>
      </c>
      <c r="E222" t="s">
        <v>4113</v>
      </c>
      <c r="F222" t="s">
        <v>4114</v>
      </c>
      <c r="G222" t="s">
        <v>4164</v>
      </c>
      <c r="H222" t="s">
        <v>4165</v>
      </c>
      <c r="I222">
        <v>2008</v>
      </c>
      <c r="J222" t="s">
        <v>4116</v>
      </c>
    </row>
    <row r="223" spans="1:10" x14ac:dyDescent="0.25">
      <c r="A223">
        <v>222</v>
      </c>
      <c r="B223" t="s">
        <v>562</v>
      </c>
      <c r="C223" t="s">
        <v>563</v>
      </c>
      <c r="D223" t="s">
        <v>3201</v>
      </c>
      <c r="E223" t="s">
        <v>4120</v>
      </c>
      <c r="F223" t="s">
        <v>4114</v>
      </c>
      <c r="G223" t="s">
        <v>4121</v>
      </c>
      <c r="H223" t="s">
        <v>2603</v>
      </c>
      <c r="I223">
        <v>2020</v>
      </c>
      <c r="J223" t="s">
        <v>4125</v>
      </c>
    </row>
    <row r="224" spans="1:10" x14ac:dyDescent="0.25">
      <c r="A224">
        <v>223</v>
      </c>
      <c r="B224" t="s">
        <v>3202</v>
      </c>
      <c r="C224" t="s">
        <v>556</v>
      </c>
      <c r="D224" t="s">
        <v>3203</v>
      </c>
      <c r="E224" t="s">
        <v>4113</v>
      </c>
      <c r="F224" t="s">
        <v>4114</v>
      </c>
      <c r="G224" t="s">
        <v>4164</v>
      </c>
      <c r="H224" t="s">
        <v>4165</v>
      </c>
      <c r="I224">
        <v>2006</v>
      </c>
      <c r="J224" t="s">
        <v>4116</v>
      </c>
    </row>
    <row r="225" spans="1:10" x14ac:dyDescent="0.25">
      <c r="A225">
        <v>224</v>
      </c>
      <c r="B225" t="s">
        <v>567</v>
      </c>
      <c r="C225" t="s">
        <v>568</v>
      </c>
      <c r="D225" t="s">
        <v>3204</v>
      </c>
      <c r="E225" t="s">
        <v>4113</v>
      </c>
      <c r="F225" t="s">
        <v>4114</v>
      </c>
      <c r="G225" t="s">
        <v>4133</v>
      </c>
      <c r="H225" t="s">
        <v>2494</v>
      </c>
      <c r="I225">
        <v>2015</v>
      </c>
      <c r="J225" t="s">
        <v>4116</v>
      </c>
    </row>
    <row r="226" spans="1:10" x14ac:dyDescent="0.25">
      <c r="A226">
        <v>225</v>
      </c>
      <c r="B226" t="s">
        <v>3205</v>
      </c>
      <c r="C226" t="s">
        <v>184</v>
      </c>
      <c r="D226" t="s">
        <v>3206</v>
      </c>
      <c r="E226" t="s">
        <v>4117</v>
      </c>
      <c r="F226" t="s">
        <v>4114</v>
      </c>
      <c r="G226" t="s">
        <v>4118</v>
      </c>
      <c r="H226" t="s">
        <v>4119</v>
      </c>
      <c r="I226">
        <v>2012</v>
      </c>
      <c r="J226" t="s">
        <v>4145</v>
      </c>
    </row>
    <row r="227" spans="1:10" x14ac:dyDescent="0.25">
      <c r="A227">
        <v>226</v>
      </c>
      <c r="B227" t="s">
        <v>572</v>
      </c>
      <c r="C227" t="s">
        <v>573</v>
      </c>
      <c r="D227" t="s">
        <v>3207</v>
      </c>
      <c r="E227" t="s">
        <v>4126</v>
      </c>
      <c r="F227" t="s">
        <v>4114</v>
      </c>
      <c r="G227" t="s">
        <v>4159</v>
      </c>
      <c r="H227" t="s">
        <v>4160</v>
      </c>
      <c r="I227">
        <v>2017</v>
      </c>
      <c r="J227" t="s">
        <v>4125</v>
      </c>
    </row>
    <row r="228" spans="1:10" x14ac:dyDescent="0.25">
      <c r="A228">
        <v>227</v>
      </c>
      <c r="B228" t="s">
        <v>2631</v>
      </c>
      <c r="C228" t="s">
        <v>184</v>
      </c>
      <c r="D228" t="s">
        <v>3208</v>
      </c>
      <c r="E228" t="s">
        <v>4117</v>
      </c>
      <c r="F228" t="s">
        <v>4114</v>
      </c>
      <c r="G228" t="s">
        <v>4118</v>
      </c>
      <c r="H228" t="s">
        <v>4119</v>
      </c>
      <c r="I228">
        <v>2010</v>
      </c>
      <c r="J228" t="s">
        <v>4145</v>
      </c>
    </row>
    <row r="229" spans="1:10" x14ac:dyDescent="0.25">
      <c r="A229">
        <v>228</v>
      </c>
      <c r="B229" t="s">
        <v>576</v>
      </c>
      <c r="C229" t="s">
        <v>577</v>
      </c>
      <c r="D229" t="s">
        <v>3209</v>
      </c>
      <c r="E229" t="s">
        <v>4130</v>
      </c>
      <c r="F229" t="s">
        <v>4131</v>
      </c>
      <c r="G229" t="s">
        <v>4121</v>
      </c>
      <c r="H229" t="s">
        <v>2603</v>
      </c>
      <c r="I229">
        <v>2018</v>
      </c>
      <c r="J229" t="s">
        <v>4116</v>
      </c>
    </row>
    <row r="230" spans="1:10" x14ac:dyDescent="0.25">
      <c r="A230">
        <v>229</v>
      </c>
      <c r="B230" t="s">
        <v>3210</v>
      </c>
      <c r="C230" t="s">
        <v>184</v>
      </c>
      <c r="D230" t="s">
        <v>3211</v>
      </c>
      <c r="E230" t="s">
        <v>4117</v>
      </c>
      <c r="F230" t="s">
        <v>4114</v>
      </c>
      <c r="G230" t="s">
        <v>4118</v>
      </c>
      <c r="H230" t="s">
        <v>4119</v>
      </c>
      <c r="I230">
        <v>2009</v>
      </c>
      <c r="J230" t="s">
        <v>4145</v>
      </c>
    </row>
    <row r="231" spans="1:10" x14ac:dyDescent="0.25">
      <c r="A231">
        <v>230</v>
      </c>
      <c r="B231" t="s">
        <v>581</v>
      </c>
      <c r="C231" t="s">
        <v>582</v>
      </c>
      <c r="D231" t="s">
        <v>3212</v>
      </c>
      <c r="E231" t="s">
        <v>4126</v>
      </c>
      <c r="F231" t="s">
        <v>4114</v>
      </c>
      <c r="G231" t="s">
        <v>4166</v>
      </c>
      <c r="H231" t="s">
        <v>4167</v>
      </c>
      <c r="I231">
        <v>1994</v>
      </c>
      <c r="J231" t="s">
        <v>4125</v>
      </c>
    </row>
    <row r="232" spans="1:10" x14ac:dyDescent="0.25">
      <c r="A232">
        <v>231</v>
      </c>
      <c r="B232" t="s">
        <v>584</v>
      </c>
      <c r="C232" t="s">
        <v>585</v>
      </c>
      <c r="D232" t="s">
        <v>3213</v>
      </c>
      <c r="E232" t="s">
        <v>4113</v>
      </c>
      <c r="F232" t="s">
        <v>4114</v>
      </c>
      <c r="G232" t="s">
        <v>4148</v>
      </c>
      <c r="H232" t="s">
        <v>2486</v>
      </c>
      <c r="I232">
        <v>2020</v>
      </c>
      <c r="J232" t="s">
        <v>4125</v>
      </c>
    </row>
    <row r="233" spans="1:10" x14ac:dyDescent="0.25">
      <c r="A233">
        <v>232</v>
      </c>
      <c r="B233" t="s">
        <v>587</v>
      </c>
      <c r="C233" t="s">
        <v>588</v>
      </c>
      <c r="D233" t="s">
        <v>3214</v>
      </c>
      <c r="E233" t="s">
        <v>4126</v>
      </c>
      <c r="F233" t="s">
        <v>4114</v>
      </c>
      <c r="G233" t="s">
        <v>4141</v>
      </c>
      <c r="H233" t="s">
        <v>2603</v>
      </c>
      <c r="I233">
        <v>2018</v>
      </c>
      <c r="J233" t="s">
        <v>4125</v>
      </c>
    </row>
    <row r="234" spans="1:10" x14ac:dyDescent="0.25">
      <c r="A234">
        <v>233</v>
      </c>
      <c r="B234" t="s">
        <v>590</v>
      </c>
      <c r="C234" t="s">
        <v>591</v>
      </c>
      <c r="D234" t="s">
        <v>3215</v>
      </c>
      <c r="E234" t="s">
        <v>4140</v>
      </c>
      <c r="F234" t="s">
        <v>4131</v>
      </c>
      <c r="G234" t="s">
        <v>4115</v>
      </c>
      <c r="H234" t="s">
        <v>2603</v>
      </c>
      <c r="I234">
        <v>2018</v>
      </c>
      <c r="J234" t="s">
        <v>4125</v>
      </c>
    </row>
    <row r="235" spans="1:10" x14ac:dyDescent="0.25">
      <c r="A235">
        <v>234</v>
      </c>
      <c r="B235" t="s">
        <v>593</v>
      </c>
      <c r="C235" t="s">
        <v>329</v>
      </c>
      <c r="D235" t="s">
        <v>3216</v>
      </c>
      <c r="E235" t="s">
        <v>4126</v>
      </c>
      <c r="F235" t="s">
        <v>4114</v>
      </c>
      <c r="G235" t="s">
        <v>4148</v>
      </c>
      <c r="H235" t="s">
        <v>2486</v>
      </c>
      <c r="I235">
        <v>2023</v>
      </c>
      <c r="J235" t="s">
        <v>4125</v>
      </c>
    </row>
    <row r="236" spans="1:10" x14ac:dyDescent="0.25">
      <c r="A236">
        <v>235</v>
      </c>
      <c r="B236" t="s">
        <v>594</v>
      </c>
      <c r="C236" t="s">
        <v>595</v>
      </c>
      <c r="D236" t="s">
        <v>3217</v>
      </c>
      <c r="E236" t="s">
        <v>4168</v>
      </c>
      <c r="F236" t="s">
        <v>4131</v>
      </c>
      <c r="G236" t="s">
        <v>4123</v>
      </c>
      <c r="H236" t="s">
        <v>4124</v>
      </c>
      <c r="I236">
        <v>2020</v>
      </c>
      <c r="J236" t="s">
        <v>4125</v>
      </c>
    </row>
    <row r="237" spans="1:10" x14ac:dyDescent="0.25">
      <c r="A237">
        <v>236</v>
      </c>
      <c r="B237" t="s">
        <v>3218</v>
      </c>
      <c r="C237" t="s">
        <v>599</v>
      </c>
      <c r="D237" t="s">
        <v>3219</v>
      </c>
      <c r="E237" t="s">
        <v>4120</v>
      </c>
      <c r="F237" t="s">
        <v>4114</v>
      </c>
      <c r="G237" t="s">
        <v>4148</v>
      </c>
      <c r="H237" t="s">
        <v>2486</v>
      </c>
      <c r="I237">
        <v>2020</v>
      </c>
      <c r="J237" t="s">
        <v>4125</v>
      </c>
    </row>
    <row r="238" spans="1:10" x14ac:dyDescent="0.25">
      <c r="A238">
        <v>237</v>
      </c>
      <c r="B238" t="s">
        <v>601</v>
      </c>
      <c r="C238" t="s">
        <v>602</v>
      </c>
      <c r="D238" t="s">
        <v>3220</v>
      </c>
      <c r="E238" t="s">
        <v>4117</v>
      </c>
      <c r="F238" t="s">
        <v>4114</v>
      </c>
      <c r="G238" t="s">
        <v>4137</v>
      </c>
      <c r="H238" t="s">
        <v>2603</v>
      </c>
      <c r="I238">
        <v>2022</v>
      </c>
      <c r="J238" t="s">
        <v>4125</v>
      </c>
    </row>
    <row r="239" spans="1:10" x14ac:dyDescent="0.25">
      <c r="A239">
        <v>238</v>
      </c>
      <c r="B239" t="s">
        <v>604</v>
      </c>
      <c r="C239" t="s">
        <v>605</v>
      </c>
      <c r="D239" t="s">
        <v>3221</v>
      </c>
      <c r="E239" t="s">
        <v>4158</v>
      </c>
      <c r="F239" t="s">
        <v>4114</v>
      </c>
      <c r="G239" t="s">
        <v>4121</v>
      </c>
      <c r="H239" t="s">
        <v>2603</v>
      </c>
      <c r="I239">
        <v>2018</v>
      </c>
      <c r="J239" t="s">
        <v>4116</v>
      </c>
    </row>
    <row r="240" spans="1:10" x14ac:dyDescent="0.25">
      <c r="A240">
        <v>239</v>
      </c>
      <c r="B240" t="s">
        <v>607</v>
      </c>
      <c r="C240" t="s">
        <v>608</v>
      </c>
      <c r="D240" t="s">
        <v>3222</v>
      </c>
      <c r="E240" t="s">
        <v>4113</v>
      </c>
      <c r="F240" t="s">
        <v>4114</v>
      </c>
      <c r="G240" t="s">
        <v>4148</v>
      </c>
      <c r="H240" t="s">
        <v>2486</v>
      </c>
      <c r="I240">
        <v>2020</v>
      </c>
      <c r="J240" t="s">
        <v>4116</v>
      </c>
    </row>
    <row r="241" spans="1:10" x14ac:dyDescent="0.25">
      <c r="A241">
        <v>240</v>
      </c>
      <c r="B241" t="s">
        <v>3223</v>
      </c>
      <c r="C241" t="s">
        <v>612</v>
      </c>
      <c r="D241" t="s">
        <v>3224</v>
      </c>
      <c r="E241" t="s">
        <v>4113</v>
      </c>
      <c r="F241" t="s">
        <v>4114</v>
      </c>
      <c r="G241" t="s">
        <v>4133</v>
      </c>
      <c r="H241" t="s">
        <v>2494</v>
      </c>
      <c r="I241">
        <v>2014</v>
      </c>
      <c r="J241" t="s">
        <v>4116</v>
      </c>
    </row>
    <row r="242" spans="1:10" x14ac:dyDescent="0.25">
      <c r="A242">
        <v>241</v>
      </c>
      <c r="B242" t="s">
        <v>3225</v>
      </c>
      <c r="C242" t="s">
        <v>616</v>
      </c>
      <c r="D242" t="s">
        <v>3226</v>
      </c>
      <c r="E242" t="s">
        <v>4129</v>
      </c>
      <c r="F242" t="s">
        <v>4114</v>
      </c>
      <c r="G242" t="s">
        <v>4115</v>
      </c>
      <c r="H242" t="s">
        <v>2603</v>
      </c>
      <c r="I242">
        <v>2022</v>
      </c>
      <c r="J242" t="s">
        <v>4125</v>
      </c>
    </row>
    <row r="243" spans="1:10" x14ac:dyDescent="0.25">
      <c r="A243">
        <v>242</v>
      </c>
      <c r="B243" t="s">
        <v>618</v>
      </c>
      <c r="C243" t="s">
        <v>155</v>
      </c>
      <c r="D243" t="s">
        <v>3227</v>
      </c>
      <c r="E243" t="s">
        <v>4130</v>
      </c>
      <c r="F243" t="s">
        <v>4131</v>
      </c>
      <c r="G243" t="s">
        <v>4148</v>
      </c>
      <c r="H243" t="s">
        <v>2486</v>
      </c>
      <c r="I243">
        <v>2013</v>
      </c>
      <c r="J243" t="s">
        <v>4116</v>
      </c>
    </row>
    <row r="244" spans="1:10" x14ac:dyDescent="0.25">
      <c r="A244">
        <v>243</v>
      </c>
      <c r="B244" t="s">
        <v>3228</v>
      </c>
      <c r="C244" t="s">
        <v>621</v>
      </c>
      <c r="D244" t="s">
        <v>3229</v>
      </c>
      <c r="E244" t="s">
        <v>4132</v>
      </c>
      <c r="F244" t="s">
        <v>4114</v>
      </c>
      <c r="G244" t="s">
        <v>4121</v>
      </c>
      <c r="H244" t="s">
        <v>2603</v>
      </c>
      <c r="I244">
        <v>2014</v>
      </c>
      <c r="J244" t="s">
        <v>4116</v>
      </c>
    </row>
    <row r="245" spans="1:10" x14ac:dyDescent="0.25">
      <c r="A245">
        <v>244</v>
      </c>
      <c r="B245" t="s">
        <v>623</v>
      </c>
      <c r="C245" t="s">
        <v>624</v>
      </c>
      <c r="D245" t="s">
        <v>3230</v>
      </c>
      <c r="E245" t="s">
        <v>4138</v>
      </c>
      <c r="F245" t="s">
        <v>4114</v>
      </c>
      <c r="G245" t="s">
        <v>4121</v>
      </c>
      <c r="H245" t="s">
        <v>2603</v>
      </c>
      <c r="I245">
        <v>2021</v>
      </c>
      <c r="J245" t="s">
        <v>4116</v>
      </c>
    </row>
    <row r="246" spans="1:10" x14ac:dyDescent="0.25">
      <c r="A246">
        <v>245</v>
      </c>
      <c r="B246" t="s">
        <v>626</v>
      </c>
      <c r="C246" t="s">
        <v>106</v>
      </c>
      <c r="D246" t="s">
        <v>3231</v>
      </c>
      <c r="E246" t="s">
        <v>4126</v>
      </c>
      <c r="F246" t="s">
        <v>4114</v>
      </c>
      <c r="G246" t="s">
        <v>4115</v>
      </c>
      <c r="H246" t="s">
        <v>2603</v>
      </c>
      <c r="I246">
        <v>2021</v>
      </c>
      <c r="J246" t="s">
        <v>4116</v>
      </c>
    </row>
    <row r="247" spans="1:10" x14ac:dyDescent="0.25">
      <c r="A247">
        <v>246</v>
      </c>
      <c r="B247" t="s">
        <v>627</v>
      </c>
      <c r="C247" t="s">
        <v>628</v>
      </c>
      <c r="D247" t="s">
        <v>3232</v>
      </c>
      <c r="E247" t="s">
        <v>4139</v>
      </c>
      <c r="F247" t="s">
        <v>4131</v>
      </c>
      <c r="G247" t="s">
        <v>4123</v>
      </c>
      <c r="H247" t="s">
        <v>4124</v>
      </c>
      <c r="I247">
        <v>2022</v>
      </c>
      <c r="J247" t="s">
        <v>4116</v>
      </c>
    </row>
    <row r="248" spans="1:10" x14ac:dyDescent="0.25">
      <c r="A248">
        <v>247</v>
      </c>
      <c r="B248" t="s">
        <v>3233</v>
      </c>
      <c r="C248" t="s">
        <v>632</v>
      </c>
      <c r="D248" t="s">
        <v>3234</v>
      </c>
      <c r="E248" t="s">
        <v>4113</v>
      </c>
      <c r="F248" t="s">
        <v>4114</v>
      </c>
      <c r="G248" t="s">
        <v>4148</v>
      </c>
      <c r="H248" t="s">
        <v>2486</v>
      </c>
      <c r="I248">
        <v>2013</v>
      </c>
      <c r="J248" t="s">
        <v>4125</v>
      </c>
    </row>
    <row r="249" spans="1:10" x14ac:dyDescent="0.25">
      <c r="A249">
        <v>248</v>
      </c>
      <c r="B249" t="s">
        <v>2643</v>
      </c>
      <c r="C249" t="s">
        <v>634</v>
      </c>
      <c r="D249" t="s">
        <v>3235</v>
      </c>
      <c r="E249" t="s">
        <v>4113</v>
      </c>
      <c r="F249" t="s">
        <v>4114</v>
      </c>
      <c r="G249" t="s">
        <v>4115</v>
      </c>
      <c r="H249" t="s">
        <v>2603</v>
      </c>
      <c r="I249">
        <v>2023</v>
      </c>
      <c r="J249" t="s">
        <v>4116</v>
      </c>
    </row>
    <row r="250" spans="1:10" x14ac:dyDescent="0.25">
      <c r="A250">
        <v>249</v>
      </c>
      <c r="B250" t="s">
        <v>3236</v>
      </c>
      <c r="C250" t="s">
        <v>467</v>
      </c>
      <c r="D250" t="s">
        <v>3237</v>
      </c>
      <c r="E250" t="s">
        <v>4113</v>
      </c>
      <c r="F250" t="s">
        <v>4114</v>
      </c>
      <c r="G250" t="s">
        <v>4121</v>
      </c>
      <c r="H250" t="s">
        <v>2603</v>
      </c>
      <c r="I250">
        <v>2017</v>
      </c>
      <c r="J250" t="s">
        <v>4116</v>
      </c>
    </row>
    <row r="251" spans="1:10" x14ac:dyDescent="0.25">
      <c r="A251">
        <v>250</v>
      </c>
      <c r="B251" t="s">
        <v>3238</v>
      </c>
      <c r="C251" t="s">
        <v>632</v>
      </c>
      <c r="D251" t="s">
        <v>3239</v>
      </c>
      <c r="E251" t="s">
        <v>4113</v>
      </c>
      <c r="F251" t="s">
        <v>4114</v>
      </c>
      <c r="G251" t="s">
        <v>4148</v>
      </c>
      <c r="H251" t="s">
        <v>2486</v>
      </c>
      <c r="I251">
        <v>2013</v>
      </c>
      <c r="J251" t="s">
        <v>4125</v>
      </c>
    </row>
    <row r="252" spans="1:10" x14ac:dyDescent="0.25">
      <c r="A252">
        <v>251</v>
      </c>
      <c r="B252" t="s">
        <v>3240</v>
      </c>
      <c r="C252" t="s">
        <v>642</v>
      </c>
      <c r="D252" t="s">
        <v>3241</v>
      </c>
      <c r="E252" t="s">
        <v>4113</v>
      </c>
      <c r="F252" t="s">
        <v>4114</v>
      </c>
      <c r="G252" t="s">
        <v>4121</v>
      </c>
      <c r="H252" t="s">
        <v>2603</v>
      </c>
      <c r="I252">
        <v>2021</v>
      </c>
      <c r="J252" t="s">
        <v>4116</v>
      </c>
    </row>
    <row r="253" spans="1:10" x14ac:dyDescent="0.25">
      <c r="A253">
        <v>252</v>
      </c>
      <c r="B253" t="s">
        <v>644</v>
      </c>
      <c r="C253" t="s">
        <v>645</v>
      </c>
      <c r="D253" t="s">
        <v>15</v>
      </c>
      <c r="E253" t="s">
        <v>4135</v>
      </c>
      <c r="F253" t="s">
        <v>4131</v>
      </c>
      <c r="G253" t="s">
        <v>4133</v>
      </c>
      <c r="H253" t="s">
        <v>2494</v>
      </c>
      <c r="I253">
        <v>2020</v>
      </c>
      <c r="J253" t="s">
        <v>4125</v>
      </c>
    </row>
    <row r="254" spans="1:10" x14ac:dyDescent="0.25">
      <c r="A254">
        <v>253</v>
      </c>
      <c r="B254" t="s">
        <v>647</v>
      </c>
      <c r="C254" t="s">
        <v>648</v>
      </c>
      <c r="D254" t="s">
        <v>3242</v>
      </c>
      <c r="E254" t="s">
        <v>4130</v>
      </c>
      <c r="F254" t="s">
        <v>4131</v>
      </c>
      <c r="G254" t="s">
        <v>4133</v>
      </c>
      <c r="H254" t="s">
        <v>2494</v>
      </c>
      <c r="I254">
        <v>2018</v>
      </c>
      <c r="J254" t="s">
        <v>4116</v>
      </c>
    </row>
    <row r="255" spans="1:10" x14ac:dyDescent="0.25">
      <c r="A255">
        <v>254</v>
      </c>
      <c r="B255" t="s">
        <v>650</v>
      </c>
      <c r="C255" t="s">
        <v>651</v>
      </c>
      <c r="D255" t="s">
        <v>3243</v>
      </c>
      <c r="E255" t="s">
        <v>4134</v>
      </c>
      <c r="F255" t="s">
        <v>4114</v>
      </c>
      <c r="G255" t="s">
        <v>4121</v>
      </c>
      <c r="H255" t="s">
        <v>2603</v>
      </c>
      <c r="I255">
        <v>2015</v>
      </c>
      <c r="J255" t="s">
        <v>4125</v>
      </c>
    </row>
    <row r="256" spans="1:10" x14ac:dyDescent="0.25">
      <c r="A256">
        <v>255</v>
      </c>
      <c r="B256" t="s">
        <v>653</v>
      </c>
      <c r="C256" t="s">
        <v>654</v>
      </c>
      <c r="D256" t="s">
        <v>3244</v>
      </c>
      <c r="E256" t="s">
        <v>4132</v>
      </c>
      <c r="F256" t="s">
        <v>4114</v>
      </c>
      <c r="G256" t="s">
        <v>4118</v>
      </c>
      <c r="H256" t="s">
        <v>4119</v>
      </c>
      <c r="I256">
        <v>2018</v>
      </c>
      <c r="J256" t="s">
        <v>4116</v>
      </c>
    </row>
    <row r="257" spans="1:10" x14ac:dyDescent="0.25">
      <c r="A257">
        <v>256</v>
      </c>
      <c r="B257" t="s">
        <v>656</v>
      </c>
      <c r="C257" t="s">
        <v>651</v>
      </c>
      <c r="D257" t="s">
        <v>3245</v>
      </c>
      <c r="E257" t="s">
        <v>4134</v>
      </c>
      <c r="F257" t="s">
        <v>4114</v>
      </c>
      <c r="G257" t="s">
        <v>4121</v>
      </c>
      <c r="H257" t="s">
        <v>2603</v>
      </c>
      <c r="I257">
        <v>2017</v>
      </c>
      <c r="J257" t="s">
        <v>4125</v>
      </c>
    </row>
    <row r="258" spans="1:10" x14ac:dyDescent="0.25">
      <c r="A258">
        <v>257</v>
      </c>
      <c r="B258" t="s">
        <v>657</v>
      </c>
      <c r="C258" t="s">
        <v>658</v>
      </c>
      <c r="D258" t="s">
        <v>3246</v>
      </c>
      <c r="E258" t="s">
        <v>4117</v>
      </c>
      <c r="F258" t="s">
        <v>4114</v>
      </c>
      <c r="G258" t="s">
        <v>4115</v>
      </c>
      <c r="H258" t="s">
        <v>2603</v>
      </c>
      <c r="I258">
        <v>2020</v>
      </c>
      <c r="J258" t="s">
        <v>4125</v>
      </c>
    </row>
    <row r="259" spans="1:10" x14ac:dyDescent="0.25">
      <c r="A259">
        <v>258</v>
      </c>
      <c r="B259" t="s">
        <v>3247</v>
      </c>
      <c r="C259" t="s">
        <v>662</v>
      </c>
      <c r="D259" t="s">
        <v>3248</v>
      </c>
      <c r="E259" t="s">
        <v>4120</v>
      </c>
      <c r="F259" t="s">
        <v>4114</v>
      </c>
      <c r="G259" t="s">
        <v>4148</v>
      </c>
      <c r="H259" t="s">
        <v>2486</v>
      </c>
      <c r="I259">
        <v>2021</v>
      </c>
      <c r="J259" t="s">
        <v>4125</v>
      </c>
    </row>
    <row r="260" spans="1:10" x14ac:dyDescent="0.25">
      <c r="A260">
        <v>259</v>
      </c>
      <c r="B260" t="s">
        <v>3249</v>
      </c>
      <c r="C260" t="s">
        <v>662</v>
      </c>
      <c r="D260" t="s">
        <v>3250</v>
      </c>
      <c r="E260" t="s">
        <v>4120</v>
      </c>
      <c r="F260" t="s">
        <v>4114</v>
      </c>
      <c r="G260" t="s">
        <v>4148</v>
      </c>
      <c r="H260" t="s">
        <v>2486</v>
      </c>
      <c r="I260">
        <v>2017</v>
      </c>
      <c r="J260" t="s">
        <v>4125</v>
      </c>
    </row>
    <row r="261" spans="1:10" x14ac:dyDescent="0.25">
      <c r="A261">
        <v>260</v>
      </c>
      <c r="B261" t="s">
        <v>3251</v>
      </c>
      <c r="C261" t="s">
        <v>668</v>
      </c>
      <c r="D261" t="s">
        <v>3252</v>
      </c>
      <c r="E261" t="s">
        <v>4136</v>
      </c>
      <c r="F261" t="s">
        <v>4114</v>
      </c>
      <c r="G261" t="s">
        <v>4121</v>
      </c>
      <c r="H261" t="s">
        <v>2603</v>
      </c>
      <c r="I261">
        <v>2020</v>
      </c>
      <c r="J261" t="s">
        <v>4125</v>
      </c>
    </row>
    <row r="262" spans="1:10" x14ac:dyDescent="0.25">
      <c r="A262">
        <v>261</v>
      </c>
      <c r="B262" t="s">
        <v>3253</v>
      </c>
      <c r="C262" t="s">
        <v>662</v>
      </c>
      <c r="D262" t="s">
        <v>3254</v>
      </c>
      <c r="E262" t="s">
        <v>4120</v>
      </c>
      <c r="F262" t="s">
        <v>4114</v>
      </c>
      <c r="G262" t="s">
        <v>4148</v>
      </c>
      <c r="H262" t="s">
        <v>2486</v>
      </c>
      <c r="I262">
        <v>2016</v>
      </c>
      <c r="J262" t="s">
        <v>4125</v>
      </c>
    </row>
    <row r="263" spans="1:10" x14ac:dyDescent="0.25">
      <c r="A263">
        <v>262</v>
      </c>
      <c r="B263" t="s">
        <v>3255</v>
      </c>
      <c r="C263" t="s">
        <v>536</v>
      </c>
      <c r="D263" t="s">
        <v>3256</v>
      </c>
      <c r="E263" t="s">
        <v>4149</v>
      </c>
      <c r="F263" t="s">
        <v>4114</v>
      </c>
      <c r="G263" t="s">
        <v>4121</v>
      </c>
      <c r="H263" t="s">
        <v>2603</v>
      </c>
      <c r="I263">
        <v>2016</v>
      </c>
      <c r="J263" t="s">
        <v>4125</v>
      </c>
    </row>
    <row r="264" spans="1:10" x14ac:dyDescent="0.25">
      <c r="A264">
        <v>263</v>
      </c>
      <c r="B264" t="s">
        <v>674</v>
      </c>
      <c r="C264" t="s">
        <v>675</v>
      </c>
      <c r="D264" t="s">
        <v>3257</v>
      </c>
      <c r="E264" t="s">
        <v>4169</v>
      </c>
      <c r="F264" t="s">
        <v>4131</v>
      </c>
      <c r="G264" t="s">
        <v>4118</v>
      </c>
      <c r="H264" t="s">
        <v>4119</v>
      </c>
      <c r="I264">
        <v>2017</v>
      </c>
      <c r="J264" t="s">
        <v>4125</v>
      </c>
    </row>
    <row r="265" spans="1:10" x14ac:dyDescent="0.25">
      <c r="A265">
        <v>264</v>
      </c>
      <c r="B265" t="s">
        <v>677</v>
      </c>
      <c r="C265" t="s">
        <v>678</v>
      </c>
      <c r="D265" t="s">
        <v>3258</v>
      </c>
      <c r="E265" t="s">
        <v>4155</v>
      </c>
      <c r="F265" t="s">
        <v>4131</v>
      </c>
      <c r="G265" t="s">
        <v>4127</v>
      </c>
      <c r="H265" t="s">
        <v>2603</v>
      </c>
      <c r="I265">
        <v>2022</v>
      </c>
      <c r="J265" t="s">
        <v>4125</v>
      </c>
    </row>
    <row r="266" spans="1:10" x14ac:dyDescent="0.25">
      <c r="A266">
        <v>265</v>
      </c>
      <c r="B266" t="s">
        <v>680</v>
      </c>
      <c r="C266" t="s">
        <v>681</v>
      </c>
      <c r="D266" t="s">
        <v>3259</v>
      </c>
      <c r="E266" t="s">
        <v>4117</v>
      </c>
      <c r="F266" t="s">
        <v>4114</v>
      </c>
      <c r="G266" t="s">
        <v>4123</v>
      </c>
      <c r="H266" t="s">
        <v>4124</v>
      </c>
      <c r="I266">
        <v>2020</v>
      </c>
      <c r="J266" t="s">
        <v>4116</v>
      </c>
    </row>
    <row r="267" spans="1:10" x14ac:dyDescent="0.25">
      <c r="A267">
        <v>266</v>
      </c>
      <c r="B267" t="s">
        <v>683</v>
      </c>
      <c r="C267" t="s">
        <v>684</v>
      </c>
      <c r="D267" t="s">
        <v>3260</v>
      </c>
      <c r="E267" t="s">
        <v>4134</v>
      </c>
      <c r="F267" t="s">
        <v>4114</v>
      </c>
      <c r="G267" t="s">
        <v>4121</v>
      </c>
      <c r="H267" t="s">
        <v>2603</v>
      </c>
      <c r="I267">
        <v>2017</v>
      </c>
      <c r="J267" t="s">
        <v>4125</v>
      </c>
    </row>
    <row r="268" spans="1:10" x14ac:dyDescent="0.25">
      <c r="A268">
        <v>267</v>
      </c>
      <c r="B268" t="s">
        <v>686</v>
      </c>
      <c r="C268" t="s">
        <v>681</v>
      </c>
      <c r="D268" t="s">
        <v>3261</v>
      </c>
      <c r="E268" t="s">
        <v>4117</v>
      </c>
      <c r="F268" t="s">
        <v>4114</v>
      </c>
      <c r="G268" t="s">
        <v>4123</v>
      </c>
      <c r="H268" t="s">
        <v>4124</v>
      </c>
      <c r="I268">
        <v>2019</v>
      </c>
      <c r="J268" t="s">
        <v>4116</v>
      </c>
    </row>
    <row r="269" spans="1:10" x14ac:dyDescent="0.25">
      <c r="A269">
        <v>268</v>
      </c>
      <c r="B269" t="s">
        <v>687</v>
      </c>
      <c r="C269" t="s">
        <v>18</v>
      </c>
      <c r="D269" t="s">
        <v>3262</v>
      </c>
      <c r="E269" t="s">
        <v>4130</v>
      </c>
      <c r="F269" t="s">
        <v>4131</v>
      </c>
      <c r="G269" t="s">
        <v>4133</v>
      </c>
      <c r="H269" t="s">
        <v>2494</v>
      </c>
      <c r="I269">
        <v>2022</v>
      </c>
      <c r="J269" t="s">
        <v>4116</v>
      </c>
    </row>
    <row r="270" spans="1:10" x14ac:dyDescent="0.25">
      <c r="A270">
        <v>269</v>
      </c>
      <c r="B270" t="s">
        <v>2652</v>
      </c>
      <c r="C270" t="s">
        <v>688</v>
      </c>
      <c r="D270" t="s">
        <v>3263</v>
      </c>
      <c r="E270" t="s">
        <v>4155</v>
      </c>
      <c r="F270" t="s">
        <v>4131</v>
      </c>
      <c r="G270" t="s">
        <v>4121</v>
      </c>
      <c r="H270" t="s">
        <v>2603</v>
      </c>
      <c r="I270">
        <v>1995</v>
      </c>
      <c r="J270" t="s">
        <v>4125</v>
      </c>
    </row>
    <row r="271" spans="1:10" x14ac:dyDescent="0.25">
      <c r="A271">
        <v>270</v>
      </c>
      <c r="B271" t="s">
        <v>690</v>
      </c>
      <c r="C271" t="s">
        <v>691</v>
      </c>
      <c r="D271" t="s">
        <v>3264</v>
      </c>
      <c r="E271" t="s">
        <v>4113</v>
      </c>
      <c r="F271" t="s">
        <v>4114</v>
      </c>
      <c r="G271" t="s">
        <v>4148</v>
      </c>
      <c r="H271" t="s">
        <v>2486</v>
      </c>
      <c r="I271">
        <v>2003</v>
      </c>
      <c r="J271" t="s">
        <v>4116</v>
      </c>
    </row>
    <row r="272" spans="1:10" x14ac:dyDescent="0.25">
      <c r="A272">
        <v>271</v>
      </c>
      <c r="B272" t="s">
        <v>3265</v>
      </c>
      <c r="C272" t="s">
        <v>197</v>
      </c>
      <c r="D272" t="s">
        <v>3266</v>
      </c>
      <c r="E272" t="s">
        <v>4117</v>
      </c>
      <c r="F272" t="s">
        <v>4114</v>
      </c>
      <c r="G272" t="s">
        <v>4115</v>
      </c>
      <c r="H272" t="s">
        <v>2603</v>
      </c>
      <c r="I272">
        <v>2021</v>
      </c>
      <c r="J272" t="s">
        <v>4116</v>
      </c>
    </row>
    <row r="273" spans="1:10" x14ac:dyDescent="0.25">
      <c r="A273">
        <v>272</v>
      </c>
      <c r="B273" t="s">
        <v>695</v>
      </c>
      <c r="C273" t="s">
        <v>568</v>
      </c>
      <c r="D273" t="s">
        <v>3267</v>
      </c>
      <c r="E273" t="s">
        <v>4113</v>
      </c>
      <c r="F273" t="s">
        <v>4114</v>
      </c>
      <c r="G273" t="s">
        <v>4133</v>
      </c>
      <c r="H273" t="s">
        <v>2494</v>
      </c>
      <c r="I273">
        <v>2022</v>
      </c>
      <c r="J273" t="s">
        <v>4116</v>
      </c>
    </row>
    <row r="274" spans="1:10" x14ac:dyDescent="0.25">
      <c r="A274">
        <v>273</v>
      </c>
      <c r="B274" t="s">
        <v>696</v>
      </c>
      <c r="C274" t="s">
        <v>573</v>
      </c>
      <c r="D274" t="s">
        <v>3268</v>
      </c>
      <c r="E274" t="s">
        <v>4126</v>
      </c>
      <c r="F274" t="s">
        <v>4114</v>
      </c>
      <c r="G274" t="s">
        <v>4159</v>
      </c>
      <c r="H274" t="s">
        <v>4160</v>
      </c>
      <c r="I274">
        <v>2020</v>
      </c>
      <c r="J274" t="s">
        <v>4125</v>
      </c>
    </row>
    <row r="275" spans="1:10" x14ac:dyDescent="0.25">
      <c r="A275">
        <v>274</v>
      </c>
      <c r="B275" t="s">
        <v>3269</v>
      </c>
      <c r="C275" t="s">
        <v>197</v>
      </c>
      <c r="D275" t="s">
        <v>3270</v>
      </c>
      <c r="E275" t="s">
        <v>4117</v>
      </c>
      <c r="F275" t="s">
        <v>4114</v>
      </c>
      <c r="G275" t="s">
        <v>4115</v>
      </c>
      <c r="H275" t="s">
        <v>2603</v>
      </c>
      <c r="I275">
        <v>2020</v>
      </c>
      <c r="J275" t="s">
        <v>4116</v>
      </c>
    </row>
    <row r="276" spans="1:10" x14ac:dyDescent="0.25">
      <c r="A276">
        <v>275</v>
      </c>
      <c r="B276" t="s">
        <v>699</v>
      </c>
      <c r="C276" t="s">
        <v>700</v>
      </c>
      <c r="D276" t="s">
        <v>3271</v>
      </c>
      <c r="E276" t="s">
        <v>4140</v>
      </c>
      <c r="F276" t="s">
        <v>4131</v>
      </c>
      <c r="G276" t="s">
        <v>4118</v>
      </c>
      <c r="H276" t="s">
        <v>4119</v>
      </c>
      <c r="I276">
        <v>2014</v>
      </c>
      <c r="J276" t="s">
        <v>4116</v>
      </c>
    </row>
    <row r="277" spans="1:10" x14ac:dyDescent="0.25">
      <c r="A277">
        <v>276</v>
      </c>
      <c r="B277" t="s">
        <v>3272</v>
      </c>
      <c r="C277" t="s">
        <v>359</v>
      </c>
      <c r="D277" t="s">
        <v>3273</v>
      </c>
      <c r="E277" t="s">
        <v>4117</v>
      </c>
      <c r="F277" t="s">
        <v>4114</v>
      </c>
      <c r="G277" t="s">
        <v>4142</v>
      </c>
      <c r="H277" t="s">
        <v>4143</v>
      </c>
      <c r="I277">
        <v>2022</v>
      </c>
      <c r="J277" t="s">
        <v>4116</v>
      </c>
    </row>
    <row r="278" spans="1:10" x14ac:dyDescent="0.25">
      <c r="A278">
        <v>277</v>
      </c>
      <c r="B278" t="s">
        <v>704</v>
      </c>
      <c r="C278" t="s">
        <v>705</v>
      </c>
      <c r="D278" t="s">
        <v>3274</v>
      </c>
      <c r="E278" t="s">
        <v>4117</v>
      </c>
      <c r="F278" t="s">
        <v>4114</v>
      </c>
      <c r="G278" t="s">
        <v>4115</v>
      </c>
      <c r="H278" t="s">
        <v>2603</v>
      </c>
      <c r="I278">
        <v>2018</v>
      </c>
      <c r="J278" t="s">
        <v>4116</v>
      </c>
    </row>
    <row r="279" spans="1:10" x14ac:dyDescent="0.25">
      <c r="A279">
        <v>278</v>
      </c>
      <c r="B279" t="s">
        <v>3275</v>
      </c>
      <c r="C279" t="s">
        <v>90</v>
      </c>
      <c r="D279" t="s">
        <v>3276</v>
      </c>
      <c r="E279" t="s">
        <v>4129</v>
      </c>
      <c r="F279" t="s">
        <v>4114</v>
      </c>
      <c r="G279" t="s">
        <v>4115</v>
      </c>
      <c r="H279" t="s">
        <v>2603</v>
      </c>
      <c r="I279">
        <v>1979</v>
      </c>
      <c r="J279" t="s">
        <v>4116</v>
      </c>
    </row>
    <row r="280" spans="1:10" x14ac:dyDescent="0.25">
      <c r="A280">
        <v>279</v>
      </c>
      <c r="B280" t="s">
        <v>709</v>
      </c>
      <c r="C280" t="s">
        <v>710</v>
      </c>
      <c r="D280" t="s">
        <v>3277</v>
      </c>
      <c r="E280" t="s">
        <v>4113</v>
      </c>
      <c r="F280" t="s">
        <v>4114</v>
      </c>
      <c r="G280" t="s">
        <v>4121</v>
      </c>
      <c r="H280" t="s">
        <v>2603</v>
      </c>
      <c r="I280">
        <v>2019</v>
      </c>
      <c r="J280" t="s">
        <v>4116</v>
      </c>
    </row>
    <row r="281" spans="1:10" x14ac:dyDescent="0.25">
      <c r="A281">
        <v>280</v>
      </c>
      <c r="B281" t="s">
        <v>712</v>
      </c>
      <c r="C281" t="s">
        <v>713</v>
      </c>
      <c r="D281" t="s">
        <v>3278</v>
      </c>
      <c r="E281" t="s">
        <v>4126</v>
      </c>
      <c r="F281" t="s">
        <v>4114</v>
      </c>
      <c r="G281" t="s">
        <v>4170</v>
      </c>
      <c r="H281" t="s">
        <v>4171</v>
      </c>
      <c r="I281">
        <v>1967</v>
      </c>
      <c r="J281" t="s">
        <v>4116</v>
      </c>
    </row>
    <row r="282" spans="1:10" x14ac:dyDescent="0.25">
      <c r="A282">
        <v>281</v>
      </c>
      <c r="B282" t="s">
        <v>715</v>
      </c>
      <c r="C282" t="s">
        <v>716</v>
      </c>
      <c r="D282" t="s">
        <v>3279</v>
      </c>
      <c r="E282" t="s">
        <v>4117</v>
      </c>
      <c r="F282" t="s">
        <v>4114</v>
      </c>
      <c r="G282" t="s">
        <v>4133</v>
      </c>
      <c r="H282" t="s">
        <v>2494</v>
      </c>
      <c r="I282">
        <v>2021</v>
      </c>
      <c r="J282" t="s">
        <v>4116</v>
      </c>
    </row>
    <row r="283" spans="1:10" x14ac:dyDescent="0.25">
      <c r="A283">
        <v>282</v>
      </c>
      <c r="B283" t="s">
        <v>718</v>
      </c>
      <c r="C283" t="s">
        <v>332</v>
      </c>
      <c r="D283" t="s">
        <v>3280</v>
      </c>
      <c r="E283" t="s">
        <v>4129</v>
      </c>
      <c r="F283" t="s">
        <v>4114</v>
      </c>
      <c r="G283" t="s">
        <v>4123</v>
      </c>
      <c r="H283" t="s">
        <v>4124</v>
      </c>
      <c r="I283">
        <v>2022</v>
      </c>
      <c r="J283" t="s">
        <v>4116</v>
      </c>
    </row>
    <row r="284" spans="1:10" x14ac:dyDescent="0.25">
      <c r="A284">
        <v>283</v>
      </c>
      <c r="B284" t="s">
        <v>3281</v>
      </c>
      <c r="C284" t="s">
        <v>422</v>
      </c>
      <c r="D284" t="s">
        <v>3282</v>
      </c>
      <c r="E284" t="s">
        <v>4136</v>
      </c>
      <c r="F284" t="s">
        <v>4114</v>
      </c>
      <c r="G284" t="s">
        <v>4121</v>
      </c>
      <c r="H284" t="s">
        <v>2603</v>
      </c>
      <c r="I284">
        <v>2012</v>
      </c>
      <c r="J284" t="s">
        <v>4125</v>
      </c>
    </row>
    <row r="285" spans="1:10" x14ac:dyDescent="0.25">
      <c r="A285">
        <v>284</v>
      </c>
      <c r="B285" t="s">
        <v>721</v>
      </c>
      <c r="C285" t="s">
        <v>722</v>
      </c>
      <c r="D285" t="s">
        <v>3283</v>
      </c>
      <c r="E285" t="s">
        <v>4113</v>
      </c>
      <c r="F285" t="s">
        <v>4114</v>
      </c>
      <c r="G285" t="s">
        <v>4121</v>
      </c>
      <c r="H285" t="s">
        <v>2603</v>
      </c>
      <c r="I285">
        <v>1957</v>
      </c>
      <c r="J285" t="s">
        <v>4116</v>
      </c>
    </row>
    <row r="286" spans="1:10" x14ac:dyDescent="0.25">
      <c r="A286">
        <v>285</v>
      </c>
      <c r="B286" t="s">
        <v>724</v>
      </c>
      <c r="C286" t="s">
        <v>163</v>
      </c>
      <c r="D286" t="s">
        <v>3284</v>
      </c>
      <c r="E286" t="s">
        <v>4138</v>
      </c>
      <c r="F286" t="s">
        <v>4114</v>
      </c>
      <c r="G286" t="s">
        <v>4141</v>
      </c>
      <c r="H286" t="s">
        <v>2603</v>
      </c>
      <c r="I286">
        <v>2019</v>
      </c>
      <c r="J286" t="s">
        <v>4125</v>
      </c>
    </row>
    <row r="287" spans="1:10" x14ac:dyDescent="0.25">
      <c r="A287">
        <v>286</v>
      </c>
      <c r="B287" t="s">
        <v>725</v>
      </c>
      <c r="C287" t="s">
        <v>726</v>
      </c>
      <c r="D287" t="s">
        <v>3285</v>
      </c>
      <c r="E287" t="s">
        <v>4172</v>
      </c>
      <c r="F287" t="s">
        <v>4131</v>
      </c>
      <c r="G287" t="s">
        <v>4148</v>
      </c>
      <c r="H287" t="s">
        <v>2486</v>
      </c>
      <c r="I287">
        <v>2020</v>
      </c>
      <c r="J287" t="s">
        <v>4116</v>
      </c>
    </row>
    <row r="288" spans="1:10" x14ac:dyDescent="0.25">
      <c r="A288">
        <v>287</v>
      </c>
      <c r="B288" t="s">
        <v>3286</v>
      </c>
      <c r="C288" t="s">
        <v>730</v>
      </c>
      <c r="D288" t="s">
        <v>3287</v>
      </c>
      <c r="E288" t="s">
        <v>4136</v>
      </c>
      <c r="F288" t="s">
        <v>4114</v>
      </c>
      <c r="G288" t="s">
        <v>4121</v>
      </c>
      <c r="H288" t="s">
        <v>2603</v>
      </c>
      <c r="I288">
        <v>2010</v>
      </c>
      <c r="J288" t="s">
        <v>4125</v>
      </c>
    </row>
    <row r="289" spans="1:10" x14ac:dyDescent="0.25">
      <c r="A289">
        <v>288</v>
      </c>
      <c r="B289" t="s">
        <v>732</v>
      </c>
      <c r="C289" t="s">
        <v>733</v>
      </c>
      <c r="D289" t="s">
        <v>3288</v>
      </c>
      <c r="E289" t="s">
        <v>4158</v>
      </c>
      <c r="F289" t="s">
        <v>4114</v>
      </c>
      <c r="G289" t="s">
        <v>4123</v>
      </c>
      <c r="H289" t="s">
        <v>4124</v>
      </c>
      <c r="I289">
        <v>2010</v>
      </c>
      <c r="J289" t="s">
        <v>4116</v>
      </c>
    </row>
    <row r="290" spans="1:10" x14ac:dyDescent="0.25">
      <c r="A290">
        <v>289</v>
      </c>
      <c r="B290" t="s">
        <v>735</v>
      </c>
      <c r="C290" t="s">
        <v>736</v>
      </c>
      <c r="D290" t="s">
        <v>3289</v>
      </c>
      <c r="E290" t="s">
        <v>4126</v>
      </c>
      <c r="F290" t="s">
        <v>4114</v>
      </c>
      <c r="G290" t="s">
        <v>4121</v>
      </c>
      <c r="H290" t="s">
        <v>2603</v>
      </c>
      <c r="I290">
        <v>1980</v>
      </c>
      <c r="J290" t="s">
        <v>4116</v>
      </c>
    </row>
    <row r="291" spans="1:10" x14ac:dyDescent="0.25">
      <c r="A291">
        <v>290</v>
      </c>
      <c r="B291" t="s">
        <v>3290</v>
      </c>
      <c r="C291" t="s">
        <v>133</v>
      </c>
      <c r="D291" t="s">
        <v>3291</v>
      </c>
      <c r="E291" t="s">
        <v>4120</v>
      </c>
      <c r="F291" t="s">
        <v>4114</v>
      </c>
      <c r="G291" t="s">
        <v>4115</v>
      </c>
      <c r="H291" t="s">
        <v>2603</v>
      </c>
      <c r="I291">
        <v>2022</v>
      </c>
      <c r="J291" t="s">
        <v>4125</v>
      </c>
    </row>
    <row r="292" spans="1:10" x14ac:dyDescent="0.25">
      <c r="A292">
        <v>291</v>
      </c>
      <c r="B292" t="s">
        <v>740</v>
      </c>
      <c r="C292" t="s">
        <v>741</v>
      </c>
      <c r="D292" t="s">
        <v>3292</v>
      </c>
      <c r="E292" t="s">
        <v>4155</v>
      </c>
      <c r="F292" t="s">
        <v>4131</v>
      </c>
      <c r="G292" t="s">
        <v>4115</v>
      </c>
      <c r="H292" t="s">
        <v>2603</v>
      </c>
      <c r="I292">
        <v>2021</v>
      </c>
      <c r="J292" t="s">
        <v>4116</v>
      </c>
    </row>
    <row r="293" spans="1:10" x14ac:dyDescent="0.25">
      <c r="A293">
        <v>292</v>
      </c>
      <c r="B293" t="s">
        <v>743</v>
      </c>
      <c r="C293" t="s">
        <v>744</v>
      </c>
      <c r="D293" t="s">
        <v>3293</v>
      </c>
      <c r="E293" t="s">
        <v>4158</v>
      </c>
      <c r="F293" t="s">
        <v>4114</v>
      </c>
      <c r="G293" t="s">
        <v>4115</v>
      </c>
      <c r="H293" t="s">
        <v>2603</v>
      </c>
      <c r="I293">
        <v>2013</v>
      </c>
      <c r="J293" t="s">
        <v>4116</v>
      </c>
    </row>
    <row r="294" spans="1:10" x14ac:dyDescent="0.25">
      <c r="A294">
        <v>293</v>
      </c>
      <c r="B294" t="s">
        <v>746</v>
      </c>
      <c r="C294" t="s">
        <v>747</v>
      </c>
      <c r="D294" t="s">
        <v>3294</v>
      </c>
      <c r="E294" t="s">
        <v>4158</v>
      </c>
      <c r="F294" t="s">
        <v>4114</v>
      </c>
      <c r="G294" t="s">
        <v>4123</v>
      </c>
      <c r="H294" t="s">
        <v>4124</v>
      </c>
      <c r="I294">
        <v>2018</v>
      </c>
      <c r="J294" t="s">
        <v>4116</v>
      </c>
    </row>
    <row r="295" spans="1:10" x14ac:dyDescent="0.25">
      <c r="A295">
        <v>294</v>
      </c>
      <c r="B295" t="s">
        <v>749</v>
      </c>
      <c r="C295" t="s">
        <v>750</v>
      </c>
      <c r="D295" t="s">
        <v>3295</v>
      </c>
      <c r="E295" t="s">
        <v>4113</v>
      </c>
      <c r="F295" t="s">
        <v>4114</v>
      </c>
      <c r="G295" t="s">
        <v>4121</v>
      </c>
      <c r="H295" t="s">
        <v>2603</v>
      </c>
      <c r="I295">
        <v>2019</v>
      </c>
      <c r="J295" t="s">
        <v>4116</v>
      </c>
    </row>
    <row r="296" spans="1:10" x14ac:dyDescent="0.25">
      <c r="A296">
        <v>295</v>
      </c>
      <c r="B296" t="s">
        <v>752</v>
      </c>
      <c r="C296" t="s">
        <v>359</v>
      </c>
      <c r="D296" t="s">
        <v>3296</v>
      </c>
      <c r="E296" t="s">
        <v>4117</v>
      </c>
      <c r="F296" t="s">
        <v>4114</v>
      </c>
      <c r="G296" t="s">
        <v>4142</v>
      </c>
      <c r="H296" t="s">
        <v>4143</v>
      </c>
      <c r="I296">
        <v>2018</v>
      </c>
      <c r="J296" t="s">
        <v>4116</v>
      </c>
    </row>
    <row r="297" spans="1:10" x14ac:dyDescent="0.25">
      <c r="A297">
        <v>296</v>
      </c>
      <c r="B297" t="s">
        <v>753</v>
      </c>
      <c r="C297" t="s">
        <v>754</v>
      </c>
      <c r="D297" t="s">
        <v>3297</v>
      </c>
      <c r="E297" t="s">
        <v>4120</v>
      </c>
      <c r="F297" t="s">
        <v>4114</v>
      </c>
      <c r="G297" t="s">
        <v>4148</v>
      </c>
      <c r="H297" t="s">
        <v>2486</v>
      </c>
      <c r="I297">
        <v>2012</v>
      </c>
      <c r="J297" t="s">
        <v>4125</v>
      </c>
    </row>
    <row r="298" spans="1:10" x14ac:dyDescent="0.25">
      <c r="A298">
        <v>297</v>
      </c>
      <c r="B298" t="s">
        <v>756</v>
      </c>
      <c r="C298" t="s">
        <v>757</v>
      </c>
      <c r="D298" t="s">
        <v>3298</v>
      </c>
      <c r="E298" t="s">
        <v>4138</v>
      </c>
      <c r="F298" t="s">
        <v>4114</v>
      </c>
      <c r="G298" t="s">
        <v>4127</v>
      </c>
      <c r="H298" t="s">
        <v>4128</v>
      </c>
      <c r="I298">
        <v>1972</v>
      </c>
      <c r="J298" t="s">
        <v>4116</v>
      </c>
    </row>
    <row r="299" spans="1:10" x14ac:dyDescent="0.25">
      <c r="A299">
        <v>298</v>
      </c>
      <c r="B299" t="s">
        <v>759</v>
      </c>
      <c r="C299" t="s">
        <v>760</v>
      </c>
      <c r="D299" t="s">
        <v>3299</v>
      </c>
      <c r="E299" t="s">
        <v>4120</v>
      </c>
      <c r="F299" t="s">
        <v>4114</v>
      </c>
      <c r="G299" t="s">
        <v>4148</v>
      </c>
      <c r="H299" t="s">
        <v>2486</v>
      </c>
      <c r="I299">
        <v>2019</v>
      </c>
      <c r="J299" t="s">
        <v>4116</v>
      </c>
    </row>
    <row r="300" spans="1:10" x14ac:dyDescent="0.25">
      <c r="A300">
        <v>299</v>
      </c>
      <c r="B300" t="s">
        <v>762</v>
      </c>
      <c r="C300" t="s">
        <v>763</v>
      </c>
      <c r="D300" t="s">
        <v>3300</v>
      </c>
      <c r="E300" t="s">
        <v>4155</v>
      </c>
      <c r="F300" t="s">
        <v>4131</v>
      </c>
      <c r="G300" t="s">
        <v>4161</v>
      </c>
      <c r="H300" t="s">
        <v>2603</v>
      </c>
      <c r="I300">
        <v>2015</v>
      </c>
      <c r="J300" t="s">
        <v>4125</v>
      </c>
    </row>
    <row r="301" spans="1:10" x14ac:dyDescent="0.25">
      <c r="A301">
        <v>300</v>
      </c>
      <c r="B301" t="s">
        <v>765</v>
      </c>
      <c r="C301" t="s">
        <v>250</v>
      </c>
      <c r="D301" t="s">
        <v>3301</v>
      </c>
      <c r="E301" t="s">
        <v>4113</v>
      </c>
      <c r="F301" t="s">
        <v>4114</v>
      </c>
      <c r="G301" t="s">
        <v>4150</v>
      </c>
      <c r="H301" t="s">
        <v>4151</v>
      </c>
      <c r="I301">
        <v>2010</v>
      </c>
      <c r="J301" t="s">
        <v>4116</v>
      </c>
    </row>
    <row r="302" spans="1:10" x14ac:dyDescent="0.25">
      <c r="A302">
        <v>301</v>
      </c>
      <c r="B302" t="s">
        <v>766</v>
      </c>
      <c r="C302" t="s">
        <v>767</v>
      </c>
      <c r="D302" t="s">
        <v>3302</v>
      </c>
      <c r="E302" t="s">
        <v>4157</v>
      </c>
      <c r="F302" t="s">
        <v>4131</v>
      </c>
      <c r="G302" t="s">
        <v>4173</v>
      </c>
      <c r="H302" t="s">
        <v>4151</v>
      </c>
      <c r="I302">
        <v>1997</v>
      </c>
      <c r="J302" t="s">
        <v>4125</v>
      </c>
    </row>
    <row r="303" spans="1:10" x14ac:dyDescent="0.25">
      <c r="A303">
        <v>302</v>
      </c>
      <c r="B303" t="s">
        <v>769</v>
      </c>
      <c r="C303" t="s">
        <v>770</v>
      </c>
      <c r="D303" t="s">
        <v>3303</v>
      </c>
      <c r="E303" t="s">
        <v>4120</v>
      </c>
      <c r="F303" t="s">
        <v>4114</v>
      </c>
      <c r="G303" t="s">
        <v>4121</v>
      </c>
      <c r="H303" t="s">
        <v>2603</v>
      </c>
      <c r="I303">
        <v>2015</v>
      </c>
      <c r="J303" t="s">
        <v>4125</v>
      </c>
    </row>
    <row r="304" spans="1:10" x14ac:dyDescent="0.25">
      <c r="A304">
        <v>303</v>
      </c>
      <c r="B304" t="s">
        <v>772</v>
      </c>
      <c r="C304" t="s">
        <v>35</v>
      </c>
      <c r="D304" t="s">
        <v>3304</v>
      </c>
      <c r="E304" t="s">
        <v>4117</v>
      </c>
      <c r="F304" t="s">
        <v>4114</v>
      </c>
      <c r="G304" t="s">
        <v>4118</v>
      </c>
      <c r="H304" t="s">
        <v>4119</v>
      </c>
      <c r="I304">
        <v>2020</v>
      </c>
      <c r="J304" t="s">
        <v>4125</v>
      </c>
    </row>
    <row r="305" spans="1:10" x14ac:dyDescent="0.25">
      <c r="A305">
        <v>304</v>
      </c>
      <c r="B305" t="s">
        <v>773</v>
      </c>
      <c r="C305" t="s">
        <v>774</v>
      </c>
      <c r="D305" t="s">
        <v>3305</v>
      </c>
      <c r="E305" t="s">
        <v>4140</v>
      </c>
      <c r="F305" t="s">
        <v>4131</v>
      </c>
      <c r="G305" t="s">
        <v>4174</v>
      </c>
      <c r="H305" t="s">
        <v>2603</v>
      </c>
      <c r="I305">
        <v>2014</v>
      </c>
      <c r="J305" t="s">
        <v>4116</v>
      </c>
    </row>
    <row r="306" spans="1:10" x14ac:dyDescent="0.25">
      <c r="A306">
        <v>305</v>
      </c>
      <c r="B306" t="s">
        <v>3306</v>
      </c>
      <c r="C306" t="s">
        <v>777</v>
      </c>
      <c r="D306" t="s">
        <v>3307</v>
      </c>
      <c r="E306" t="s">
        <v>4113</v>
      </c>
      <c r="F306" t="s">
        <v>4114</v>
      </c>
      <c r="G306" t="s">
        <v>4121</v>
      </c>
      <c r="H306" t="s">
        <v>2603</v>
      </c>
      <c r="I306">
        <v>1952</v>
      </c>
      <c r="J306" t="s">
        <v>4116</v>
      </c>
    </row>
    <row r="307" spans="1:10" x14ac:dyDescent="0.25">
      <c r="A307">
        <v>306</v>
      </c>
      <c r="B307" t="s">
        <v>779</v>
      </c>
      <c r="C307" t="s">
        <v>302</v>
      </c>
      <c r="D307" t="s">
        <v>3308</v>
      </c>
      <c r="E307" t="s">
        <v>4138</v>
      </c>
      <c r="F307" t="s">
        <v>4114</v>
      </c>
      <c r="G307" t="s">
        <v>4115</v>
      </c>
      <c r="H307" t="s">
        <v>2603</v>
      </c>
      <c r="I307">
        <v>2017</v>
      </c>
      <c r="J307" t="s">
        <v>4116</v>
      </c>
    </row>
    <row r="308" spans="1:10" x14ac:dyDescent="0.25">
      <c r="A308">
        <v>307</v>
      </c>
      <c r="B308" t="s">
        <v>3309</v>
      </c>
      <c r="C308" t="s">
        <v>777</v>
      </c>
      <c r="D308" t="s">
        <v>3310</v>
      </c>
      <c r="E308" t="s">
        <v>4113</v>
      </c>
      <c r="F308" t="s">
        <v>4114</v>
      </c>
      <c r="G308" t="s">
        <v>4121</v>
      </c>
      <c r="H308" t="s">
        <v>2603</v>
      </c>
      <c r="I308">
        <v>1951</v>
      </c>
      <c r="J308" t="s">
        <v>4116</v>
      </c>
    </row>
    <row r="309" spans="1:10" x14ac:dyDescent="0.25">
      <c r="A309">
        <v>308</v>
      </c>
      <c r="B309" t="s">
        <v>781</v>
      </c>
      <c r="C309" t="s">
        <v>782</v>
      </c>
      <c r="D309" t="s">
        <v>3311</v>
      </c>
      <c r="E309" t="s">
        <v>4155</v>
      </c>
      <c r="F309" t="s">
        <v>4131</v>
      </c>
      <c r="G309" t="s">
        <v>4118</v>
      </c>
      <c r="H309" t="s">
        <v>2603</v>
      </c>
      <c r="I309">
        <v>2018</v>
      </c>
      <c r="J309" t="s">
        <v>4116</v>
      </c>
    </row>
    <row r="310" spans="1:10" x14ac:dyDescent="0.25">
      <c r="A310">
        <v>309</v>
      </c>
      <c r="B310" t="s">
        <v>784</v>
      </c>
      <c r="C310" t="s">
        <v>785</v>
      </c>
      <c r="D310" t="s">
        <v>3312</v>
      </c>
      <c r="E310" t="s">
        <v>4134</v>
      </c>
      <c r="F310" t="s">
        <v>4114</v>
      </c>
      <c r="G310" t="s">
        <v>4133</v>
      </c>
      <c r="H310" t="s">
        <v>2494</v>
      </c>
      <c r="I310">
        <v>2022</v>
      </c>
      <c r="J310" t="s">
        <v>4116</v>
      </c>
    </row>
    <row r="311" spans="1:10" x14ac:dyDescent="0.25">
      <c r="A311">
        <v>310</v>
      </c>
      <c r="B311" t="s">
        <v>787</v>
      </c>
      <c r="C311" t="s">
        <v>215</v>
      </c>
      <c r="D311" t="s">
        <v>3313</v>
      </c>
      <c r="E311" t="s">
        <v>4117</v>
      </c>
      <c r="F311" t="s">
        <v>4114</v>
      </c>
      <c r="G311" t="s">
        <v>4133</v>
      </c>
      <c r="H311" t="s">
        <v>2494</v>
      </c>
      <c r="I311">
        <v>2010</v>
      </c>
      <c r="J311" t="s">
        <v>4116</v>
      </c>
    </row>
    <row r="312" spans="1:10" x14ac:dyDescent="0.25">
      <c r="A312">
        <v>311</v>
      </c>
      <c r="B312" t="s">
        <v>788</v>
      </c>
      <c r="C312" t="s">
        <v>789</v>
      </c>
      <c r="D312" t="s">
        <v>3314</v>
      </c>
      <c r="E312" t="s">
        <v>4130</v>
      </c>
      <c r="F312" t="s">
        <v>4131</v>
      </c>
      <c r="G312" t="s">
        <v>4115</v>
      </c>
      <c r="H312" t="s">
        <v>2603</v>
      </c>
      <c r="I312">
        <v>2009</v>
      </c>
      <c r="J312" t="s">
        <v>4125</v>
      </c>
    </row>
    <row r="313" spans="1:10" x14ac:dyDescent="0.25">
      <c r="A313">
        <v>312</v>
      </c>
      <c r="B313" t="s">
        <v>791</v>
      </c>
      <c r="C313" t="s">
        <v>224</v>
      </c>
      <c r="D313" t="s">
        <v>3315</v>
      </c>
      <c r="E313" t="s">
        <v>4129</v>
      </c>
      <c r="F313" t="s">
        <v>4114</v>
      </c>
      <c r="G313" t="s">
        <v>4115</v>
      </c>
      <c r="H313" t="s">
        <v>2603</v>
      </c>
      <c r="I313">
        <v>2015</v>
      </c>
      <c r="J313" t="s">
        <v>4125</v>
      </c>
    </row>
    <row r="314" spans="1:10" x14ac:dyDescent="0.25">
      <c r="A314">
        <v>313</v>
      </c>
      <c r="B314" t="s">
        <v>792</v>
      </c>
      <c r="C314" t="s">
        <v>793</v>
      </c>
      <c r="D314" t="s">
        <v>3316</v>
      </c>
      <c r="E314" t="s">
        <v>4157</v>
      </c>
      <c r="F314" t="s">
        <v>4131</v>
      </c>
      <c r="G314" t="s">
        <v>4115</v>
      </c>
      <c r="H314" t="s">
        <v>2603</v>
      </c>
      <c r="I314">
        <v>2019</v>
      </c>
      <c r="J314" t="s">
        <v>4116</v>
      </c>
    </row>
    <row r="315" spans="1:10" x14ac:dyDescent="0.25">
      <c r="A315">
        <v>314</v>
      </c>
      <c r="B315" t="s">
        <v>3317</v>
      </c>
      <c r="C315" t="s">
        <v>608</v>
      </c>
      <c r="D315" t="s">
        <v>3318</v>
      </c>
      <c r="E315" t="s">
        <v>4113</v>
      </c>
      <c r="F315" t="s">
        <v>4114</v>
      </c>
      <c r="G315" t="s">
        <v>4148</v>
      </c>
      <c r="H315" t="s">
        <v>2486</v>
      </c>
      <c r="I315">
        <v>2017</v>
      </c>
      <c r="J315" t="s">
        <v>4116</v>
      </c>
    </row>
    <row r="316" spans="1:10" x14ac:dyDescent="0.25">
      <c r="A316">
        <v>315</v>
      </c>
      <c r="B316" t="s">
        <v>797</v>
      </c>
      <c r="C316" t="s">
        <v>798</v>
      </c>
      <c r="D316" t="s">
        <v>3319</v>
      </c>
      <c r="E316" t="s">
        <v>4113</v>
      </c>
      <c r="F316" t="s">
        <v>4114</v>
      </c>
      <c r="G316" t="s">
        <v>4121</v>
      </c>
      <c r="H316" t="s">
        <v>2603</v>
      </c>
      <c r="I316">
        <v>2014</v>
      </c>
      <c r="J316" t="s">
        <v>4116</v>
      </c>
    </row>
    <row r="317" spans="1:10" x14ac:dyDescent="0.25">
      <c r="A317">
        <v>316</v>
      </c>
      <c r="B317" t="s">
        <v>800</v>
      </c>
      <c r="C317" t="s">
        <v>215</v>
      </c>
      <c r="D317" t="s">
        <v>3320</v>
      </c>
      <c r="E317" t="s">
        <v>4117</v>
      </c>
      <c r="F317" t="s">
        <v>4114</v>
      </c>
      <c r="G317" t="s">
        <v>4133</v>
      </c>
      <c r="H317" t="s">
        <v>2494</v>
      </c>
      <c r="I317">
        <v>2009</v>
      </c>
      <c r="J317" t="s">
        <v>4116</v>
      </c>
    </row>
    <row r="318" spans="1:10" x14ac:dyDescent="0.25">
      <c r="A318">
        <v>317</v>
      </c>
      <c r="B318" t="s">
        <v>2673</v>
      </c>
      <c r="C318" t="s">
        <v>803</v>
      </c>
      <c r="D318" t="s">
        <v>3321</v>
      </c>
      <c r="E318" t="s">
        <v>4129</v>
      </c>
      <c r="F318" t="s">
        <v>4114</v>
      </c>
      <c r="G318" t="s">
        <v>4121</v>
      </c>
      <c r="H318" t="s">
        <v>2603</v>
      </c>
      <c r="I318">
        <v>2018</v>
      </c>
      <c r="J318" t="s">
        <v>4116</v>
      </c>
    </row>
    <row r="319" spans="1:10" x14ac:dyDescent="0.25">
      <c r="A319">
        <v>318</v>
      </c>
      <c r="B319" t="s">
        <v>805</v>
      </c>
      <c r="C319" t="s">
        <v>806</v>
      </c>
      <c r="D319" t="s">
        <v>3322</v>
      </c>
      <c r="E319" t="s">
        <v>4120</v>
      </c>
      <c r="F319" t="s">
        <v>4114</v>
      </c>
      <c r="G319" t="s">
        <v>4121</v>
      </c>
      <c r="H319" t="s">
        <v>2603</v>
      </c>
      <c r="I319">
        <v>2019</v>
      </c>
      <c r="J319" t="s">
        <v>4125</v>
      </c>
    </row>
    <row r="320" spans="1:10" x14ac:dyDescent="0.25">
      <c r="A320">
        <v>319</v>
      </c>
      <c r="B320" t="s">
        <v>2674</v>
      </c>
      <c r="C320" t="s">
        <v>808</v>
      </c>
      <c r="D320" t="s">
        <v>3323</v>
      </c>
      <c r="E320" t="s">
        <v>4126</v>
      </c>
      <c r="F320" t="s">
        <v>4114</v>
      </c>
      <c r="G320" t="s">
        <v>4127</v>
      </c>
      <c r="H320" t="s">
        <v>4128</v>
      </c>
      <c r="I320">
        <v>2020</v>
      </c>
      <c r="J320" t="s">
        <v>4116</v>
      </c>
    </row>
    <row r="321" spans="1:10" x14ac:dyDescent="0.25">
      <c r="A321">
        <v>320</v>
      </c>
      <c r="B321" t="s">
        <v>810</v>
      </c>
      <c r="C321" t="s">
        <v>70</v>
      </c>
      <c r="D321" t="s">
        <v>3324</v>
      </c>
      <c r="E321" t="s">
        <v>4134</v>
      </c>
      <c r="F321" t="s">
        <v>4114</v>
      </c>
      <c r="G321" t="s">
        <v>4118</v>
      </c>
      <c r="H321" t="s">
        <v>4119</v>
      </c>
      <c r="I321">
        <v>2022</v>
      </c>
      <c r="J321" t="s">
        <v>4116</v>
      </c>
    </row>
    <row r="322" spans="1:10" x14ac:dyDescent="0.25">
      <c r="A322">
        <v>321</v>
      </c>
      <c r="B322" t="s">
        <v>811</v>
      </c>
      <c r="C322" t="s">
        <v>785</v>
      </c>
      <c r="D322" t="s">
        <v>3325</v>
      </c>
      <c r="E322" t="s">
        <v>4134</v>
      </c>
      <c r="F322" t="s">
        <v>4114</v>
      </c>
      <c r="G322" t="s">
        <v>4133</v>
      </c>
      <c r="H322" t="s">
        <v>2494</v>
      </c>
      <c r="I322">
        <v>2011</v>
      </c>
      <c r="J322" t="s">
        <v>4116</v>
      </c>
    </row>
    <row r="323" spans="1:10" x14ac:dyDescent="0.25">
      <c r="A323">
        <v>322</v>
      </c>
      <c r="B323" t="s">
        <v>812</v>
      </c>
      <c r="C323" t="s">
        <v>215</v>
      </c>
      <c r="D323" t="s">
        <v>3326</v>
      </c>
      <c r="E323" t="s">
        <v>4117</v>
      </c>
      <c r="F323" t="s">
        <v>4114</v>
      </c>
      <c r="G323" t="s">
        <v>4133</v>
      </c>
      <c r="H323" t="s">
        <v>2494</v>
      </c>
      <c r="I323">
        <v>2012</v>
      </c>
      <c r="J323" t="s">
        <v>4116</v>
      </c>
    </row>
    <row r="324" spans="1:10" x14ac:dyDescent="0.25">
      <c r="A324">
        <v>323</v>
      </c>
      <c r="B324" t="s">
        <v>815</v>
      </c>
      <c r="C324" t="s">
        <v>816</v>
      </c>
      <c r="D324" t="s">
        <v>3327</v>
      </c>
      <c r="E324" t="s">
        <v>4130</v>
      </c>
      <c r="F324" t="s">
        <v>4131</v>
      </c>
      <c r="G324" t="s">
        <v>4121</v>
      </c>
      <c r="H324" t="s">
        <v>2603</v>
      </c>
      <c r="I324">
        <v>2022</v>
      </c>
      <c r="J324" t="s">
        <v>4125</v>
      </c>
    </row>
    <row r="325" spans="1:10" x14ac:dyDescent="0.25">
      <c r="A325">
        <v>324</v>
      </c>
      <c r="B325" t="s">
        <v>818</v>
      </c>
      <c r="C325" t="s">
        <v>819</v>
      </c>
      <c r="D325" t="s">
        <v>3328</v>
      </c>
      <c r="E325" t="s">
        <v>4134</v>
      </c>
      <c r="F325" t="s">
        <v>4114</v>
      </c>
      <c r="G325" t="s">
        <v>4115</v>
      </c>
      <c r="H325" t="s">
        <v>2494</v>
      </c>
      <c r="I325">
        <v>2021</v>
      </c>
      <c r="J325" t="s">
        <v>4116</v>
      </c>
    </row>
    <row r="326" spans="1:10" x14ac:dyDescent="0.25">
      <c r="A326">
        <v>325</v>
      </c>
      <c r="B326" t="s">
        <v>821</v>
      </c>
      <c r="C326" t="s">
        <v>822</v>
      </c>
      <c r="D326" t="s">
        <v>3329</v>
      </c>
      <c r="E326" t="s">
        <v>4126</v>
      </c>
      <c r="F326" t="s">
        <v>4114</v>
      </c>
      <c r="G326" t="s">
        <v>4115</v>
      </c>
      <c r="H326" t="s">
        <v>2603</v>
      </c>
      <c r="I326">
        <v>2015</v>
      </c>
      <c r="J326" t="s">
        <v>4125</v>
      </c>
    </row>
    <row r="327" spans="1:10" x14ac:dyDescent="0.25">
      <c r="A327">
        <v>326</v>
      </c>
      <c r="B327" t="s">
        <v>824</v>
      </c>
      <c r="C327" t="s">
        <v>825</v>
      </c>
      <c r="D327" t="s">
        <v>3330</v>
      </c>
      <c r="E327" t="s">
        <v>4139</v>
      </c>
      <c r="F327" t="s">
        <v>4131</v>
      </c>
      <c r="G327" t="s">
        <v>4121</v>
      </c>
      <c r="H327" t="s">
        <v>2603</v>
      </c>
      <c r="I327">
        <v>2016</v>
      </c>
      <c r="J327" t="s">
        <v>4116</v>
      </c>
    </row>
    <row r="328" spans="1:10" x14ac:dyDescent="0.25">
      <c r="A328">
        <v>327</v>
      </c>
      <c r="B328" t="s">
        <v>827</v>
      </c>
      <c r="C328" t="s">
        <v>70</v>
      </c>
      <c r="D328" t="s">
        <v>3331</v>
      </c>
      <c r="E328" t="s">
        <v>4134</v>
      </c>
      <c r="F328" t="s">
        <v>4114</v>
      </c>
      <c r="G328" t="s">
        <v>4118</v>
      </c>
      <c r="H328" t="s">
        <v>4119</v>
      </c>
      <c r="I328">
        <v>2020</v>
      </c>
      <c r="J328" t="s">
        <v>4116</v>
      </c>
    </row>
    <row r="329" spans="1:10" x14ac:dyDescent="0.25">
      <c r="A329">
        <v>328</v>
      </c>
      <c r="B329" t="s">
        <v>828</v>
      </c>
      <c r="C329" t="s">
        <v>215</v>
      </c>
      <c r="D329" t="s">
        <v>3332</v>
      </c>
      <c r="E329" t="s">
        <v>4117</v>
      </c>
      <c r="F329" t="s">
        <v>4114</v>
      </c>
      <c r="G329" t="s">
        <v>4133</v>
      </c>
      <c r="H329" t="s">
        <v>2494</v>
      </c>
      <c r="I329">
        <v>2016</v>
      </c>
      <c r="J329" t="s">
        <v>4116</v>
      </c>
    </row>
    <row r="330" spans="1:10" x14ac:dyDescent="0.25">
      <c r="A330">
        <v>329</v>
      </c>
      <c r="B330" t="s">
        <v>829</v>
      </c>
      <c r="C330" t="s">
        <v>830</v>
      </c>
      <c r="D330" t="s">
        <v>3333</v>
      </c>
      <c r="E330" t="s">
        <v>4129</v>
      </c>
      <c r="F330" t="s">
        <v>4114</v>
      </c>
      <c r="G330" t="s">
        <v>4121</v>
      </c>
      <c r="H330" t="s">
        <v>2603</v>
      </c>
      <c r="I330">
        <v>2012</v>
      </c>
      <c r="J330" t="s">
        <v>4125</v>
      </c>
    </row>
    <row r="331" spans="1:10" x14ac:dyDescent="0.25">
      <c r="A331">
        <v>330</v>
      </c>
      <c r="B331" t="s">
        <v>832</v>
      </c>
      <c r="C331" t="s">
        <v>215</v>
      </c>
      <c r="D331" t="s">
        <v>3334</v>
      </c>
      <c r="E331" t="s">
        <v>4117</v>
      </c>
      <c r="F331" t="s">
        <v>4114</v>
      </c>
      <c r="G331" t="s">
        <v>4133</v>
      </c>
      <c r="H331" t="s">
        <v>2494</v>
      </c>
      <c r="I331">
        <v>2015</v>
      </c>
      <c r="J331" t="s">
        <v>4116</v>
      </c>
    </row>
    <row r="332" spans="1:10" x14ac:dyDescent="0.25">
      <c r="A332">
        <v>331</v>
      </c>
      <c r="B332" t="s">
        <v>833</v>
      </c>
      <c r="C332" t="s">
        <v>215</v>
      </c>
      <c r="D332" t="s">
        <v>3335</v>
      </c>
      <c r="E332" t="s">
        <v>4117</v>
      </c>
      <c r="F332" t="s">
        <v>4114</v>
      </c>
      <c r="G332" t="s">
        <v>4133</v>
      </c>
      <c r="H332" t="s">
        <v>2494</v>
      </c>
      <c r="I332">
        <v>2013</v>
      </c>
      <c r="J332" t="s">
        <v>4116</v>
      </c>
    </row>
    <row r="333" spans="1:10" x14ac:dyDescent="0.25">
      <c r="A333">
        <v>332</v>
      </c>
      <c r="B333" t="s">
        <v>3336</v>
      </c>
      <c r="C333" t="s">
        <v>530</v>
      </c>
      <c r="D333" t="s">
        <v>3337</v>
      </c>
      <c r="E333" t="s">
        <v>4136</v>
      </c>
      <c r="F333" t="s">
        <v>4114</v>
      </c>
      <c r="G333" t="s">
        <v>4121</v>
      </c>
      <c r="H333" t="s">
        <v>2603</v>
      </c>
      <c r="I333">
        <v>2019</v>
      </c>
      <c r="J333" t="s">
        <v>4116</v>
      </c>
    </row>
    <row r="334" spans="1:10" x14ac:dyDescent="0.25">
      <c r="A334">
        <v>333</v>
      </c>
      <c r="B334" t="s">
        <v>836</v>
      </c>
      <c r="C334" t="s">
        <v>837</v>
      </c>
      <c r="D334" t="s">
        <v>3338</v>
      </c>
      <c r="E334" t="s">
        <v>4155</v>
      </c>
      <c r="F334" t="s">
        <v>4131</v>
      </c>
      <c r="G334" t="s">
        <v>4121</v>
      </c>
      <c r="H334" t="s">
        <v>2603</v>
      </c>
      <c r="I334">
        <v>2019</v>
      </c>
      <c r="J334" t="s">
        <v>4116</v>
      </c>
    </row>
    <row r="335" spans="1:10" x14ac:dyDescent="0.25">
      <c r="A335">
        <v>334</v>
      </c>
      <c r="B335" t="s">
        <v>3339</v>
      </c>
      <c r="C335" t="s">
        <v>530</v>
      </c>
      <c r="D335" t="s">
        <v>3340</v>
      </c>
      <c r="E335" t="s">
        <v>4136</v>
      </c>
      <c r="F335" t="s">
        <v>4114</v>
      </c>
      <c r="G335" t="s">
        <v>4121</v>
      </c>
      <c r="H335" t="s">
        <v>2603</v>
      </c>
      <c r="I335">
        <v>2018</v>
      </c>
      <c r="J335" t="s">
        <v>4116</v>
      </c>
    </row>
    <row r="336" spans="1:10" x14ac:dyDescent="0.25">
      <c r="A336">
        <v>335</v>
      </c>
      <c r="B336" t="s">
        <v>3341</v>
      </c>
      <c r="C336" t="s">
        <v>843</v>
      </c>
      <c r="D336" t="s">
        <v>3342</v>
      </c>
      <c r="E336" t="s">
        <v>4129</v>
      </c>
      <c r="F336" t="s">
        <v>4114</v>
      </c>
      <c r="G336" t="s">
        <v>4121</v>
      </c>
      <c r="H336" t="s">
        <v>2603</v>
      </c>
      <c r="I336">
        <v>1998</v>
      </c>
      <c r="J336" t="s">
        <v>4116</v>
      </c>
    </row>
    <row r="337" spans="1:10" x14ac:dyDescent="0.25">
      <c r="A337">
        <v>336</v>
      </c>
      <c r="B337" t="s">
        <v>3343</v>
      </c>
      <c r="C337" t="s">
        <v>608</v>
      </c>
      <c r="D337" t="s">
        <v>3344</v>
      </c>
      <c r="E337" t="s">
        <v>4113</v>
      </c>
      <c r="F337" t="s">
        <v>4114</v>
      </c>
      <c r="G337" t="s">
        <v>4148</v>
      </c>
      <c r="H337" t="s">
        <v>2486</v>
      </c>
      <c r="I337">
        <v>2016</v>
      </c>
      <c r="J337" t="s">
        <v>4116</v>
      </c>
    </row>
    <row r="338" spans="1:10" x14ac:dyDescent="0.25">
      <c r="A338">
        <v>337</v>
      </c>
      <c r="B338" t="s">
        <v>3345</v>
      </c>
      <c r="C338" t="s">
        <v>849</v>
      </c>
      <c r="D338" t="s">
        <v>3346</v>
      </c>
      <c r="E338" t="s">
        <v>4113</v>
      </c>
      <c r="F338" t="s">
        <v>4114</v>
      </c>
      <c r="G338" t="s">
        <v>4148</v>
      </c>
      <c r="H338" t="s">
        <v>2486</v>
      </c>
      <c r="I338">
        <v>2014</v>
      </c>
      <c r="J338" t="s">
        <v>4116</v>
      </c>
    </row>
    <row r="339" spans="1:10" x14ac:dyDescent="0.25">
      <c r="A339">
        <v>338</v>
      </c>
      <c r="B339" t="s">
        <v>851</v>
      </c>
      <c r="C339" t="s">
        <v>35</v>
      </c>
      <c r="D339" t="s">
        <v>3347</v>
      </c>
      <c r="E339" t="s">
        <v>4117</v>
      </c>
      <c r="F339" t="s">
        <v>4114</v>
      </c>
      <c r="G339" t="s">
        <v>4118</v>
      </c>
      <c r="H339" t="s">
        <v>4119</v>
      </c>
      <c r="I339">
        <v>2019</v>
      </c>
      <c r="J339" t="s">
        <v>4125</v>
      </c>
    </row>
    <row r="340" spans="1:10" x14ac:dyDescent="0.25">
      <c r="A340">
        <v>339</v>
      </c>
      <c r="B340" t="s">
        <v>3348</v>
      </c>
      <c r="C340" t="s">
        <v>530</v>
      </c>
      <c r="D340" t="s">
        <v>3349</v>
      </c>
      <c r="E340" t="s">
        <v>4136</v>
      </c>
      <c r="F340" t="s">
        <v>4114</v>
      </c>
      <c r="G340" t="s">
        <v>4121</v>
      </c>
      <c r="H340" t="s">
        <v>2603</v>
      </c>
      <c r="I340">
        <v>2016</v>
      </c>
      <c r="J340" t="s">
        <v>4116</v>
      </c>
    </row>
    <row r="341" spans="1:10" x14ac:dyDescent="0.25">
      <c r="A341">
        <v>340</v>
      </c>
      <c r="B341" t="s">
        <v>854</v>
      </c>
      <c r="C341" t="s">
        <v>290</v>
      </c>
      <c r="D341" t="s">
        <v>3350</v>
      </c>
      <c r="E341" t="s">
        <v>4130</v>
      </c>
      <c r="F341" t="s">
        <v>4131</v>
      </c>
      <c r="G341" t="s">
        <v>4148</v>
      </c>
      <c r="H341" t="s">
        <v>2486</v>
      </c>
      <c r="I341">
        <v>2020</v>
      </c>
      <c r="J341" t="s">
        <v>4116</v>
      </c>
    </row>
    <row r="342" spans="1:10" x14ac:dyDescent="0.25">
      <c r="A342">
        <v>341</v>
      </c>
      <c r="B342" t="s">
        <v>855</v>
      </c>
      <c r="C342" t="s">
        <v>856</v>
      </c>
      <c r="D342" t="s">
        <v>3351</v>
      </c>
      <c r="E342" t="s">
        <v>4113</v>
      </c>
      <c r="F342" t="s">
        <v>4114</v>
      </c>
      <c r="G342" t="s">
        <v>4150</v>
      </c>
      <c r="H342" t="s">
        <v>4151</v>
      </c>
      <c r="I342">
        <v>1988</v>
      </c>
      <c r="J342" t="s">
        <v>4116</v>
      </c>
    </row>
    <row r="343" spans="1:10" x14ac:dyDescent="0.25">
      <c r="A343">
        <v>342</v>
      </c>
      <c r="B343" t="s">
        <v>858</v>
      </c>
      <c r="C343" t="s">
        <v>859</v>
      </c>
      <c r="D343" t="s">
        <v>3352</v>
      </c>
      <c r="E343" t="s">
        <v>4113</v>
      </c>
      <c r="F343" t="s">
        <v>4114</v>
      </c>
      <c r="G343" t="s">
        <v>4121</v>
      </c>
      <c r="H343" t="s">
        <v>2603</v>
      </c>
      <c r="I343">
        <v>2018</v>
      </c>
      <c r="J343" t="s">
        <v>4125</v>
      </c>
    </row>
    <row r="344" spans="1:10" x14ac:dyDescent="0.25">
      <c r="A344">
        <v>343</v>
      </c>
      <c r="B344" t="s">
        <v>861</v>
      </c>
      <c r="C344" t="s">
        <v>224</v>
      </c>
      <c r="D344" t="s">
        <v>3353</v>
      </c>
      <c r="E344" t="s">
        <v>4129</v>
      </c>
      <c r="F344" t="s">
        <v>4114</v>
      </c>
      <c r="G344" t="s">
        <v>4115</v>
      </c>
      <c r="H344" t="s">
        <v>2603</v>
      </c>
      <c r="I344">
        <v>2017</v>
      </c>
      <c r="J344" t="s">
        <v>4125</v>
      </c>
    </row>
    <row r="345" spans="1:10" x14ac:dyDescent="0.25">
      <c r="A345">
        <v>344</v>
      </c>
      <c r="B345" t="s">
        <v>862</v>
      </c>
      <c r="C345" t="s">
        <v>302</v>
      </c>
      <c r="D345" t="s">
        <v>3354</v>
      </c>
      <c r="E345" t="s">
        <v>4138</v>
      </c>
      <c r="F345" t="s">
        <v>4114</v>
      </c>
      <c r="G345" t="s">
        <v>4115</v>
      </c>
      <c r="H345" t="s">
        <v>2603</v>
      </c>
      <c r="I345">
        <v>2021</v>
      </c>
      <c r="J345" t="s">
        <v>4116</v>
      </c>
    </row>
    <row r="346" spans="1:10" x14ac:dyDescent="0.25">
      <c r="A346">
        <v>345</v>
      </c>
      <c r="B346" t="s">
        <v>863</v>
      </c>
      <c r="C346" t="s">
        <v>864</v>
      </c>
      <c r="D346" t="s">
        <v>3355</v>
      </c>
      <c r="E346" t="s">
        <v>4129</v>
      </c>
      <c r="F346" t="s">
        <v>4114</v>
      </c>
      <c r="G346" t="s">
        <v>4121</v>
      </c>
      <c r="H346" t="s">
        <v>2603</v>
      </c>
      <c r="I346">
        <v>2018</v>
      </c>
      <c r="J346" t="s">
        <v>4125</v>
      </c>
    </row>
    <row r="347" spans="1:10" x14ac:dyDescent="0.25">
      <c r="A347">
        <v>346</v>
      </c>
      <c r="B347" t="s">
        <v>2685</v>
      </c>
      <c r="C347" t="s">
        <v>170</v>
      </c>
      <c r="D347" t="s">
        <v>3356</v>
      </c>
      <c r="E347" t="s">
        <v>4129</v>
      </c>
      <c r="F347" t="s">
        <v>4114</v>
      </c>
      <c r="G347" t="s">
        <v>4144</v>
      </c>
      <c r="H347" t="s">
        <v>4124</v>
      </c>
      <c r="I347">
        <v>2016</v>
      </c>
      <c r="J347" t="s">
        <v>4116</v>
      </c>
    </row>
    <row r="348" spans="1:10" x14ac:dyDescent="0.25">
      <c r="A348">
        <v>347</v>
      </c>
      <c r="B348" t="s">
        <v>866</v>
      </c>
      <c r="C348" t="s">
        <v>867</v>
      </c>
      <c r="D348" t="s">
        <v>3357</v>
      </c>
      <c r="E348" t="s">
        <v>4126</v>
      </c>
      <c r="F348" t="s">
        <v>4114</v>
      </c>
      <c r="G348" t="s">
        <v>4121</v>
      </c>
      <c r="H348" t="s">
        <v>2603</v>
      </c>
      <c r="I348">
        <v>2016</v>
      </c>
      <c r="J348" t="s">
        <v>4116</v>
      </c>
    </row>
    <row r="349" spans="1:10" x14ac:dyDescent="0.25">
      <c r="A349">
        <v>348</v>
      </c>
      <c r="B349" t="s">
        <v>873</v>
      </c>
      <c r="C349" t="s">
        <v>869</v>
      </c>
      <c r="D349" t="s">
        <v>3358</v>
      </c>
      <c r="E349" t="s">
        <v>4113</v>
      </c>
      <c r="F349" t="s">
        <v>4114</v>
      </c>
      <c r="G349" t="s">
        <v>4118</v>
      </c>
      <c r="H349" t="s">
        <v>4119</v>
      </c>
      <c r="I349">
        <v>2017</v>
      </c>
      <c r="J349" t="s">
        <v>4116</v>
      </c>
    </row>
    <row r="350" spans="1:10" x14ac:dyDescent="0.25">
      <c r="A350">
        <v>349</v>
      </c>
      <c r="B350" t="s">
        <v>874</v>
      </c>
      <c r="C350" t="s">
        <v>875</v>
      </c>
      <c r="D350" t="s">
        <v>3359</v>
      </c>
      <c r="E350" t="s">
        <v>4126</v>
      </c>
      <c r="F350" t="s">
        <v>4114</v>
      </c>
      <c r="G350" t="s">
        <v>4121</v>
      </c>
      <c r="H350" t="s">
        <v>2603</v>
      </c>
      <c r="I350">
        <v>1965</v>
      </c>
      <c r="J350" t="s">
        <v>4116</v>
      </c>
    </row>
    <row r="351" spans="1:10" x14ac:dyDescent="0.25">
      <c r="A351">
        <v>350</v>
      </c>
      <c r="B351" t="s">
        <v>877</v>
      </c>
      <c r="C351" t="s">
        <v>616</v>
      </c>
      <c r="D351" t="s">
        <v>3360</v>
      </c>
      <c r="E351" t="s">
        <v>4129</v>
      </c>
      <c r="F351" t="s">
        <v>4114</v>
      </c>
      <c r="G351" t="s">
        <v>4115</v>
      </c>
      <c r="H351" t="s">
        <v>2603</v>
      </c>
      <c r="I351">
        <v>2017</v>
      </c>
      <c r="J351" t="s">
        <v>4125</v>
      </c>
    </row>
    <row r="352" spans="1:10" x14ac:dyDescent="0.25">
      <c r="A352">
        <v>351</v>
      </c>
      <c r="B352" t="s">
        <v>3361</v>
      </c>
      <c r="C352" t="s">
        <v>302</v>
      </c>
      <c r="D352" t="s">
        <v>3362</v>
      </c>
      <c r="E352" t="s">
        <v>4138</v>
      </c>
      <c r="F352" t="s">
        <v>4114</v>
      </c>
      <c r="G352" t="s">
        <v>4115</v>
      </c>
      <c r="H352" t="s">
        <v>2603</v>
      </c>
      <c r="I352">
        <v>2007</v>
      </c>
      <c r="J352" t="s">
        <v>4116</v>
      </c>
    </row>
    <row r="353" spans="1:10" x14ac:dyDescent="0.25">
      <c r="A353">
        <v>352</v>
      </c>
      <c r="B353" t="s">
        <v>880</v>
      </c>
      <c r="C353" t="s">
        <v>881</v>
      </c>
      <c r="D353" t="s">
        <v>3363</v>
      </c>
      <c r="E353" t="s">
        <v>4129</v>
      </c>
      <c r="F353" t="s">
        <v>4114</v>
      </c>
      <c r="G353" t="s">
        <v>4115</v>
      </c>
      <c r="H353" t="s">
        <v>2603</v>
      </c>
      <c r="I353">
        <v>2018</v>
      </c>
      <c r="J353" t="s">
        <v>4125</v>
      </c>
    </row>
    <row r="354" spans="1:10" x14ac:dyDescent="0.25">
      <c r="A354">
        <v>353</v>
      </c>
      <c r="B354" t="s">
        <v>883</v>
      </c>
      <c r="C354" t="s">
        <v>215</v>
      </c>
      <c r="D354" t="s">
        <v>3364</v>
      </c>
      <c r="E354" t="s">
        <v>4117</v>
      </c>
      <c r="F354" t="s">
        <v>4114</v>
      </c>
      <c r="G354" t="s">
        <v>4133</v>
      </c>
      <c r="H354" t="s">
        <v>2494</v>
      </c>
      <c r="I354">
        <v>2007</v>
      </c>
      <c r="J354" t="s">
        <v>4116</v>
      </c>
    </row>
    <row r="355" spans="1:10" x14ac:dyDescent="0.25">
      <c r="A355">
        <v>354</v>
      </c>
      <c r="B355" t="s">
        <v>884</v>
      </c>
      <c r="C355" t="s">
        <v>616</v>
      </c>
      <c r="D355" t="s">
        <v>3365</v>
      </c>
      <c r="E355" t="s">
        <v>4129</v>
      </c>
      <c r="F355" t="s">
        <v>4114</v>
      </c>
      <c r="G355" t="s">
        <v>4115</v>
      </c>
      <c r="H355" t="s">
        <v>2603</v>
      </c>
      <c r="I355">
        <v>2021</v>
      </c>
      <c r="J355" t="s">
        <v>4125</v>
      </c>
    </row>
    <row r="356" spans="1:10" x14ac:dyDescent="0.25">
      <c r="A356">
        <v>355</v>
      </c>
      <c r="B356" t="s">
        <v>885</v>
      </c>
      <c r="C356" t="s">
        <v>886</v>
      </c>
      <c r="D356" t="s">
        <v>3366</v>
      </c>
      <c r="E356" t="s">
        <v>4149</v>
      </c>
      <c r="F356" t="s">
        <v>4114</v>
      </c>
      <c r="G356" t="s">
        <v>4123</v>
      </c>
      <c r="H356" t="s">
        <v>4124</v>
      </c>
      <c r="I356">
        <v>2019</v>
      </c>
      <c r="J356" t="s">
        <v>4125</v>
      </c>
    </row>
    <row r="357" spans="1:10" x14ac:dyDescent="0.25">
      <c r="A357">
        <v>356</v>
      </c>
      <c r="B357" t="s">
        <v>888</v>
      </c>
      <c r="C357" t="s">
        <v>889</v>
      </c>
      <c r="D357" t="s">
        <v>3367</v>
      </c>
      <c r="E357" t="s">
        <v>4130</v>
      </c>
      <c r="F357" t="s">
        <v>4131</v>
      </c>
      <c r="G357" t="s">
        <v>4121</v>
      </c>
      <c r="H357" t="s">
        <v>2603</v>
      </c>
      <c r="I357">
        <v>2012</v>
      </c>
      <c r="J357" t="s">
        <v>4125</v>
      </c>
    </row>
    <row r="358" spans="1:10" x14ac:dyDescent="0.25">
      <c r="A358">
        <v>357</v>
      </c>
      <c r="B358" t="s">
        <v>891</v>
      </c>
      <c r="C358" t="s">
        <v>892</v>
      </c>
      <c r="D358" t="s">
        <v>3368</v>
      </c>
      <c r="E358" t="s">
        <v>4140</v>
      </c>
      <c r="F358" t="s">
        <v>4131</v>
      </c>
      <c r="G358" t="s">
        <v>4121</v>
      </c>
      <c r="H358" t="s">
        <v>2603</v>
      </c>
      <c r="I358">
        <v>1975</v>
      </c>
      <c r="J358" t="s">
        <v>4125</v>
      </c>
    </row>
    <row r="359" spans="1:10" x14ac:dyDescent="0.25">
      <c r="A359">
        <v>358</v>
      </c>
      <c r="B359" t="s">
        <v>894</v>
      </c>
      <c r="C359" t="s">
        <v>215</v>
      </c>
      <c r="D359" t="s">
        <v>3369</v>
      </c>
      <c r="E359" t="s">
        <v>4117</v>
      </c>
      <c r="F359" t="s">
        <v>4114</v>
      </c>
      <c r="G359" t="s">
        <v>4133</v>
      </c>
      <c r="H359" t="s">
        <v>2494</v>
      </c>
      <c r="I359">
        <v>2006</v>
      </c>
      <c r="J359" t="s">
        <v>4116</v>
      </c>
    </row>
    <row r="360" spans="1:10" x14ac:dyDescent="0.25">
      <c r="A360">
        <v>359</v>
      </c>
      <c r="B360" t="s">
        <v>3370</v>
      </c>
      <c r="C360" t="s">
        <v>287</v>
      </c>
      <c r="D360" t="s">
        <v>3371</v>
      </c>
      <c r="E360" t="s">
        <v>4132</v>
      </c>
      <c r="F360" t="s">
        <v>4114</v>
      </c>
      <c r="G360" t="s">
        <v>4121</v>
      </c>
      <c r="H360" t="s">
        <v>2603</v>
      </c>
      <c r="I360">
        <v>1977</v>
      </c>
      <c r="J360" t="s">
        <v>4116</v>
      </c>
    </row>
    <row r="361" spans="1:10" x14ac:dyDescent="0.25">
      <c r="A361">
        <v>360</v>
      </c>
      <c r="B361" t="s">
        <v>897</v>
      </c>
      <c r="C361" t="s">
        <v>215</v>
      </c>
      <c r="D361" t="s">
        <v>3372</v>
      </c>
      <c r="E361" t="s">
        <v>4117</v>
      </c>
      <c r="F361" t="s">
        <v>4114</v>
      </c>
      <c r="G361" t="s">
        <v>4133</v>
      </c>
      <c r="H361" t="s">
        <v>2494</v>
      </c>
      <c r="I361">
        <v>2006</v>
      </c>
      <c r="J361" t="s">
        <v>4116</v>
      </c>
    </row>
    <row r="362" spans="1:10" x14ac:dyDescent="0.25">
      <c r="A362">
        <v>361</v>
      </c>
      <c r="B362" t="s">
        <v>898</v>
      </c>
      <c r="C362" t="s">
        <v>899</v>
      </c>
      <c r="D362" t="s">
        <v>3373</v>
      </c>
      <c r="E362" t="s">
        <v>4113</v>
      </c>
      <c r="F362" t="s">
        <v>4114</v>
      </c>
      <c r="G362" t="s">
        <v>4115</v>
      </c>
      <c r="H362" t="s">
        <v>2603</v>
      </c>
      <c r="I362">
        <v>1896</v>
      </c>
      <c r="J362" t="s">
        <v>4116</v>
      </c>
    </row>
    <row r="363" spans="1:10" x14ac:dyDescent="0.25">
      <c r="A363">
        <v>362</v>
      </c>
      <c r="B363" t="s">
        <v>2693</v>
      </c>
      <c r="C363" t="s">
        <v>901</v>
      </c>
      <c r="D363" t="s">
        <v>3374</v>
      </c>
      <c r="E363" t="s">
        <v>4113</v>
      </c>
      <c r="F363" t="s">
        <v>4114</v>
      </c>
      <c r="G363" t="s">
        <v>4121</v>
      </c>
      <c r="H363" t="s">
        <v>2603</v>
      </c>
      <c r="I363">
        <v>2021</v>
      </c>
      <c r="J363" t="s">
        <v>4116</v>
      </c>
    </row>
    <row r="364" spans="1:10" x14ac:dyDescent="0.25">
      <c r="A364">
        <v>363</v>
      </c>
      <c r="B364" t="s">
        <v>3375</v>
      </c>
      <c r="C364" t="s">
        <v>803</v>
      </c>
      <c r="D364" t="s">
        <v>3376</v>
      </c>
      <c r="E364" t="s">
        <v>4129</v>
      </c>
      <c r="F364" t="s">
        <v>4114</v>
      </c>
      <c r="G364" t="s">
        <v>4121</v>
      </c>
      <c r="H364" t="s">
        <v>2603</v>
      </c>
      <c r="I364">
        <v>1992</v>
      </c>
      <c r="J364" t="s">
        <v>4116</v>
      </c>
    </row>
    <row r="365" spans="1:10" x14ac:dyDescent="0.25">
      <c r="A365">
        <v>364</v>
      </c>
      <c r="B365" t="s">
        <v>905</v>
      </c>
      <c r="C365" t="s">
        <v>803</v>
      </c>
      <c r="D365" t="s">
        <v>3377</v>
      </c>
      <c r="E365" t="s">
        <v>4129</v>
      </c>
      <c r="F365" t="s">
        <v>4114</v>
      </c>
      <c r="G365" t="s">
        <v>4121</v>
      </c>
      <c r="H365" t="s">
        <v>2603</v>
      </c>
      <c r="I365">
        <v>1998</v>
      </c>
      <c r="J365" t="s">
        <v>4116</v>
      </c>
    </row>
    <row r="366" spans="1:10" x14ac:dyDescent="0.25">
      <c r="A366">
        <v>365</v>
      </c>
      <c r="B366" t="s">
        <v>906</v>
      </c>
      <c r="C366" t="s">
        <v>62</v>
      </c>
      <c r="D366" t="s">
        <v>3378</v>
      </c>
      <c r="E366" t="s">
        <v>4132</v>
      </c>
      <c r="F366" t="s">
        <v>4114</v>
      </c>
      <c r="G366" t="s">
        <v>4133</v>
      </c>
      <c r="H366" t="s">
        <v>2494</v>
      </c>
      <c r="I366">
        <v>2015</v>
      </c>
      <c r="J366" t="s">
        <v>4116</v>
      </c>
    </row>
    <row r="367" spans="1:10" x14ac:dyDescent="0.25">
      <c r="A367">
        <v>366</v>
      </c>
      <c r="B367" t="s">
        <v>907</v>
      </c>
      <c r="C367" t="s">
        <v>530</v>
      </c>
      <c r="D367" t="s">
        <v>3379</v>
      </c>
      <c r="E367" t="s">
        <v>4136</v>
      </c>
      <c r="F367" t="s">
        <v>4114</v>
      </c>
      <c r="G367" t="s">
        <v>4121</v>
      </c>
      <c r="H367" t="s">
        <v>2603</v>
      </c>
      <c r="I367">
        <v>2021</v>
      </c>
      <c r="J367" t="s">
        <v>4116</v>
      </c>
    </row>
    <row r="368" spans="1:10" x14ac:dyDescent="0.25">
      <c r="A368">
        <v>367</v>
      </c>
      <c r="B368" t="s">
        <v>908</v>
      </c>
      <c r="C368" t="s">
        <v>803</v>
      </c>
      <c r="D368" t="s">
        <v>3380</v>
      </c>
      <c r="E368" t="s">
        <v>4129</v>
      </c>
      <c r="F368" t="s">
        <v>4114</v>
      </c>
      <c r="G368" t="s">
        <v>4121</v>
      </c>
      <c r="H368" t="s">
        <v>2603</v>
      </c>
      <c r="I368">
        <v>1997</v>
      </c>
      <c r="J368" t="s">
        <v>4116</v>
      </c>
    </row>
    <row r="369" spans="1:10" x14ac:dyDescent="0.25">
      <c r="A369">
        <v>368</v>
      </c>
      <c r="B369" t="s">
        <v>909</v>
      </c>
      <c r="C369" t="s">
        <v>241</v>
      </c>
      <c r="D369" t="s">
        <v>3381</v>
      </c>
      <c r="E369" t="s">
        <v>4117</v>
      </c>
      <c r="F369" t="s">
        <v>4114</v>
      </c>
      <c r="G369" t="s">
        <v>4115</v>
      </c>
      <c r="H369" t="s">
        <v>2603</v>
      </c>
      <c r="I369">
        <v>2020</v>
      </c>
      <c r="J369" t="s">
        <v>4125</v>
      </c>
    </row>
    <row r="370" spans="1:10" x14ac:dyDescent="0.25">
      <c r="A370">
        <v>369</v>
      </c>
      <c r="B370" t="s">
        <v>910</v>
      </c>
      <c r="C370" t="s">
        <v>803</v>
      </c>
      <c r="D370" t="s">
        <v>3382</v>
      </c>
      <c r="E370" t="s">
        <v>4129</v>
      </c>
      <c r="F370" t="s">
        <v>4114</v>
      </c>
      <c r="G370" t="s">
        <v>4121</v>
      </c>
      <c r="H370" t="s">
        <v>2603</v>
      </c>
      <c r="I370">
        <v>1995</v>
      </c>
      <c r="J370" t="s">
        <v>4116</v>
      </c>
    </row>
    <row r="371" spans="1:10" x14ac:dyDescent="0.25">
      <c r="A371">
        <v>370</v>
      </c>
      <c r="B371" t="s">
        <v>911</v>
      </c>
      <c r="C371" t="s">
        <v>912</v>
      </c>
      <c r="D371" t="s">
        <v>3383</v>
      </c>
      <c r="E371" t="s">
        <v>4126</v>
      </c>
      <c r="F371" t="s">
        <v>4114</v>
      </c>
      <c r="G371" t="s">
        <v>4121</v>
      </c>
      <c r="H371" t="s">
        <v>2603</v>
      </c>
      <c r="I371">
        <v>2006</v>
      </c>
      <c r="J371" t="s">
        <v>4116</v>
      </c>
    </row>
    <row r="372" spans="1:10" x14ac:dyDescent="0.25">
      <c r="A372">
        <v>371</v>
      </c>
      <c r="B372" t="s">
        <v>914</v>
      </c>
      <c r="C372" t="s">
        <v>915</v>
      </c>
      <c r="D372" t="s">
        <v>3384</v>
      </c>
      <c r="E372" t="s">
        <v>4152</v>
      </c>
      <c r="F372" t="s">
        <v>4131</v>
      </c>
      <c r="G372" t="s">
        <v>4148</v>
      </c>
      <c r="H372" t="s">
        <v>2486</v>
      </c>
      <c r="I372">
        <v>2011</v>
      </c>
      <c r="J372" t="s">
        <v>4116</v>
      </c>
    </row>
    <row r="373" spans="1:10" x14ac:dyDescent="0.25">
      <c r="A373">
        <v>372</v>
      </c>
      <c r="B373" t="s">
        <v>917</v>
      </c>
      <c r="C373" t="s">
        <v>918</v>
      </c>
      <c r="D373" t="s">
        <v>3385</v>
      </c>
      <c r="E373" t="s">
        <v>4130</v>
      </c>
      <c r="F373" t="s">
        <v>4131</v>
      </c>
      <c r="G373" t="s">
        <v>4133</v>
      </c>
      <c r="H373" t="s">
        <v>2494</v>
      </c>
      <c r="I373">
        <v>2022</v>
      </c>
      <c r="J373" t="s">
        <v>4116</v>
      </c>
    </row>
    <row r="374" spans="1:10" x14ac:dyDescent="0.25">
      <c r="A374">
        <v>373</v>
      </c>
      <c r="B374" t="s">
        <v>920</v>
      </c>
      <c r="C374" t="s">
        <v>921</v>
      </c>
      <c r="D374" t="s">
        <v>3386</v>
      </c>
      <c r="E374" t="s">
        <v>4126</v>
      </c>
      <c r="F374" t="s">
        <v>4114</v>
      </c>
      <c r="G374" t="s">
        <v>4137</v>
      </c>
      <c r="H374" t="s">
        <v>2603</v>
      </c>
      <c r="I374">
        <v>1996</v>
      </c>
      <c r="J374" t="s">
        <v>4125</v>
      </c>
    </row>
    <row r="375" spans="1:10" x14ac:dyDescent="0.25">
      <c r="A375">
        <v>374</v>
      </c>
      <c r="B375" t="s">
        <v>2695</v>
      </c>
      <c r="C375" t="s">
        <v>923</v>
      </c>
      <c r="D375" t="s">
        <v>3387</v>
      </c>
      <c r="E375" t="s">
        <v>4139</v>
      </c>
      <c r="F375" t="s">
        <v>4131</v>
      </c>
      <c r="G375" t="s">
        <v>4121</v>
      </c>
      <c r="H375" t="s">
        <v>2603</v>
      </c>
      <c r="I375">
        <v>2019</v>
      </c>
      <c r="J375" t="s">
        <v>4125</v>
      </c>
    </row>
    <row r="376" spans="1:10" x14ac:dyDescent="0.25">
      <c r="A376">
        <v>375</v>
      </c>
      <c r="B376" t="s">
        <v>3388</v>
      </c>
      <c r="C376" t="s">
        <v>228</v>
      </c>
      <c r="D376" t="s">
        <v>3389</v>
      </c>
      <c r="E376" t="s">
        <v>4129</v>
      </c>
      <c r="F376" t="s">
        <v>4114</v>
      </c>
      <c r="G376" t="s">
        <v>4121</v>
      </c>
      <c r="H376" t="s">
        <v>2603</v>
      </c>
      <c r="I376">
        <v>2020</v>
      </c>
      <c r="J376" t="s">
        <v>4116</v>
      </c>
    </row>
    <row r="377" spans="1:10" x14ac:dyDescent="0.25">
      <c r="A377">
        <v>376</v>
      </c>
      <c r="B377" t="s">
        <v>927</v>
      </c>
      <c r="C377" t="s">
        <v>269</v>
      </c>
      <c r="D377" t="s">
        <v>3390</v>
      </c>
      <c r="E377" t="s">
        <v>4120</v>
      </c>
      <c r="F377" t="s">
        <v>4114</v>
      </c>
      <c r="G377" t="s">
        <v>4121</v>
      </c>
      <c r="H377" t="s">
        <v>2603</v>
      </c>
      <c r="I377">
        <v>2021</v>
      </c>
      <c r="J377" t="s">
        <v>4116</v>
      </c>
    </row>
    <row r="378" spans="1:10" x14ac:dyDescent="0.25">
      <c r="A378">
        <v>377</v>
      </c>
      <c r="B378" t="s">
        <v>928</v>
      </c>
      <c r="C378" t="s">
        <v>287</v>
      </c>
      <c r="D378" t="s">
        <v>3391</v>
      </c>
      <c r="E378" t="s">
        <v>4132</v>
      </c>
      <c r="F378" t="s">
        <v>4114</v>
      </c>
      <c r="G378" t="s">
        <v>4121</v>
      </c>
      <c r="H378" t="s">
        <v>2603</v>
      </c>
      <c r="I378">
        <v>1978</v>
      </c>
      <c r="J378" t="s">
        <v>4116</v>
      </c>
    </row>
    <row r="379" spans="1:10" x14ac:dyDescent="0.25">
      <c r="A379">
        <v>378</v>
      </c>
      <c r="B379" t="s">
        <v>929</v>
      </c>
      <c r="C379" t="s">
        <v>921</v>
      </c>
      <c r="D379" t="s">
        <v>3392</v>
      </c>
      <c r="E379" t="s">
        <v>4126</v>
      </c>
      <c r="F379" t="s">
        <v>4114</v>
      </c>
      <c r="G379" t="s">
        <v>4137</v>
      </c>
      <c r="H379" t="s">
        <v>2603</v>
      </c>
      <c r="I379">
        <v>2019</v>
      </c>
      <c r="J379" t="s">
        <v>4125</v>
      </c>
    </row>
    <row r="380" spans="1:10" x14ac:dyDescent="0.25">
      <c r="A380">
        <v>379</v>
      </c>
      <c r="B380" t="s">
        <v>930</v>
      </c>
      <c r="C380" t="s">
        <v>931</v>
      </c>
      <c r="D380" t="s">
        <v>3393</v>
      </c>
      <c r="E380" t="s">
        <v>4126</v>
      </c>
      <c r="F380" t="s">
        <v>4114</v>
      </c>
      <c r="G380" t="s">
        <v>4175</v>
      </c>
      <c r="H380" t="s">
        <v>4124</v>
      </c>
      <c r="I380">
        <v>2019</v>
      </c>
      <c r="J380" t="s">
        <v>4125</v>
      </c>
    </row>
    <row r="381" spans="1:10" x14ac:dyDescent="0.25">
      <c r="A381">
        <v>380</v>
      </c>
      <c r="B381" t="s">
        <v>933</v>
      </c>
      <c r="C381" t="s">
        <v>921</v>
      </c>
      <c r="D381" t="s">
        <v>3394</v>
      </c>
      <c r="E381" t="s">
        <v>4126</v>
      </c>
      <c r="F381" t="s">
        <v>4114</v>
      </c>
      <c r="G381" t="s">
        <v>4137</v>
      </c>
      <c r="H381" t="s">
        <v>2603</v>
      </c>
      <c r="I381">
        <v>1985</v>
      </c>
      <c r="J381" t="s">
        <v>4125</v>
      </c>
    </row>
    <row r="382" spans="1:10" x14ac:dyDescent="0.25">
      <c r="A382">
        <v>381</v>
      </c>
      <c r="B382" t="s">
        <v>3395</v>
      </c>
      <c r="C382" t="s">
        <v>938</v>
      </c>
      <c r="D382" t="s">
        <v>3396</v>
      </c>
      <c r="E382" t="s">
        <v>4168</v>
      </c>
      <c r="F382" t="s">
        <v>4131</v>
      </c>
      <c r="G382" t="s">
        <v>4133</v>
      </c>
      <c r="H382" t="s">
        <v>2494</v>
      </c>
      <c r="I382">
        <v>2020</v>
      </c>
      <c r="J382" t="s">
        <v>4116</v>
      </c>
    </row>
    <row r="383" spans="1:10" x14ac:dyDescent="0.25">
      <c r="A383">
        <v>382</v>
      </c>
      <c r="B383" t="s">
        <v>940</v>
      </c>
      <c r="C383" t="s">
        <v>941</v>
      </c>
      <c r="D383" t="s">
        <v>3397</v>
      </c>
      <c r="E383" t="s">
        <v>4129</v>
      </c>
      <c r="F383" t="s">
        <v>4114</v>
      </c>
      <c r="G383" t="s">
        <v>4121</v>
      </c>
      <c r="H383" t="s">
        <v>2603</v>
      </c>
      <c r="I383">
        <v>2014</v>
      </c>
      <c r="J383" t="s">
        <v>4116</v>
      </c>
    </row>
    <row r="384" spans="1:10" x14ac:dyDescent="0.25">
      <c r="A384">
        <v>383</v>
      </c>
      <c r="B384" t="s">
        <v>943</v>
      </c>
      <c r="C384" t="s">
        <v>269</v>
      </c>
      <c r="D384" t="s">
        <v>3398</v>
      </c>
      <c r="E384" t="s">
        <v>4120</v>
      </c>
      <c r="F384" t="s">
        <v>4114</v>
      </c>
      <c r="G384" t="s">
        <v>4121</v>
      </c>
      <c r="H384" t="s">
        <v>2603</v>
      </c>
      <c r="I384">
        <v>2020</v>
      </c>
      <c r="J384" t="s">
        <v>4116</v>
      </c>
    </row>
    <row r="385" spans="1:10" x14ac:dyDescent="0.25">
      <c r="A385">
        <v>384</v>
      </c>
      <c r="B385" t="s">
        <v>944</v>
      </c>
      <c r="C385" t="s">
        <v>941</v>
      </c>
      <c r="D385" t="s">
        <v>3399</v>
      </c>
      <c r="E385" t="s">
        <v>4129</v>
      </c>
      <c r="F385" t="s">
        <v>4114</v>
      </c>
      <c r="G385" t="s">
        <v>4121</v>
      </c>
      <c r="H385" t="s">
        <v>2603</v>
      </c>
      <c r="I385">
        <v>2017</v>
      </c>
      <c r="J385" t="s">
        <v>4116</v>
      </c>
    </row>
    <row r="386" spans="1:10" x14ac:dyDescent="0.25">
      <c r="A386">
        <v>385</v>
      </c>
      <c r="B386" t="s">
        <v>945</v>
      </c>
      <c r="C386" t="s">
        <v>215</v>
      </c>
      <c r="D386" t="s">
        <v>3400</v>
      </c>
      <c r="E386" t="s">
        <v>4117</v>
      </c>
      <c r="F386" t="s">
        <v>4114</v>
      </c>
      <c r="G386" t="s">
        <v>4133</v>
      </c>
      <c r="H386" t="s">
        <v>2494</v>
      </c>
      <c r="I386">
        <v>2005</v>
      </c>
      <c r="J386" t="s">
        <v>4116</v>
      </c>
    </row>
    <row r="387" spans="1:10" x14ac:dyDescent="0.25">
      <c r="A387">
        <v>386</v>
      </c>
      <c r="B387" t="s">
        <v>946</v>
      </c>
      <c r="C387" t="s">
        <v>947</v>
      </c>
      <c r="D387" t="s">
        <v>3401</v>
      </c>
      <c r="E387" t="s">
        <v>4136</v>
      </c>
      <c r="F387" t="s">
        <v>4114</v>
      </c>
      <c r="G387" t="s">
        <v>4121</v>
      </c>
      <c r="H387" t="s">
        <v>2603</v>
      </c>
      <c r="I387">
        <v>2011</v>
      </c>
      <c r="J387" t="s">
        <v>4125</v>
      </c>
    </row>
    <row r="388" spans="1:10" x14ac:dyDescent="0.25">
      <c r="A388">
        <v>387</v>
      </c>
      <c r="B388" t="s">
        <v>3402</v>
      </c>
      <c r="C388" t="s">
        <v>616</v>
      </c>
      <c r="D388" t="s">
        <v>3403</v>
      </c>
      <c r="E388" t="s">
        <v>4129</v>
      </c>
      <c r="F388" t="s">
        <v>4114</v>
      </c>
      <c r="G388" t="s">
        <v>4115</v>
      </c>
      <c r="H388" t="s">
        <v>2603</v>
      </c>
      <c r="I388">
        <v>2019</v>
      </c>
      <c r="J388" t="s">
        <v>4125</v>
      </c>
    </row>
    <row r="389" spans="1:10" x14ac:dyDescent="0.25">
      <c r="A389">
        <v>388</v>
      </c>
      <c r="B389" t="s">
        <v>2703</v>
      </c>
      <c r="C389" t="s">
        <v>951</v>
      </c>
      <c r="D389" t="s">
        <v>3404</v>
      </c>
      <c r="E389" t="s">
        <v>4140</v>
      </c>
      <c r="F389" t="s">
        <v>4131</v>
      </c>
      <c r="G389" t="s">
        <v>4121</v>
      </c>
      <c r="H389" t="s">
        <v>2603</v>
      </c>
      <c r="I389">
        <v>2002</v>
      </c>
      <c r="J389" t="s">
        <v>4125</v>
      </c>
    </row>
    <row r="390" spans="1:10" x14ac:dyDescent="0.25">
      <c r="A390">
        <v>389</v>
      </c>
      <c r="B390" t="s">
        <v>953</v>
      </c>
      <c r="C390" t="s">
        <v>722</v>
      </c>
      <c r="D390" t="s">
        <v>3405</v>
      </c>
      <c r="E390" t="s">
        <v>4113</v>
      </c>
      <c r="F390" t="s">
        <v>4114</v>
      </c>
      <c r="G390" t="s">
        <v>4121</v>
      </c>
      <c r="H390" t="s">
        <v>2603</v>
      </c>
      <c r="I390">
        <v>1961</v>
      </c>
      <c r="J390" t="s">
        <v>4116</v>
      </c>
    </row>
    <row r="391" spans="1:10" x14ac:dyDescent="0.25">
      <c r="A391">
        <v>390</v>
      </c>
      <c r="B391" t="s">
        <v>2704</v>
      </c>
      <c r="C391" t="s">
        <v>954</v>
      </c>
      <c r="D391" t="s">
        <v>3406</v>
      </c>
      <c r="E391" t="s">
        <v>4134</v>
      </c>
      <c r="F391" t="s">
        <v>4114</v>
      </c>
      <c r="G391" t="s">
        <v>4115</v>
      </c>
      <c r="H391" t="s">
        <v>2603</v>
      </c>
      <c r="I391">
        <v>2020</v>
      </c>
      <c r="J391" t="s">
        <v>4125</v>
      </c>
    </row>
    <row r="392" spans="1:10" x14ac:dyDescent="0.25">
      <c r="A392">
        <v>391</v>
      </c>
      <c r="B392" t="s">
        <v>956</v>
      </c>
      <c r="C392" t="s">
        <v>849</v>
      </c>
      <c r="D392" t="s">
        <v>3407</v>
      </c>
      <c r="E392" t="s">
        <v>4113</v>
      </c>
      <c r="F392" t="s">
        <v>4114</v>
      </c>
      <c r="G392" t="s">
        <v>4148</v>
      </c>
      <c r="H392" t="s">
        <v>2486</v>
      </c>
      <c r="I392">
        <v>1990</v>
      </c>
      <c r="J392" t="s">
        <v>4116</v>
      </c>
    </row>
    <row r="393" spans="1:10" x14ac:dyDescent="0.25">
      <c r="A393">
        <v>392</v>
      </c>
      <c r="B393" t="s">
        <v>3408</v>
      </c>
      <c r="C393" t="s">
        <v>552</v>
      </c>
      <c r="D393" t="s">
        <v>3409</v>
      </c>
      <c r="E393" t="s">
        <v>4117</v>
      </c>
      <c r="F393" t="s">
        <v>4114</v>
      </c>
      <c r="G393" t="s">
        <v>4127</v>
      </c>
      <c r="H393" t="s">
        <v>4128</v>
      </c>
      <c r="I393">
        <v>2021</v>
      </c>
      <c r="J393" t="s">
        <v>4116</v>
      </c>
    </row>
    <row r="394" spans="1:10" x14ac:dyDescent="0.25">
      <c r="A394">
        <v>393</v>
      </c>
      <c r="B394" t="s">
        <v>3410</v>
      </c>
      <c r="C394" t="s">
        <v>174</v>
      </c>
      <c r="D394" t="s">
        <v>3411</v>
      </c>
      <c r="E394" t="s">
        <v>4120</v>
      </c>
      <c r="F394" t="s">
        <v>4114</v>
      </c>
      <c r="G394" t="s">
        <v>4115</v>
      </c>
      <c r="H394" t="s">
        <v>2603</v>
      </c>
      <c r="I394">
        <v>1988</v>
      </c>
      <c r="J394" t="s">
        <v>4116</v>
      </c>
    </row>
    <row r="395" spans="1:10" x14ac:dyDescent="0.25">
      <c r="A395">
        <v>394</v>
      </c>
      <c r="B395" t="s">
        <v>3412</v>
      </c>
      <c r="C395" t="s">
        <v>280</v>
      </c>
      <c r="D395" t="s">
        <v>3413</v>
      </c>
      <c r="E395" t="s">
        <v>4117</v>
      </c>
      <c r="F395" t="s">
        <v>4114</v>
      </c>
      <c r="G395" t="s">
        <v>4115</v>
      </c>
      <c r="H395" t="s">
        <v>2603</v>
      </c>
      <c r="I395">
        <v>2022</v>
      </c>
      <c r="J395" t="s">
        <v>4116</v>
      </c>
    </row>
    <row r="396" spans="1:10" x14ac:dyDescent="0.25">
      <c r="A396">
        <v>395</v>
      </c>
      <c r="B396" t="s">
        <v>3414</v>
      </c>
      <c r="C396" t="s">
        <v>280</v>
      </c>
      <c r="D396" t="s">
        <v>3415</v>
      </c>
      <c r="E396" t="s">
        <v>4117</v>
      </c>
      <c r="F396" t="s">
        <v>4114</v>
      </c>
      <c r="G396" t="s">
        <v>4115</v>
      </c>
      <c r="H396" t="s">
        <v>2603</v>
      </c>
      <c r="I396">
        <v>2012</v>
      </c>
      <c r="J396" t="s">
        <v>4116</v>
      </c>
    </row>
    <row r="397" spans="1:10" x14ac:dyDescent="0.25">
      <c r="A397">
        <v>396</v>
      </c>
      <c r="B397" t="s">
        <v>964</v>
      </c>
      <c r="C397" t="s">
        <v>965</v>
      </c>
      <c r="D397" t="s">
        <v>3416</v>
      </c>
      <c r="E397" t="s">
        <v>4134</v>
      </c>
      <c r="F397" t="s">
        <v>4114</v>
      </c>
      <c r="G397" t="s">
        <v>4115</v>
      </c>
      <c r="H397" t="s">
        <v>2603</v>
      </c>
      <c r="I397">
        <v>2015</v>
      </c>
      <c r="J397" t="s">
        <v>4125</v>
      </c>
    </row>
    <row r="398" spans="1:10" x14ac:dyDescent="0.25">
      <c r="A398">
        <v>397</v>
      </c>
      <c r="B398" t="s">
        <v>3417</v>
      </c>
      <c r="C398" t="s">
        <v>280</v>
      </c>
      <c r="D398" t="s">
        <v>3418</v>
      </c>
      <c r="E398" t="s">
        <v>4117</v>
      </c>
      <c r="F398" t="s">
        <v>4114</v>
      </c>
      <c r="G398" t="s">
        <v>4115</v>
      </c>
      <c r="H398" t="s">
        <v>2603</v>
      </c>
      <c r="I398">
        <v>2011</v>
      </c>
      <c r="J398" t="s">
        <v>4116</v>
      </c>
    </row>
    <row r="399" spans="1:10" x14ac:dyDescent="0.25">
      <c r="A399">
        <v>398</v>
      </c>
      <c r="B399" t="s">
        <v>3419</v>
      </c>
      <c r="C399" t="s">
        <v>280</v>
      </c>
      <c r="D399" t="s">
        <v>3420</v>
      </c>
      <c r="E399" t="s">
        <v>4117</v>
      </c>
      <c r="F399" t="s">
        <v>4114</v>
      </c>
      <c r="G399" t="s">
        <v>4115</v>
      </c>
      <c r="H399" t="s">
        <v>2603</v>
      </c>
      <c r="I399">
        <v>2009</v>
      </c>
      <c r="J399" t="s">
        <v>4116</v>
      </c>
    </row>
    <row r="400" spans="1:10" x14ac:dyDescent="0.25">
      <c r="A400">
        <v>399</v>
      </c>
      <c r="B400" t="s">
        <v>973</v>
      </c>
      <c r="C400" t="s">
        <v>62</v>
      </c>
      <c r="D400" t="s">
        <v>3421</v>
      </c>
      <c r="E400" t="s">
        <v>4129</v>
      </c>
      <c r="F400" t="s">
        <v>4114</v>
      </c>
      <c r="G400" t="s">
        <v>4133</v>
      </c>
      <c r="H400" t="s">
        <v>2494</v>
      </c>
      <c r="I400">
        <v>2011</v>
      </c>
      <c r="J400" t="s">
        <v>4116</v>
      </c>
    </row>
    <row r="401" spans="1:10" x14ac:dyDescent="0.25">
      <c r="A401">
        <v>400</v>
      </c>
      <c r="B401" t="s">
        <v>974</v>
      </c>
      <c r="C401" t="s">
        <v>62</v>
      </c>
      <c r="D401" t="s">
        <v>3422</v>
      </c>
      <c r="E401" t="s">
        <v>4129</v>
      </c>
      <c r="F401" t="s">
        <v>4114</v>
      </c>
      <c r="G401" t="s">
        <v>4133</v>
      </c>
      <c r="H401" t="s">
        <v>2494</v>
      </c>
      <c r="I401">
        <v>2011</v>
      </c>
      <c r="J401" t="s">
        <v>4116</v>
      </c>
    </row>
    <row r="402" spans="1:10" x14ac:dyDescent="0.25">
      <c r="A402">
        <v>401</v>
      </c>
      <c r="B402" t="s">
        <v>975</v>
      </c>
      <c r="C402" t="s">
        <v>364</v>
      </c>
      <c r="D402" t="s">
        <v>3423</v>
      </c>
      <c r="E402" t="s">
        <v>4126</v>
      </c>
      <c r="F402" t="s">
        <v>4114</v>
      </c>
      <c r="G402" t="s">
        <v>4159</v>
      </c>
      <c r="H402" t="s">
        <v>4160</v>
      </c>
      <c r="I402">
        <v>2002</v>
      </c>
      <c r="J402" t="s">
        <v>4147</v>
      </c>
    </row>
    <row r="403" spans="1:10" x14ac:dyDescent="0.25">
      <c r="A403">
        <v>402</v>
      </c>
      <c r="B403" t="s">
        <v>3424</v>
      </c>
      <c r="C403" t="s">
        <v>174</v>
      </c>
      <c r="D403" t="s">
        <v>3425</v>
      </c>
      <c r="E403" t="s">
        <v>4120</v>
      </c>
      <c r="F403" t="s">
        <v>4114</v>
      </c>
      <c r="G403" t="s">
        <v>4115</v>
      </c>
      <c r="H403" t="s">
        <v>2603</v>
      </c>
      <c r="I403">
        <v>1987</v>
      </c>
      <c r="J403" t="s">
        <v>4116</v>
      </c>
    </row>
    <row r="404" spans="1:10" x14ac:dyDescent="0.25">
      <c r="A404">
        <v>403</v>
      </c>
      <c r="B404" t="s">
        <v>978</v>
      </c>
      <c r="C404" t="s">
        <v>364</v>
      </c>
      <c r="D404" t="s">
        <v>3426</v>
      </c>
      <c r="E404" t="s">
        <v>4126</v>
      </c>
      <c r="F404" t="s">
        <v>4114</v>
      </c>
      <c r="G404" t="s">
        <v>4159</v>
      </c>
      <c r="H404" t="s">
        <v>4160</v>
      </c>
      <c r="I404">
        <v>1992</v>
      </c>
      <c r="J404" t="s">
        <v>4147</v>
      </c>
    </row>
    <row r="405" spans="1:10" x14ac:dyDescent="0.25">
      <c r="A405">
        <v>404</v>
      </c>
      <c r="B405" t="s">
        <v>3427</v>
      </c>
      <c r="C405" t="s">
        <v>280</v>
      </c>
      <c r="D405" t="s">
        <v>3428</v>
      </c>
      <c r="E405" t="s">
        <v>4117</v>
      </c>
      <c r="F405" t="s">
        <v>4114</v>
      </c>
      <c r="G405" t="s">
        <v>4115</v>
      </c>
      <c r="H405" t="s">
        <v>2603</v>
      </c>
      <c r="I405">
        <v>2017</v>
      </c>
      <c r="J405" t="s">
        <v>4116</v>
      </c>
    </row>
    <row r="406" spans="1:10" x14ac:dyDescent="0.25">
      <c r="A406">
        <v>405</v>
      </c>
      <c r="B406" t="s">
        <v>981</v>
      </c>
      <c r="C406" t="s">
        <v>62</v>
      </c>
      <c r="D406" t="s">
        <v>3429</v>
      </c>
      <c r="E406" t="s">
        <v>4129</v>
      </c>
      <c r="F406" t="s">
        <v>4114</v>
      </c>
      <c r="G406" t="s">
        <v>4133</v>
      </c>
      <c r="H406" t="s">
        <v>2494</v>
      </c>
      <c r="I406">
        <v>2010</v>
      </c>
      <c r="J406" t="s">
        <v>4116</v>
      </c>
    </row>
    <row r="407" spans="1:10" x14ac:dyDescent="0.25">
      <c r="A407">
        <v>406</v>
      </c>
      <c r="B407" t="s">
        <v>3430</v>
      </c>
      <c r="C407" t="s">
        <v>280</v>
      </c>
      <c r="D407" t="s">
        <v>3431</v>
      </c>
      <c r="E407" t="s">
        <v>4117</v>
      </c>
      <c r="F407" t="s">
        <v>4114</v>
      </c>
      <c r="G407" t="s">
        <v>4115</v>
      </c>
      <c r="H407" t="s">
        <v>2603</v>
      </c>
      <c r="I407">
        <v>2010</v>
      </c>
      <c r="J407" t="s">
        <v>4116</v>
      </c>
    </row>
    <row r="408" spans="1:10" x14ac:dyDescent="0.25">
      <c r="A408">
        <v>407</v>
      </c>
      <c r="B408" t="s">
        <v>3432</v>
      </c>
      <c r="C408" t="s">
        <v>280</v>
      </c>
      <c r="D408" t="s">
        <v>3433</v>
      </c>
      <c r="E408" t="s">
        <v>4117</v>
      </c>
      <c r="F408" t="s">
        <v>4114</v>
      </c>
      <c r="G408" t="s">
        <v>4115</v>
      </c>
      <c r="H408" t="s">
        <v>2603</v>
      </c>
      <c r="I408">
        <v>2017</v>
      </c>
      <c r="J408" t="s">
        <v>4116</v>
      </c>
    </row>
    <row r="409" spans="1:10" x14ac:dyDescent="0.25">
      <c r="A409">
        <v>408</v>
      </c>
      <c r="B409" t="s">
        <v>2713</v>
      </c>
      <c r="C409" t="s">
        <v>986</v>
      </c>
      <c r="D409" t="s">
        <v>3434</v>
      </c>
      <c r="E409" t="s">
        <v>4155</v>
      </c>
      <c r="F409" t="s">
        <v>4131</v>
      </c>
      <c r="G409" t="s">
        <v>4123</v>
      </c>
      <c r="H409" t="s">
        <v>4124</v>
      </c>
      <c r="I409">
        <v>2014</v>
      </c>
      <c r="J409" t="s">
        <v>4125</v>
      </c>
    </row>
    <row r="410" spans="1:10" x14ac:dyDescent="0.25">
      <c r="A410">
        <v>409</v>
      </c>
      <c r="B410" t="s">
        <v>988</v>
      </c>
      <c r="C410" t="s">
        <v>989</v>
      </c>
      <c r="D410" t="s">
        <v>3435</v>
      </c>
      <c r="E410" t="s">
        <v>4155</v>
      </c>
      <c r="F410" t="s">
        <v>4131</v>
      </c>
      <c r="G410" t="s">
        <v>4148</v>
      </c>
      <c r="H410" t="s">
        <v>2486</v>
      </c>
      <c r="I410">
        <v>2021</v>
      </c>
      <c r="J410" t="s">
        <v>4125</v>
      </c>
    </row>
    <row r="411" spans="1:10" x14ac:dyDescent="0.25">
      <c r="A411">
        <v>410</v>
      </c>
      <c r="B411" t="s">
        <v>3436</v>
      </c>
      <c r="C411" t="s">
        <v>280</v>
      </c>
      <c r="D411" t="s">
        <v>3437</v>
      </c>
      <c r="E411" t="s">
        <v>4117</v>
      </c>
      <c r="F411" t="s">
        <v>4114</v>
      </c>
      <c r="G411" t="s">
        <v>4115</v>
      </c>
      <c r="H411" t="s">
        <v>2603</v>
      </c>
      <c r="I411">
        <v>2008</v>
      </c>
      <c r="J411" t="s">
        <v>4116</v>
      </c>
    </row>
    <row r="412" spans="1:10" x14ac:dyDescent="0.25">
      <c r="A412">
        <v>411</v>
      </c>
      <c r="B412" t="s">
        <v>3438</v>
      </c>
      <c r="C412" t="s">
        <v>280</v>
      </c>
      <c r="D412" t="s">
        <v>3439</v>
      </c>
      <c r="E412" t="s">
        <v>4117</v>
      </c>
      <c r="F412" t="s">
        <v>4114</v>
      </c>
      <c r="G412" t="s">
        <v>4115</v>
      </c>
      <c r="H412" t="s">
        <v>2603</v>
      </c>
      <c r="I412">
        <v>2007</v>
      </c>
      <c r="J412" t="s">
        <v>4116</v>
      </c>
    </row>
    <row r="413" spans="1:10" x14ac:dyDescent="0.25">
      <c r="A413">
        <v>412</v>
      </c>
      <c r="B413" t="s">
        <v>3440</v>
      </c>
      <c r="C413" t="s">
        <v>996</v>
      </c>
      <c r="D413" t="s">
        <v>3441</v>
      </c>
      <c r="E413" t="s">
        <v>4120</v>
      </c>
      <c r="F413" t="s">
        <v>4114</v>
      </c>
      <c r="G413" t="s">
        <v>4148</v>
      </c>
      <c r="H413" t="s">
        <v>2486</v>
      </c>
      <c r="I413">
        <v>2019</v>
      </c>
      <c r="J413" t="s">
        <v>4125</v>
      </c>
    </row>
    <row r="414" spans="1:10" x14ac:dyDescent="0.25">
      <c r="A414">
        <v>413</v>
      </c>
      <c r="B414" t="s">
        <v>3442</v>
      </c>
      <c r="C414" t="s">
        <v>996</v>
      </c>
      <c r="D414" t="s">
        <v>3443</v>
      </c>
      <c r="E414" t="s">
        <v>4120</v>
      </c>
      <c r="F414" t="s">
        <v>4114</v>
      </c>
      <c r="G414" t="s">
        <v>4148</v>
      </c>
      <c r="H414" t="s">
        <v>2486</v>
      </c>
      <c r="I414">
        <v>2017</v>
      </c>
      <c r="J414" t="s">
        <v>4125</v>
      </c>
    </row>
    <row r="415" spans="1:10" x14ac:dyDescent="0.25">
      <c r="A415">
        <v>414</v>
      </c>
      <c r="B415" t="s">
        <v>3444</v>
      </c>
      <c r="C415" t="s">
        <v>280</v>
      </c>
      <c r="D415" t="s">
        <v>3445</v>
      </c>
      <c r="E415" t="s">
        <v>4117</v>
      </c>
      <c r="F415" t="s">
        <v>4114</v>
      </c>
      <c r="G415" t="s">
        <v>4115</v>
      </c>
      <c r="H415" t="s">
        <v>2603</v>
      </c>
      <c r="I415">
        <v>2006</v>
      </c>
      <c r="J415" t="s">
        <v>4116</v>
      </c>
    </row>
    <row r="416" spans="1:10" x14ac:dyDescent="0.25">
      <c r="A416">
        <v>415</v>
      </c>
      <c r="B416" t="s">
        <v>1001</v>
      </c>
      <c r="C416" t="s">
        <v>1002</v>
      </c>
      <c r="D416" t="s">
        <v>3446</v>
      </c>
      <c r="E416" t="s">
        <v>4155</v>
      </c>
      <c r="F416" t="s">
        <v>4131</v>
      </c>
      <c r="G416" t="s">
        <v>4142</v>
      </c>
      <c r="H416" t="s">
        <v>4143</v>
      </c>
      <c r="I416">
        <v>2009</v>
      </c>
      <c r="J416" t="s">
        <v>4116</v>
      </c>
    </row>
    <row r="417" spans="1:10" x14ac:dyDescent="0.25">
      <c r="A417">
        <v>416</v>
      </c>
      <c r="B417" t="s">
        <v>3447</v>
      </c>
      <c r="C417" t="s">
        <v>1006</v>
      </c>
      <c r="D417" t="s">
        <v>3448</v>
      </c>
      <c r="E417" t="s">
        <v>4117</v>
      </c>
      <c r="F417" t="s">
        <v>4114</v>
      </c>
      <c r="G417" t="s">
        <v>4115</v>
      </c>
      <c r="H417" t="s">
        <v>2603</v>
      </c>
      <c r="I417">
        <v>2019</v>
      </c>
      <c r="J417" t="s">
        <v>4125</v>
      </c>
    </row>
    <row r="418" spans="1:10" x14ac:dyDescent="0.25">
      <c r="A418">
        <v>417</v>
      </c>
      <c r="B418" t="s">
        <v>3449</v>
      </c>
      <c r="C418" t="s">
        <v>1010</v>
      </c>
      <c r="D418" t="s">
        <v>3450</v>
      </c>
      <c r="E418" t="s">
        <v>4113</v>
      </c>
      <c r="F418" t="s">
        <v>4114</v>
      </c>
      <c r="G418" t="s">
        <v>4121</v>
      </c>
      <c r="H418" t="s">
        <v>2603</v>
      </c>
      <c r="I418">
        <v>1976</v>
      </c>
      <c r="J418" t="s">
        <v>4116</v>
      </c>
    </row>
    <row r="419" spans="1:10" x14ac:dyDescent="0.25">
      <c r="A419">
        <v>418</v>
      </c>
      <c r="B419" t="s">
        <v>1012</v>
      </c>
      <c r="C419" t="s">
        <v>1013</v>
      </c>
      <c r="D419" t="s">
        <v>3451</v>
      </c>
      <c r="E419" t="s">
        <v>4155</v>
      </c>
      <c r="F419" t="s">
        <v>4131</v>
      </c>
      <c r="G419" t="s">
        <v>4123</v>
      </c>
      <c r="H419" t="s">
        <v>2603</v>
      </c>
      <c r="I419">
        <v>2021</v>
      </c>
      <c r="J419" t="s">
        <v>4116</v>
      </c>
    </row>
    <row r="420" spans="1:10" x14ac:dyDescent="0.25">
      <c r="A420">
        <v>419</v>
      </c>
      <c r="B420" t="s">
        <v>3452</v>
      </c>
      <c r="C420" t="s">
        <v>1010</v>
      </c>
      <c r="D420" t="s">
        <v>3453</v>
      </c>
      <c r="E420" t="s">
        <v>4113</v>
      </c>
      <c r="F420" t="s">
        <v>4114</v>
      </c>
      <c r="G420" t="s">
        <v>4121</v>
      </c>
      <c r="H420" t="s">
        <v>2603</v>
      </c>
      <c r="I420">
        <v>1969</v>
      </c>
      <c r="J420" t="s">
        <v>4116</v>
      </c>
    </row>
    <row r="421" spans="1:10" x14ac:dyDescent="0.25">
      <c r="A421">
        <v>420</v>
      </c>
      <c r="B421" t="s">
        <v>3454</v>
      </c>
      <c r="C421" t="s">
        <v>1010</v>
      </c>
      <c r="D421" t="s">
        <v>3455</v>
      </c>
      <c r="E421" t="s">
        <v>4113</v>
      </c>
      <c r="F421" t="s">
        <v>4114</v>
      </c>
      <c r="G421" t="s">
        <v>4121</v>
      </c>
      <c r="H421" t="s">
        <v>2603</v>
      </c>
      <c r="I421">
        <v>1965</v>
      </c>
      <c r="J421" t="s">
        <v>4116</v>
      </c>
    </row>
    <row r="422" spans="1:10" x14ac:dyDescent="0.25">
      <c r="A422">
        <v>421</v>
      </c>
      <c r="B422" t="s">
        <v>1019</v>
      </c>
      <c r="C422" t="s">
        <v>1020</v>
      </c>
      <c r="D422" t="s">
        <v>3456</v>
      </c>
      <c r="E422" t="s">
        <v>4155</v>
      </c>
      <c r="F422" t="s">
        <v>4131</v>
      </c>
      <c r="G422" t="s">
        <v>4148</v>
      </c>
      <c r="H422" t="s">
        <v>2486</v>
      </c>
      <c r="I422">
        <v>2018</v>
      </c>
      <c r="J422" t="s">
        <v>4125</v>
      </c>
    </row>
    <row r="423" spans="1:10" x14ac:dyDescent="0.25">
      <c r="A423">
        <v>422</v>
      </c>
      <c r="B423" t="s">
        <v>3457</v>
      </c>
      <c r="C423" t="s">
        <v>174</v>
      </c>
      <c r="D423" t="s">
        <v>3458</v>
      </c>
      <c r="E423" t="s">
        <v>4120</v>
      </c>
      <c r="F423" t="s">
        <v>4114</v>
      </c>
      <c r="G423" t="s">
        <v>4115</v>
      </c>
      <c r="H423" t="s">
        <v>2603</v>
      </c>
      <c r="I423">
        <v>1986</v>
      </c>
      <c r="J423" t="s">
        <v>4116</v>
      </c>
    </row>
    <row r="424" spans="1:10" x14ac:dyDescent="0.25">
      <c r="A424">
        <v>423</v>
      </c>
      <c r="B424" t="s">
        <v>3459</v>
      </c>
      <c r="C424" t="s">
        <v>174</v>
      </c>
      <c r="D424" t="s">
        <v>3460</v>
      </c>
      <c r="E424" t="s">
        <v>4120</v>
      </c>
      <c r="F424" t="s">
        <v>4114</v>
      </c>
      <c r="G424" t="s">
        <v>4115</v>
      </c>
      <c r="H424" t="s">
        <v>2603</v>
      </c>
      <c r="I424">
        <v>1983</v>
      </c>
      <c r="J424" t="s">
        <v>4116</v>
      </c>
    </row>
    <row r="425" spans="1:10" x14ac:dyDescent="0.25">
      <c r="A425">
        <v>424</v>
      </c>
      <c r="B425" t="s">
        <v>1026</v>
      </c>
      <c r="C425" t="s">
        <v>280</v>
      </c>
      <c r="D425" t="s">
        <v>3461</v>
      </c>
      <c r="E425" t="s">
        <v>4117</v>
      </c>
      <c r="F425" t="s">
        <v>4114</v>
      </c>
      <c r="G425" t="s">
        <v>4115</v>
      </c>
      <c r="H425" t="s">
        <v>2603</v>
      </c>
      <c r="I425">
        <v>2020</v>
      </c>
      <c r="J425" t="s">
        <v>4116</v>
      </c>
    </row>
    <row r="426" spans="1:10" x14ac:dyDescent="0.25">
      <c r="A426">
        <v>425</v>
      </c>
      <c r="B426" t="s">
        <v>3462</v>
      </c>
      <c r="C426" t="s">
        <v>359</v>
      </c>
      <c r="D426" t="s">
        <v>3463</v>
      </c>
      <c r="E426" t="s">
        <v>4117</v>
      </c>
      <c r="F426" t="s">
        <v>4114</v>
      </c>
      <c r="G426" t="s">
        <v>4142</v>
      </c>
      <c r="H426" t="s">
        <v>4143</v>
      </c>
      <c r="I426">
        <v>2019</v>
      </c>
      <c r="J426" t="s">
        <v>4116</v>
      </c>
    </row>
    <row r="427" spans="1:10" x14ac:dyDescent="0.25">
      <c r="A427">
        <v>426</v>
      </c>
      <c r="B427" t="s">
        <v>1143</v>
      </c>
      <c r="C427" t="s">
        <v>359</v>
      </c>
      <c r="D427" t="s">
        <v>3464</v>
      </c>
      <c r="E427" t="s">
        <v>4117</v>
      </c>
      <c r="F427" t="s">
        <v>4114</v>
      </c>
      <c r="G427" t="s">
        <v>4142</v>
      </c>
      <c r="H427" t="s">
        <v>4143</v>
      </c>
      <c r="I427">
        <v>2017</v>
      </c>
      <c r="J427" t="s">
        <v>4116</v>
      </c>
    </row>
    <row r="428" spans="1:10" x14ac:dyDescent="0.25">
      <c r="A428">
        <v>427</v>
      </c>
      <c r="B428" t="s">
        <v>1031</v>
      </c>
      <c r="C428" t="s">
        <v>954</v>
      </c>
      <c r="D428" t="s">
        <v>3465</v>
      </c>
      <c r="E428" t="s">
        <v>4134</v>
      </c>
      <c r="F428" t="s">
        <v>4114</v>
      </c>
      <c r="G428" t="s">
        <v>4115</v>
      </c>
      <c r="H428" t="s">
        <v>2603</v>
      </c>
      <c r="I428">
        <v>2019</v>
      </c>
      <c r="J428" t="s">
        <v>4125</v>
      </c>
    </row>
    <row r="429" spans="1:10" x14ac:dyDescent="0.25">
      <c r="A429">
        <v>428</v>
      </c>
      <c r="B429" t="s">
        <v>3466</v>
      </c>
      <c r="C429" t="s">
        <v>359</v>
      </c>
      <c r="D429" t="s">
        <v>3467</v>
      </c>
      <c r="E429" t="s">
        <v>4117</v>
      </c>
      <c r="F429" t="s">
        <v>4114</v>
      </c>
      <c r="G429" t="s">
        <v>4142</v>
      </c>
      <c r="H429" t="s">
        <v>4143</v>
      </c>
      <c r="I429">
        <v>2013</v>
      </c>
      <c r="J429" t="s">
        <v>4116</v>
      </c>
    </row>
    <row r="430" spans="1:10" x14ac:dyDescent="0.25">
      <c r="A430">
        <v>429</v>
      </c>
      <c r="B430" t="s">
        <v>1034</v>
      </c>
      <c r="C430" t="s">
        <v>18</v>
      </c>
      <c r="D430" t="s">
        <v>3468</v>
      </c>
      <c r="E430" t="s">
        <v>4130</v>
      </c>
      <c r="F430" t="s">
        <v>4131</v>
      </c>
      <c r="G430" t="s">
        <v>4133</v>
      </c>
      <c r="H430" t="s">
        <v>2494</v>
      </c>
      <c r="I430">
        <v>2021</v>
      </c>
      <c r="J430" t="s">
        <v>4116</v>
      </c>
    </row>
    <row r="431" spans="1:10" x14ac:dyDescent="0.25">
      <c r="A431">
        <v>430</v>
      </c>
      <c r="B431" t="s">
        <v>3469</v>
      </c>
      <c r="C431" t="s">
        <v>359</v>
      </c>
      <c r="D431" t="s">
        <v>3470</v>
      </c>
      <c r="E431" t="s">
        <v>4117</v>
      </c>
      <c r="F431" t="s">
        <v>4114</v>
      </c>
      <c r="G431" t="s">
        <v>4142</v>
      </c>
      <c r="H431" t="s">
        <v>4143</v>
      </c>
      <c r="I431">
        <v>2011</v>
      </c>
      <c r="J431" t="s">
        <v>4116</v>
      </c>
    </row>
    <row r="432" spans="1:10" x14ac:dyDescent="0.25">
      <c r="A432">
        <v>431</v>
      </c>
      <c r="B432" t="s">
        <v>2721</v>
      </c>
      <c r="C432" t="s">
        <v>1037</v>
      </c>
      <c r="D432" t="s">
        <v>3471</v>
      </c>
      <c r="E432" t="s">
        <v>4135</v>
      </c>
      <c r="F432" t="s">
        <v>4131</v>
      </c>
      <c r="G432" t="s">
        <v>4121</v>
      </c>
      <c r="H432" t="s">
        <v>2603</v>
      </c>
      <c r="I432">
        <v>2019</v>
      </c>
      <c r="J432" t="s">
        <v>4125</v>
      </c>
    </row>
    <row r="433" spans="1:10" x14ac:dyDescent="0.25">
      <c r="A433">
        <v>432</v>
      </c>
      <c r="B433" t="s">
        <v>1039</v>
      </c>
      <c r="C433" t="s">
        <v>1040</v>
      </c>
      <c r="D433" t="s">
        <v>3472</v>
      </c>
      <c r="E433" t="s">
        <v>4130</v>
      </c>
      <c r="F433" t="s">
        <v>4131</v>
      </c>
      <c r="G433" t="s">
        <v>4115</v>
      </c>
      <c r="H433" t="s">
        <v>2603</v>
      </c>
      <c r="I433">
        <v>2022</v>
      </c>
      <c r="J433" t="s">
        <v>4125</v>
      </c>
    </row>
    <row r="434" spans="1:10" x14ac:dyDescent="0.25">
      <c r="A434">
        <v>433</v>
      </c>
      <c r="B434" t="s">
        <v>2722</v>
      </c>
      <c r="C434" t="s">
        <v>359</v>
      </c>
      <c r="D434" t="s">
        <v>3473</v>
      </c>
      <c r="E434" t="s">
        <v>4117</v>
      </c>
      <c r="F434" t="s">
        <v>4114</v>
      </c>
      <c r="G434" t="s">
        <v>4142</v>
      </c>
      <c r="H434" t="s">
        <v>4143</v>
      </c>
      <c r="I434">
        <v>2009</v>
      </c>
      <c r="J434" t="s">
        <v>4116</v>
      </c>
    </row>
    <row r="435" spans="1:10" x14ac:dyDescent="0.25">
      <c r="A435">
        <v>434</v>
      </c>
      <c r="B435" t="s">
        <v>3474</v>
      </c>
      <c r="C435" t="s">
        <v>1006</v>
      </c>
      <c r="D435" t="s">
        <v>3475</v>
      </c>
      <c r="E435" t="s">
        <v>4117</v>
      </c>
      <c r="F435" t="s">
        <v>4114</v>
      </c>
      <c r="G435" t="s">
        <v>4115</v>
      </c>
      <c r="H435" t="s">
        <v>2603</v>
      </c>
      <c r="I435">
        <v>2019</v>
      </c>
      <c r="J435" t="s">
        <v>4125</v>
      </c>
    </row>
    <row r="436" spans="1:10" x14ac:dyDescent="0.25">
      <c r="A436">
        <v>435</v>
      </c>
      <c r="B436" t="s">
        <v>1045</v>
      </c>
      <c r="C436" t="s">
        <v>359</v>
      </c>
      <c r="D436" t="s">
        <v>3476</v>
      </c>
      <c r="E436" t="s">
        <v>4117</v>
      </c>
      <c r="F436" t="s">
        <v>4114</v>
      </c>
      <c r="G436" t="s">
        <v>4142</v>
      </c>
      <c r="H436" t="s">
        <v>4143</v>
      </c>
      <c r="I436">
        <v>2007</v>
      </c>
      <c r="J436" t="s">
        <v>4116</v>
      </c>
    </row>
    <row r="437" spans="1:10" x14ac:dyDescent="0.25">
      <c r="A437">
        <v>436</v>
      </c>
      <c r="B437" t="s">
        <v>3477</v>
      </c>
      <c r="C437" t="s">
        <v>1006</v>
      </c>
      <c r="D437" t="s">
        <v>3478</v>
      </c>
      <c r="E437" t="s">
        <v>4117</v>
      </c>
      <c r="F437" t="s">
        <v>4114</v>
      </c>
      <c r="G437" t="s">
        <v>4115</v>
      </c>
      <c r="H437" t="s">
        <v>2603</v>
      </c>
      <c r="I437">
        <v>2019</v>
      </c>
      <c r="J437" t="s">
        <v>4125</v>
      </c>
    </row>
    <row r="438" spans="1:10" x14ac:dyDescent="0.25">
      <c r="A438">
        <v>437</v>
      </c>
      <c r="B438" t="s">
        <v>3479</v>
      </c>
      <c r="C438" t="s">
        <v>359</v>
      </c>
      <c r="D438" t="s">
        <v>3480</v>
      </c>
      <c r="E438" t="s">
        <v>4117</v>
      </c>
      <c r="F438" t="s">
        <v>4114</v>
      </c>
      <c r="G438" t="s">
        <v>4142</v>
      </c>
      <c r="H438" t="s">
        <v>4143</v>
      </c>
      <c r="I438">
        <v>2005</v>
      </c>
      <c r="J438" t="s">
        <v>4116</v>
      </c>
    </row>
    <row r="439" spans="1:10" x14ac:dyDescent="0.25">
      <c r="A439">
        <v>438</v>
      </c>
      <c r="B439" t="s">
        <v>3481</v>
      </c>
      <c r="C439" t="s">
        <v>1050</v>
      </c>
      <c r="D439" t="s">
        <v>3482</v>
      </c>
      <c r="E439" t="s">
        <v>4149</v>
      </c>
      <c r="F439" t="s">
        <v>4114</v>
      </c>
      <c r="G439" t="s">
        <v>4121</v>
      </c>
      <c r="H439" t="s">
        <v>2603</v>
      </c>
      <c r="I439">
        <v>2007</v>
      </c>
      <c r="J439" t="s">
        <v>4125</v>
      </c>
    </row>
    <row r="440" spans="1:10" x14ac:dyDescent="0.25">
      <c r="A440">
        <v>439</v>
      </c>
      <c r="B440" t="s">
        <v>3483</v>
      </c>
      <c r="C440" t="s">
        <v>359</v>
      </c>
      <c r="D440" t="s">
        <v>3484</v>
      </c>
      <c r="E440" t="s">
        <v>4117</v>
      </c>
      <c r="F440" t="s">
        <v>4114</v>
      </c>
      <c r="G440" t="s">
        <v>4142</v>
      </c>
      <c r="H440" t="s">
        <v>4143</v>
      </c>
      <c r="I440">
        <v>2003</v>
      </c>
      <c r="J440" t="s">
        <v>4116</v>
      </c>
    </row>
    <row r="441" spans="1:10" x14ac:dyDescent="0.25">
      <c r="A441">
        <v>440</v>
      </c>
      <c r="B441" t="s">
        <v>3485</v>
      </c>
      <c r="C441" t="s">
        <v>1006</v>
      </c>
      <c r="D441" t="s">
        <v>3486</v>
      </c>
      <c r="E441" t="s">
        <v>4117</v>
      </c>
      <c r="F441" t="s">
        <v>4114</v>
      </c>
      <c r="G441" t="s">
        <v>4115</v>
      </c>
      <c r="H441" t="s">
        <v>2603</v>
      </c>
      <c r="I441">
        <v>2018</v>
      </c>
      <c r="J441" t="s">
        <v>4125</v>
      </c>
    </row>
    <row r="442" spans="1:10" x14ac:dyDescent="0.25">
      <c r="A442">
        <v>441</v>
      </c>
      <c r="B442" t="s">
        <v>3487</v>
      </c>
      <c r="C442" t="s">
        <v>359</v>
      </c>
      <c r="D442" t="s">
        <v>3488</v>
      </c>
      <c r="E442" t="s">
        <v>4117</v>
      </c>
      <c r="F442" t="s">
        <v>4114</v>
      </c>
      <c r="G442" t="s">
        <v>4142</v>
      </c>
      <c r="H442" t="s">
        <v>4143</v>
      </c>
      <c r="I442">
        <v>2002</v>
      </c>
      <c r="J442" t="s">
        <v>4116</v>
      </c>
    </row>
    <row r="443" spans="1:10" x14ac:dyDescent="0.25">
      <c r="A443">
        <v>442</v>
      </c>
      <c r="B443" t="s">
        <v>3489</v>
      </c>
      <c r="C443" t="s">
        <v>359</v>
      </c>
      <c r="D443" t="s">
        <v>3490</v>
      </c>
      <c r="E443" t="s">
        <v>4117</v>
      </c>
      <c r="F443" t="s">
        <v>4114</v>
      </c>
      <c r="G443" t="s">
        <v>4142</v>
      </c>
      <c r="H443" t="s">
        <v>4143</v>
      </c>
      <c r="I443">
        <v>2000</v>
      </c>
      <c r="J443" t="s">
        <v>4116</v>
      </c>
    </row>
    <row r="444" spans="1:10" x14ac:dyDescent="0.25">
      <c r="A444">
        <v>443</v>
      </c>
      <c r="B444" t="s">
        <v>3491</v>
      </c>
      <c r="C444" t="s">
        <v>359</v>
      </c>
      <c r="D444" t="s">
        <v>3492</v>
      </c>
      <c r="E444" t="s">
        <v>4117</v>
      </c>
      <c r="F444" t="s">
        <v>4114</v>
      </c>
      <c r="G444" t="s">
        <v>4142</v>
      </c>
      <c r="H444" t="s">
        <v>4143</v>
      </c>
      <c r="I444">
        <v>1998</v>
      </c>
      <c r="J444" t="s">
        <v>4116</v>
      </c>
    </row>
    <row r="445" spans="1:10" x14ac:dyDescent="0.25">
      <c r="A445">
        <v>444</v>
      </c>
      <c r="B445" t="s">
        <v>3493</v>
      </c>
      <c r="C445" t="s">
        <v>359</v>
      </c>
      <c r="D445" t="s">
        <v>3494</v>
      </c>
      <c r="E445" t="s">
        <v>4117</v>
      </c>
      <c r="F445" t="s">
        <v>4114</v>
      </c>
      <c r="G445" t="s">
        <v>4142</v>
      </c>
      <c r="H445" t="s">
        <v>4143</v>
      </c>
      <c r="I445">
        <v>1997</v>
      </c>
      <c r="J445" t="s">
        <v>4116</v>
      </c>
    </row>
    <row r="446" spans="1:10" x14ac:dyDescent="0.25">
      <c r="A446">
        <v>445</v>
      </c>
      <c r="B446" t="s">
        <v>1064</v>
      </c>
      <c r="C446" t="s">
        <v>1065</v>
      </c>
      <c r="D446" t="s">
        <v>3495</v>
      </c>
      <c r="E446" t="s">
        <v>4157</v>
      </c>
      <c r="F446" t="s">
        <v>4131</v>
      </c>
      <c r="G446" t="s">
        <v>4133</v>
      </c>
      <c r="H446" t="s">
        <v>2494</v>
      </c>
      <c r="I446">
        <v>2018</v>
      </c>
      <c r="J446" t="s">
        <v>4125</v>
      </c>
    </row>
    <row r="447" spans="1:10" x14ac:dyDescent="0.25">
      <c r="A447">
        <v>446</v>
      </c>
      <c r="B447" t="s">
        <v>1067</v>
      </c>
      <c r="C447" t="s">
        <v>1068</v>
      </c>
      <c r="D447" t="s">
        <v>3496</v>
      </c>
      <c r="E447" t="s">
        <v>4157</v>
      </c>
      <c r="F447" t="s">
        <v>4131</v>
      </c>
      <c r="G447" t="s">
        <v>4150</v>
      </c>
      <c r="H447" t="s">
        <v>4151</v>
      </c>
      <c r="I447">
        <v>2015</v>
      </c>
      <c r="J447" t="s">
        <v>4116</v>
      </c>
    </row>
    <row r="448" spans="1:10" x14ac:dyDescent="0.25">
      <c r="A448">
        <v>447</v>
      </c>
      <c r="B448" t="s">
        <v>3497</v>
      </c>
      <c r="C448" t="s">
        <v>954</v>
      </c>
      <c r="D448" t="s">
        <v>3498</v>
      </c>
      <c r="E448" t="s">
        <v>4134</v>
      </c>
      <c r="F448" t="s">
        <v>4114</v>
      </c>
      <c r="G448" t="s">
        <v>4115</v>
      </c>
      <c r="H448" t="s">
        <v>2603</v>
      </c>
      <c r="I448">
        <v>2017</v>
      </c>
      <c r="J448" t="s">
        <v>4125</v>
      </c>
    </row>
    <row r="449" spans="1:10" x14ac:dyDescent="0.25">
      <c r="A449">
        <v>448</v>
      </c>
      <c r="B449" t="s">
        <v>3499</v>
      </c>
      <c r="C449" t="s">
        <v>287</v>
      </c>
      <c r="D449" t="s">
        <v>3500</v>
      </c>
      <c r="E449" t="s">
        <v>4132</v>
      </c>
      <c r="F449" t="s">
        <v>4114</v>
      </c>
      <c r="G449" t="s">
        <v>4121</v>
      </c>
      <c r="H449" t="s">
        <v>2603</v>
      </c>
      <c r="I449">
        <v>2004</v>
      </c>
      <c r="J449" t="s">
        <v>4116</v>
      </c>
    </row>
    <row r="450" spans="1:10" x14ac:dyDescent="0.25">
      <c r="A450">
        <v>449</v>
      </c>
      <c r="B450" t="s">
        <v>1074</v>
      </c>
      <c r="C450" t="s">
        <v>1050</v>
      </c>
      <c r="D450" t="s">
        <v>3501</v>
      </c>
      <c r="E450" t="s">
        <v>4149</v>
      </c>
      <c r="F450" t="s">
        <v>4114</v>
      </c>
      <c r="G450" t="s">
        <v>4121</v>
      </c>
      <c r="H450" t="s">
        <v>2603</v>
      </c>
      <c r="I450">
        <v>2004</v>
      </c>
      <c r="J450" t="s">
        <v>4125</v>
      </c>
    </row>
    <row r="451" spans="1:10" x14ac:dyDescent="0.25">
      <c r="A451">
        <v>450</v>
      </c>
      <c r="B451" t="s">
        <v>1075</v>
      </c>
      <c r="C451" t="s">
        <v>1076</v>
      </c>
      <c r="D451" t="s">
        <v>3502</v>
      </c>
      <c r="E451" t="s">
        <v>4168</v>
      </c>
      <c r="F451" t="s">
        <v>4131</v>
      </c>
      <c r="G451" t="s">
        <v>4121</v>
      </c>
      <c r="H451" t="s">
        <v>2603</v>
      </c>
      <c r="I451">
        <v>1997</v>
      </c>
      <c r="J451" t="s">
        <v>4116</v>
      </c>
    </row>
    <row r="452" spans="1:10" x14ac:dyDescent="0.25">
      <c r="A452">
        <v>451</v>
      </c>
      <c r="B452" t="s">
        <v>3503</v>
      </c>
      <c r="C452" t="s">
        <v>287</v>
      </c>
      <c r="D452" t="s">
        <v>3504</v>
      </c>
      <c r="E452" t="s">
        <v>4132</v>
      </c>
      <c r="F452" t="s">
        <v>4114</v>
      </c>
      <c r="G452" t="s">
        <v>4121</v>
      </c>
      <c r="H452" t="s">
        <v>2603</v>
      </c>
      <c r="I452">
        <v>2004</v>
      </c>
      <c r="J452" t="s">
        <v>4116</v>
      </c>
    </row>
    <row r="453" spans="1:10" x14ac:dyDescent="0.25">
      <c r="A453">
        <v>452</v>
      </c>
      <c r="B453" t="s">
        <v>1080</v>
      </c>
      <c r="C453" t="s">
        <v>1081</v>
      </c>
      <c r="D453" t="s">
        <v>3505</v>
      </c>
      <c r="E453" t="s">
        <v>4157</v>
      </c>
      <c r="F453" t="s">
        <v>4131</v>
      </c>
      <c r="G453" t="s">
        <v>4148</v>
      </c>
      <c r="H453" t="s">
        <v>2486</v>
      </c>
      <c r="I453">
        <v>2020</v>
      </c>
      <c r="J453" t="s">
        <v>4125</v>
      </c>
    </row>
    <row r="454" spans="1:10" x14ac:dyDescent="0.25">
      <c r="A454">
        <v>453</v>
      </c>
      <c r="B454" t="s">
        <v>1083</v>
      </c>
      <c r="C454" t="s">
        <v>1084</v>
      </c>
      <c r="D454" t="s">
        <v>3506</v>
      </c>
      <c r="E454" t="s">
        <v>4157</v>
      </c>
      <c r="F454" t="s">
        <v>4131</v>
      </c>
      <c r="G454" t="s">
        <v>4121</v>
      </c>
      <c r="H454" t="s">
        <v>2603</v>
      </c>
      <c r="I454">
        <v>2018</v>
      </c>
      <c r="J454" t="s">
        <v>4116</v>
      </c>
    </row>
    <row r="455" spans="1:10" x14ac:dyDescent="0.25">
      <c r="A455">
        <v>454</v>
      </c>
      <c r="B455" t="s">
        <v>3507</v>
      </c>
      <c r="C455" t="s">
        <v>287</v>
      </c>
      <c r="D455" t="s">
        <v>3508</v>
      </c>
      <c r="E455" t="s">
        <v>4132</v>
      </c>
      <c r="F455" t="s">
        <v>4114</v>
      </c>
      <c r="G455" t="s">
        <v>4121</v>
      </c>
      <c r="H455" t="s">
        <v>2603</v>
      </c>
      <c r="I455">
        <v>2003</v>
      </c>
      <c r="J455" t="s">
        <v>4116</v>
      </c>
    </row>
    <row r="456" spans="1:10" x14ac:dyDescent="0.25">
      <c r="A456">
        <v>455</v>
      </c>
      <c r="B456" t="s">
        <v>1090</v>
      </c>
      <c r="C456" t="s">
        <v>1091</v>
      </c>
      <c r="D456" t="s">
        <v>3509</v>
      </c>
      <c r="E456" t="s">
        <v>4168</v>
      </c>
      <c r="F456" t="s">
        <v>4131</v>
      </c>
      <c r="G456" t="s">
        <v>4115</v>
      </c>
      <c r="H456" t="s">
        <v>2603</v>
      </c>
      <c r="I456">
        <v>2015</v>
      </c>
      <c r="J456" t="s">
        <v>4116</v>
      </c>
    </row>
    <row r="457" spans="1:10" x14ac:dyDescent="0.25">
      <c r="A457">
        <v>456</v>
      </c>
      <c r="B457" t="s">
        <v>1093</v>
      </c>
      <c r="C457" t="s">
        <v>1094</v>
      </c>
      <c r="D457" t="s">
        <v>3510</v>
      </c>
      <c r="E457" t="s">
        <v>4157</v>
      </c>
      <c r="F457" t="s">
        <v>4131</v>
      </c>
      <c r="G457" t="s">
        <v>4115</v>
      </c>
      <c r="H457" t="s">
        <v>2603</v>
      </c>
      <c r="I457">
        <v>2020</v>
      </c>
      <c r="J457" t="s">
        <v>4116</v>
      </c>
    </row>
    <row r="458" spans="1:10" x14ac:dyDescent="0.25">
      <c r="A458">
        <v>457</v>
      </c>
      <c r="B458" t="s">
        <v>1096</v>
      </c>
      <c r="C458" t="s">
        <v>1097</v>
      </c>
      <c r="D458" t="s">
        <v>3511</v>
      </c>
      <c r="E458" t="s">
        <v>4129</v>
      </c>
      <c r="F458" t="s">
        <v>4114</v>
      </c>
      <c r="G458" t="s">
        <v>4133</v>
      </c>
      <c r="H458" t="s">
        <v>2494</v>
      </c>
      <c r="I458">
        <v>2020</v>
      </c>
      <c r="J458" t="s">
        <v>4116</v>
      </c>
    </row>
    <row r="459" spans="1:10" x14ac:dyDescent="0.25">
      <c r="A459">
        <v>458</v>
      </c>
      <c r="B459" t="s">
        <v>3512</v>
      </c>
      <c r="C459" t="s">
        <v>287</v>
      </c>
      <c r="D459" t="s">
        <v>3513</v>
      </c>
      <c r="E459" t="s">
        <v>4132</v>
      </c>
      <c r="F459" t="s">
        <v>4114</v>
      </c>
      <c r="G459" t="s">
        <v>4121</v>
      </c>
      <c r="H459" t="s">
        <v>2603</v>
      </c>
      <c r="I459">
        <v>1997</v>
      </c>
      <c r="J459" t="s">
        <v>4116</v>
      </c>
    </row>
    <row r="460" spans="1:10" x14ac:dyDescent="0.25">
      <c r="A460">
        <v>459</v>
      </c>
      <c r="B460" t="s">
        <v>1101</v>
      </c>
      <c r="C460" t="s">
        <v>1094</v>
      </c>
      <c r="D460" t="s">
        <v>3514</v>
      </c>
      <c r="E460" t="s">
        <v>4168</v>
      </c>
      <c r="F460" t="s">
        <v>4131</v>
      </c>
      <c r="G460" t="s">
        <v>4115</v>
      </c>
      <c r="H460" t="s">
        <v>2603</v>
      </c>
      <c r="I460">
        <v>2019</v>
      </c>
      <c r="J460" t="s">
        <v>4116</v>
      </c>
    </row>
    <row r="461" spans="1:10" x14ac:dyDescent="0.25">
      <c r="A461">
        <v>460</v>
      </c>
      <c r="B461" t="s">
        <v>1102</v>
      </c>
      <c r="C461" t="s">
        <v>1103</v>
      </c>
      <c r="D461" t="s">
        <v>3515</v>
      </c>
      <c r="E461" t="s">
        <v>4168</v>
      </c>
      <c r="F461" t="s">
        <v>4131</v>
      </c>
      <c r="G461" t="s">
        <v>4133</v>
      </c>
      <c r="H461" t="s">
        <v>2494</v>
      </c>
      <c r="I461">
        <v>2019</v>
      </c>
      <c r="J461" t="s">
        <v>4116</v>
      </c>
    </row>
    <row r="462" spans="1:10" x14ac:dyDescent="0.25">
      <c r="A462">
        <v>461</v>
      </c>
      <c r="B462" t="s">
        <v>1105</v>
      </c>
      <c r="C462" t="s">
        <v>1106</v>
      </c>
      <c r="D462" t="s">
        <v>3516</v>
      </c>
      <c r="E462" t="s">
        <v>4157</v>
      </c>
      <c r="F462" t="s">
        <v>4131</v>
      </c>
      <c r="G462" t="s">
        <v>4115</v>
      </c>
      <c r="H462" t="s">
        <v>2603</v>
      </c>
      <c r="I462">
        <v>2016</v>
      </c>
      <c r="J462" t="s">
        <v>4116</v>
      </c>
    </row>
    <row r="463" spans="1:10" x14ac:dyDescent="0.25">
      <c r="A463">
        <v>462</v>
      </c>
      <c r="B463" t="s">
        <v>3517</v>
      </c>
      <c r="C463" t="s">
        <v>1110</v>
      </c>
      <c r="D463" t="s">
        <v>3518</v>
      </c>
      <c r="E463" t="s">
        <v>4113</v>
      </c>
      <c r="F463" t="s">
        <v>4114</v>
      </c>
      <c r="G463" t="s">
        <v>4123</v>
      </c>
      <c r="H463" t="s">
        <v>4124</v>
      </c>
      <c r="I463">
        <v>2017</v>
      </c>
      <c r="J463" t="s">
        <v>4116</v>
      </c>
    </row>
    <row r="464" spans="1:10" x14ac:dyDescent="0.25">
      <c r="A464">
        <v>463</v>
      </c>
      <c r="B464" t="s">
        <v>3519</v>
      </c>
      <c r="C464" t="s">
        <v>1006</v>
      </c>
      <c r="D464" t="s">
        <v>3520</v>
      </c>
      <c r="E464" t="s">
        <v>4117</v>
      </c>
      <c r="F464" t="s">
        <v>4114</v>
      </c>
      <c r="G464" t="s">
        <v>4115</v>
      </c>
      <c r="H464" t="s">
        <v>2603</v>
      </c>
      <c r="I464">
        <v>2018</v>
      </c>
      <c r="J464" t="s">
        <v>4125</v>
      </c>
    </row>
    <row r="465" spans="1:10" x14ac:dyDescent="0.25">
      <c r="A465">
        <v>464</v>
      </c>
      <c r="B465" t="s">
        <v>1114</v>
      </c>
      <c r="C465" t="s">
        <v>1115</v>
      </c>
      <c r="D465" t="s">
        <v>3521</v>
      </c>
      <c r="E465" t="s">
        <v>4149</v>
      </c>
      <c r="F465" t="s">
        <v>4114</v>
      </c>
      <c r="G465" t="s">
        <v>4115</v>
      </c>
      <c r="H465" t="s">
        <v>2603</v>
      </c>
      <c r="I465">
        <v>2020</v>
      </c>
      <c r="J465" t="s">
        <v>4125</v>
      </c>
    </row>
    <row r="466" spans="1:10" x14ac:dyDescent="0.25">
      <c r="A466">
        <v>465</v>
      </c>
      <c r="B466" t="s">
        <v>3522</v>
      </c>
      <c r="C466" t="s">
        <v>287</v>
      </c>
      <c r="D466" t="s">
        <v>3523</v>
      </c>
      <c r="E466" t="s">
        <v>4132</v>
      </c>
      <c r="F466" t="s">
        <v>4114</v>
      </c>
      <c r="G466" t="s">
        <v>4121</v>
      </c>
      <c r="H466" t="s">
        <v>2603</v>
      </c>
      <c r="I466">
        <v>1991</v>
      </c>
      <c r="J466" t="s">
        <v>4116</v>
      </c>
    </row>
    <row r="467" spans="1:10" x14ac:dyDescent="0.25">
      <c r="A467">
        <v>466</v>
      </c>
      <c r="B467" t="s">
        <v>2727</v>
      </c>
      <c r="C467" t="s">
        <v>1119</v>
      </c>
      <c r="D467" t="s">
        <v>3524</v>
      </c>
      <c r="E467" t="s">
        <v>4146</v>
      </c>
      <c r="F467" t="s">
        <v>4114</v>
      </c>
      <c r="G467" t="s">
        <v>4121</v>
      </c>
      <c r="H467" t="s">
        <v>2603</v>
      </c>
      <c r="I467">
        <v>2018</v>
      </c>
      <c r="J467" t="s">
        <v>4125</v>
      </c>
    </row>
    <row r="468" spans="1:10" x14ac:dyDescent="0.25">
      <c r="A468">
        <v>467</v>
      </c>
      <c r="B468" t="s">
        <v>3525</v>
      </c>
      <c r="C468" t="s">
        <v>287</v>
      </c>
      <c r="D468" t="s">
        <v>3526</v>
      </c>
      <c r="E468" t="s">
        <v>4132</v>
      </c>
      <c r="F468" t="s">
        <v>4114</v>
      </c>
      <c r="G468" t="s">
        <v>4121</v>
      </c>
      <c r="H468" t="s">
        <v>2603</v>
      </c>
      <c r="I468">
        <v>1987</v>
      </c>
      <c r="J468" t="s">
        <v>4116</v>
      </c>
    </row>
    <row r="469" spans="1:10" x14ac:dyDescent="0.25">
      <c r="A469">
        <v>468</v>
      </c>
      <c r="B469" t="s">
        <v>1123</v>
      </c>
      <c r="C469" t="s">
        <v>1124</v>
      </c>
      <c r="D469" t="s">
        <v>3527</v>
      </c>
      <c r="E469" t="s">
        <v>4155</v>
      </c>
      <c r="F469" t="s">
        <v>4131</v>
      </c>
      <c r="G469" t="s">
        <v>4133</v>
      </c>
      <c r="H469" t="s">
        <v>2494</v>
      </c>
      <c r="I469">
        <v>2021</v>
      </c>
      <c r="J469" t="s">
        <v>4116</v>
      </c>
    </row>
    <row r="470" spans="1:10" x14ac:dyDescent="0.25">
      <c r="A470">
        <v>469</v>
      </c>
      <c r="B470" t="s">
        <v>1126</v>
      </c>
      <c r="C470" t="s">
        <v>1127</v>
      </c>
      <c r="D470" t="s">
        <v>3528</v>
      </c>
      <c r="E470" t="s">
        <v>4135</v>
      </c>
      <c r="F470" t="s">
        <v>4131</v>
      </c>
      <c r="G470" t="s">
        <v>4118</v>
      </c>
      <c r="H470" t="s">
        <v>4119</v>
      </c>
      <c r="I470">
        <v>2012</v>
      </c>
      <c r="J470" t="s">
        <v>4116</v>
      </c>
    </row>
    <row r="471" spans="1:10" x14ac:dyDescent="0.25">
      <c r="A471">
        <v>470</v>
      </c>
      <c r="B471" t="s">
        <v>1129</v>
      </c>
      <c r="C471" t="s">
        <v>1130</v>
      </c>
      <c r="D471" t="s">
        <v>3529</v>
      </c>
      <c r="E471" t="s">
        <v>4129</v>
      </c>
      <c r="F471" t="s">
        <v>4114</v>
      </c>
      <c r="G471" t="s">
        <v>4137</v>
      </c>
      <c r="H471" t="s">
        <v>2603</v>
      </c>
      <c r="I471">
        <v>2021</v>
      </c>
      <c r="J471" t="s">
        <v>4125</v>
      </c>
    </row>
    <row r="472" spans="1:10" x14ac:dyDescent="0.25">
      <c r="A472">
        <v>471</v>
      </c>
      <c r="B472" t="s">
        <v>3530</v>
      </c>
      <c r="C472" t="s">
        <v>302</v>
      </c>
      <c r="D472" t="s">
        <v>3531</v>
      </c>
      <c r="E472" t="s">
        <v>4138</v>
      </c>
      <c r="F472" t="s">
        <v>4114</v>
      </c>
      <c r="G472" t="s">
        <v>4115</v>
      </c>
      <c r="H472" t="s">
        <v>2603</v>
      </c>
      <c r="I472">
        <v>1989</v>
      </c>
      <c r="J472" t="s">
        <v>4116</v>
      </c>
    </row>
    <row r="473" spans="1:10" x14ac:dyDescent="0.25">
      <c r="A473">
        <v>472</v>
      </c>
      <c r="B473" t="s">
        <v>1134</v>
      </c>
      <c r="C473" t="s">
        <v>1124</v>
      </c>
      <c r="D473" t="s">
        <v>3532</v>
      </c>
      <c r="E473" t="s">
        <v>4155</v>
      </c>
      <c r="F473" t="s">
        <v>4131</v>
      </c>
      <c r="G473" t="s">
        <v>4133</v>
      </c>
      <c r="H473" t="s">
        <v>2494</v>
      </c>
      <c r="I473">
        <v>2021</v>
      </c>
      <c r="J473" t="s">
        <v>4116</v>
      </c>
    </row>
    <row r="474" spans="1:10" x14ac:dyDescent="0.25">
      <c r="A474">
        <v>473</v>
      </c>
      <c r="B474" t="s">
        <v>2729</v>
      </c>
      <c r="C474" t="s">
        <v>1135</v>
      </c>
      <c r="D474" t="s">
        <v>3533</v>
      </c>
      <c r="E474" t="s">
        <v>4122</v>
      </c>
      <c r="F474" t="s">
        <v>4114</v>
      </c>
      <c r="G474" t="s">
        <v>4115</v>
      </c>
      <c r="H474" t="s">
        <v>2603</v>
      </c>
      <c r="I474">
        <v>2017</v>
      </c>
      <c r="J474" t="s">
        <v>4147</v>
      </c>
    </row>
    <row r="475" spans="1:10" x14ac:dyDescent="0.25">
      <c r="A475">
        <v>474</v>
      </c>
      <c r="B475" t="s">
        <v>3534</v>
      </c>
      <c r="C475" t="s">
        <v>287</v>
      </c>
      <c r="D475" t="s">
        <v>3535</v>
      </c>
      <c r="E475" t="s">
        <v>4132</v>
      </c>
      <c r="F475" t="s">
        <v>4114</v>
      </c>
      <c r="G475" t="s">
        <v>4121</v>
      </c>
      <c r="H475" t="s">
        <v>2603</v>
      </c>
      <c r="I475">
        <v>1982</v>
      </c>
      <c r="J475" t="s">
        <v>4116</v>
      </c>
    </row>
    <row r="476" spans="1:10" x14ac:dyDescent="0.25">
      <c r="A476">
        <v>475</v>
      </c>
      <c r="B476" t="s">
        <v>1139</v>
      </c>
      <c r="C476" t="s">
        <v>552</v>
      </c>
      <c r="D476" t="s">
        <v>3536</v>
      </c>
      <c r="E476" t="s">
        <v>4117</v>
      </c>
      <c r="F476" t="s">
        <v>4114</v>
      </c>
      <c r="G476" t="s">
        <v>4127</v>
      </c>
      <c r="H476" t="s">
        <v>4128</v>
      </c>
      <c r="I476">
        <v>2019</v>
      </c>
      <c r="J476" t="s">
        <v>4116</v>
      </c>
    </row>
    <row r="477" spans="1:10" x14ac:dyDescent="0.25">
      <c r="A477">
        <v>476</v>
      </c>
      <c r="B477" t="s">
        <v>1140</v>
      </c>
      <c r="C477" t="s">
        <v>287</v>
      </c>
      <c r="D477" t="s">
        <v>3537</v>
      </c>
      <c r="E477" t="s">
        <v>4132</v>
      </c>
      <c r="F477" t="s">
        <v>4114</v>
      </c>
      <c r="G477" t="s">
        <v>4121</v>
      </c>
      <c r="H477" t="s">
        <v>2603</v>
      </c>
      <c r="I477">
        <v>2019</v>
      </c>
      <c r="J477" t="s">
        <v>4116</v>
      </c>
    </row>
    <row r="478" spans="1:10" x14ac:dyDescent="0.25">
      <c r="A478">
        <v>477</v>
      </c>
      <c r="B478" t="s">
        <v>1141</v>
      </c>
      <c r="C478" t="s">
        <v>552</v>
      </c>
      <c r="D478" t="s">
        <v>3538</v>
      </c>
      <c r="E478" t="s">
        <v>4117</v>
      </c>
      <c r="F478" t="s">
        <v>4114</v>
      </c>
      <c r="G478" t="s">
        <v>4127</v>
      </c>
      <c r="H478" t="s">
        <v>4128</v>
      </c>
      <c r="I478">
        <v>2015</v>
      </c>
      <c r="J478" t="s">
        <v>4116</v>
      </c>
    </row>
    <row r="479" spans="1:10" x14ac:dyDescent="0.25">
      <c r="A479">
        <v>478</v>
      </c>
      <c r="B479" t="s">
        <v>1143</v>
      </c>
      <c r="C479" t="s">
        <v>62</v>
      </c>
      <c r="D479" t="s">
        <v>3539</v>
      </c>
      <c r="E479" t="s">
        <v>4132</v>
      </c>
      <c r="F479" t="s">
        <v>4114</v>
      </c>
      <c r="G479" t="s">
        <v>4133</v>
      </c>
      <c r="H479" t="s">
        <v>2494</v>
      </c>
      <c r="I479">
        <v>2021</v>
      </c>
      <c r="J479" t="s">
        <v>4116</v>
      </c>
    </row>
    <row r="480" spans="1:10" x14ac:dyDescent="0.25">
      <c r="A480">
        <v>479</v>
      </c>
      <c r="B480" t="s">
        <v>1144</v>
      </c>
      <c r="C480" t="s">
        <v>62</v>
      </c>
      <c r="D480" t="s">
        <v>3540</v>
      </c>
      <c r="E480" t="s">
        <v>4132</v>
      </c>
      <c r="F480" t="s">
        <v>4114</v>
      </c>
      <c r="G480" t="s">
        <v>4133</v>
      </c>
      <c r="H480" t="s">
        <v>2494</v>
      </c>
      <c r="I480">
        <v>2021</v>
      </c>
      <c r="J480" t="s">
        <v>4116</v>
      </c>
    </row>
    <row r="481" spans="1:10" x14ac:dyDescent="0.25">
      <c r="A481">
        <v>480</v>
      </c>
      <c r="B481" t="s">
        <v>1145</v>
      </c>
      <c r="C481" t="s">
        <v>1146</v>
      </c>
      <c r="D481" t="s">
        <v>3541</v>
      </c>
      <c r="E481" t="s">
        <v>4157</v>
      </c>
      <c r="F481" t="s">
        <v>4131</v>
      </c>
      <c r="G481" t="s">
        <v>4121</v>
      </c>
      <c r="H481" t="s">
        <v>2603</v>
      </c>
      <c r="I481">
        <v>2004</v>
      </c>
      <c r="J481" t="s">
        <v>4116</v>
      </c>
    </row>
    <row r="482" spans="1:10" x14ac:dyDescent="0.25">
      <c r="A482">
        <v>481</v>
      </c>
      <c r="B482" t="s">
        <v>3542</v>
      </c>
      <c r="C482" t="s">
        <v>552</v>
      </c>
      <c r="D482" t="s">
        <v>3543</v>
      </c>
      <c r="E482" t="s">
        <v>4117</v>
      </c>
      <c r="F482" t="s">
        <v>4114</v>
      </c>
      <c r="G482" t="s">
        <v>4127</v>
      </c>
      <c r="H482" t="s">
        <v>4128</v>
      </c>
      <c r="I482">
        <v>2020</v>
      </c>
      <c r="J482" t="s">
        <v>4116</v>
      </c>
    </row>
    <row r="483" spans="1:10" x14ac:dyDescent="0.25">
      <c r="A483">
        <v>482</v>
      </c>
      <c r="B483" t="s">
        <v>3481</v>
      </c>
      <c r="C483" t="s">
        <v>552</v>
      </c>
      <c r="D483" t="s">
        <v>3544</v>
      </c>
      <c r="E483" t="s">
        <v>4117</v>
      </c>
      <c r="F483" t="s">
        <v>4114</v>
      </c>
      <c r="G483" t="s">
        <v>4127</v>
      </c>
      <c r="H483" t="s">
        <v>4128</v>
      </c>
      <c r="I483">
        <v>2018</v>
      </c>
      <c r="J483" t="s">
        <v>4116</v>
      </c>
    </row>
    <row r="484" spans="1:10" x14ac:dyDescent="0.25">
      <c r="A484">
        <v>483</v>
      </c>
      <c r="B484" t="s">
        <v>3545</v>
      </c>
      <c r="C484" t="s">
        <v>1006</v>
      </c>
      <c r="D484" t="s">
        <v>3546</v>
      </c>
      <c r="E484" t="s">
        <v>4117</v>
      </c>
      <c r="F484" t="s">
        <v>4114</v>
      </c>
      <c r="G484" t="s">
        <v>4115</v>
      </c>
      <c r="H484" t="s">
        <v>2603</v>
      </c>
      <c r="I484">
        <v>2016</v>
      </c>
      <c r="J484" t="s">
        <v>4125</v>
      </c>
    </row>
    <row r="485" spans="1:10" x14ac:dyDescent="0.25">
      <c r="A485">
        <v>484</v>
      </c>
      <c r="B485" t="s">
        <v>3547</v>
      </c>
      <c r="C485" t="s">
        <v>1156</v>
      </c>
      <c r="D485" t="s">
        <v>3548</v>
      </c>
      <c r="E485" t="s">
        <v>4134</v>
      </c>
      <c r="F485" t="s">
        <v>4114</v>
      </c>
      <c r="G485" t="s">
        <v>4148</v>
      </c>
      <c r="H485" t="s">
        <v>2486</v>
      </c>
      <c r="I485">
        <v>2012</v>
      </c>
      <c r="J485" t="s">
        <v>4116</v>
      </c>
    </row>
    <row r="486" spans="1:10" x14ac:dyDescent="0.25">
      <c r="A486">
        <v>485</v>
      </c>
      <c r="B486" t="s">
        <v>1158</v>
      </c>
      <c r="C486" t="s">
        <v>62</v>
      </c>
      <c r="D486" t="s">
        <v>3549</v>
      </c>
      <c r="E486" t="s">
        <v>4132</v>
      </c>
      <c r="F486" t="s">
        <v>4114</v>
      </c>
      <c r="G486" t="s">
        <v>4133</v>
      </c>
      <c r="H486" t="s">
        <v>2494</v>
      </c>
      <c r="I486">
        <v>2020</v>
      </c>
      <c r="J486" t="s">
        <v>4116</v>
      </c>
    </row>
    <row r="487" spans="1:10" x14ac:dyDescent="0.25">
      <c r="A487">
        <v>486</v>
      </c>
      <c r="B487" t="s">
        <v>1159</v>
      </c>
      <c r="C487" t="s">
        <v>1160</v>
      </c>
      <c r="D487" t="s">
        <v>3550</v>
      </c>
      <c r="E487" t="s">
        <v>4126</v>
      </c>
      <c r="F487" t="s">
        <v>4114</v>
      </c>
      <c r="G487" t="s">
        <v>4150</v>
      </c>
      <c r="H487" t="s">
        <v>4151</v>
      </c>
      <c r="I487">
        <v>1878</v>
      </c>
      <c r="J487" t="s">
        <v>4116</v>
      </c>
    </row>
    <row r="488" spans="1:10" x14ac:dyDescent="0.25">
      <c r="A488">
        <v>487</v>
      </c>
      <c r="B488" t="s">
        <v>1162</v>
      </c>
      <c r="C488" t="s">
        <v>1163</v>
      </c>
      <c r="D488" t="s">
        <v>3551</v>
      </c>
      <c r="E488" t="s">
        <v>4157</v>
      </c>
      <c r="F488" t="s">
        <v>4131</v>
      </c>
      <c r="G488" t="s">
        <v>4121</v>
      </c>
      <c r="H488" t="s">
        <v>2603</v>
      </c>
      <c r="I488">
        <v>2020</v>
      </c>
      <c r="J488" t="s">
        <v>4116</v>
      </c>
    </row>
    <row r="489" spans="1:10" x14ac:dyDescent="0.25">
      <c r="A489">
        <v>488</v>
      </c>
      <c r="B489" t="s">
        <v>1165</v>
      </c>
      <c r="C489" t="s">
        <v>1166</v>
      </c>
      <c r="D489" t="s">
        <v>3552</v>
      </c>
      <c r="E489" t="s">
        <v>4135</v>
      </c>
      <c r="F489" t="s">
        <v>4131</v>
      </c>
      <c r="G489" t="s">
        <v>4156</v>
      </c>
      <c r="H489" t="s">
        <v>2603</v>
      </c>
      <c r="I489">
        <v>2014</v>
      </c>
      <c r="J489" t="s">
        <v>4125</v>
      </c>
    </row>
    <row r="490" spans="1:10" x14ac:dyDescent="0.25">
      <c r="A490">
        <v>489</v>
      </c>
      <c r="B490" t="s">
        <v>1168</v>
      </c>
      <c r="C490" t="s">
        <v>1169</v>
      </c>
      <c r="D490" t="s">
        <v>3553</v>
      </c>
      <c r="E490" t="s">
        <v>4136</v>
      </c>
      <c r="F490" t="s">
        <v>4114</v>
      </c>
      <c r="G490" t="s">
        <v>4121</v>
      </c>
      <c r="H490" t="s">
        <v>2603</v>
      </c>
      <c r="I490">
        <v>2010</v>
      </c>
      <c r="J490" t="s">
        <v>4116</v>
      </c>
    </row>
    <row r="491" spans="1:10" x14ac:dyDescent="0.25">
      <c r="A491">
        <v>490</v>
      </c>
      <c r="B491" t="s">
        <v>1171</v>
      </c>
      <c r="C491" t="s">
        <v>265</v>
      </c>
      <c r="D491" t="s">
        <v>3554</v>
      </c>
      <c r="E491" t="s">
        <v>4117</v>
      </c>
      <c r="F491" t="s">
        <v>4114</v>
      </c>
      <c r="G491" t="s">
        <v>4115</v>
      </c>
      <c r="H491" t="s">
        <v>2603</v>
      </c>
      <c r="I491">
        <v>1939</v>
      </c>
      <c r="J491" t="s">
        <v>4125</v>
      </c>
    </row>
    <row r="492" spans="1:10" x14ac:dyDescent="0.25">
      <c r="A492">
        <v>491</v>
      </c>
      <c r="B492" t="s">
        <v>1172</v>
      </c>
      <c r="C492" t="s">
        <v>1173</v>
      </c>
      <c r="D492" t="s">
        <v>3555</v>
      </c>
      <c r="E492" t="s">
        <v>4113</v>
      </c>
      <c r="F492" t="s">
        <v>4114</v>
      </c>
      <c r="G492" t="s">
        <v>4121</v>
      </c>
      <c r="H492" t="s">
        <v>2603</v>
      </c>
      <c r="I492">
        <v>1966</v>
      </c>
      <c r="J492" t="s">
        <v>4116</v>
      </c>
    </row>
    <row r="493" spans="1:10" x14ac:dyDescent="0.25">
      <c r="A493">
        <v>492</v>
      </c>
      <c r="B493" t="s">
        <v>1175</v>
      </c>
      <c r="C493" t="s">
        <v>1176</v>
      </c>
      <c r="D493" t="s">
        <v>3556</v>
      </c>
      <c r="E493" t="s">
        <v>4113</v>
      </c>
      <c r="F493" t="s">
        <v>4114</v>
      </c>
      <c r="G493" t="s">
        <v>4121</v>
      </c>
      <c r="H493" t="s">
        <v>2603</v>
      </c>
      <c r="I493">
        <v>1963</v>
      </c>
      <c r="J493" t="s">
        <v>4116</v>
      </c>
    </row>
    <row r="494" spans="1:10" x14ac:dyDescent="0.25">
      <c r="A494">
        <v>493</v>
      </c>
      <c r="B494" t="s">
        <v>1178</v>
      </c>
      <c r="C494" t="s">
        <v>1179</v>
      </c>
      <c r="D494" t="s">
        <v>3557</v>
      </c>
      <c r="E494" t="s">
        <v>4130</v>
      </c>
      <c r="F494" t="s">
        <v>4131</v>
      </c>
      <c r="G494" t="s">
        <v>4144</v>
      </c>
      <c r="H494" t="s">
        <v>4124</v>
      </c>
      <c r="I494">
        <v>2016</v>
      </c>
      <c r="J494" t="s">
        <v>4125</v>
      </c>
    </row>
    <row r="495" spans="1:10" x14ac:dyDescent="0.25">
      <c r="A495">
        <v>494</v>
      </c>
      <c r="B495" t="s">
        <v>1181</v>
      </c>
      <c r="C495" t="s">
        <v>503</v>
      </c>
      <c r="D495" t="s">
        <v>3558</v>
      </c>
      <c r="E495" t="s">
        <v>4134</v>
      </c>
      <c r="F495" t="s">
        <v>4114</v>
      </c>
      <c r="G495" t="s">
        <v>4118</v>
      </c>
      <c r="H495" t="s">
        <v>4119</v>
      </c>
      <c r="I495">
        <v>2012</v>
      </c>
      <c r="J495" t="s">
        <v>4116</v>
      </c>
    </row>
    <row r="496" spans="1:10" x14ac:dyDescent="0.25">
      <c r="A496">
        <v>495</v>
      </c>
      <c r="B496" t="s">
        <v>1182</v>
      </c>
      <c r="C496" t="s">
        <v>1183</v>
      </c>
      <c r="D496" t="s">
        <v>3559</v>
      </c>
      <c r="E496" t="s">
        <v>4140</v>
      </c>
      <c r="F496" t="s">
        <v>4131</v>
      </c>
      <c r="G496" t="s">
        <v>4115</v>
      </c>
      <c r="H496" t="s">
        <v>2603</v>
      </c>
      <c r="I496">
        <v>2019</v>
      </c>
      <c r="J496" t="s">
        <v>4125</v>
      </c>
    </row>
    <row r="497" spans="1:10" x14ac:dyDescent="0.25">
      <c r="A497">
        <v>496</v>
      </c>
      <c r="B497" t="s">
        <v>3560</v>
      </c>
      <c r="C497" t="s">
        <v>62</v>
      </c>
      <c r="D497" t="s">
        <v>3561</v>
      </c>
      <c r="E497" t="s">
        <v>4132</v>
      </c>
      <c r="F497" t="s">
        <v>4114</v>
      </c>
      <c r="G497" t="s">
        <v>4133</v>
      </c>
      <c r="H497" t="s">
        <v>2494</v>
      </c>
      <c r="I497">
        <v>2013</v>
      </c>
      <c r="J497" t="s">
        <v>4116</v>
      </c>
    </row>
    <row r="498" spans="1:10" x14ac:dyDescent="0.25">
      <c r="A498">
        <v>497</v>
      </c>
      <c r="B498" t="s">
        <v>1187</v>
      </c>
      <c r="C498" t="s">
        <v>1188</v>
      </c>
      <c r="D498" t="s">
        <v>3562</v>
      </c>
      <c r="E498" t="s">
        <v>4135</v>
      </c>
      <c r="F498" t="s">
        <v>4131</v>
      </c>
      <c r="G498" t="s">
        <v>4133</v>
      </c>
      <c r="H498" t="s">
        <v>2494</v>
      </c>
      <c r="I498">
        <v>2021</v>
      </c>
      <c r="J498" t="s">
        <v>4125</v>
      </c>
    </row>
    <row r="499" spans="1:10" x14ac:dyDescent="0.25">
      <c r="A499">
        <v>498</v>
      </c>
      <c r="B499" t="s">
        <v>1190</v>
      </c>
      <c r="C499" t="s">
        <v>1191</v>
      </c>
      <c r="D499" t="s">
        <v>3563</v>
      </c>
      <c r="E499" t="s">
        <v>4149</v>
      </c>
      <c r="F499" t="s">
        <v>4114</v>
      </c>
      <c r="G499" t="s">
        <v>4115</v>
      </c>
      <c r="H499" t="s">
        <v>2603</v>
      </c>
      <c r="I499">
        <v>1972</v>
      </c>
      <c r="J499" t="s">
        <v>4125</v>
      </c>
    </row>
    <row r="500" spans="1:10" x14ac:dyDescent="0.25">
      <c r="A500">
        <v>499</v>
      </c>
      <c r="B500" t="s">
        <v>1193</v>
      </c>
      <c r="C500" t="s">
        <v>503</v>
      </c>
      <c r="D500" t="s">
        <v>3564</v>
      </c>
      <c r="E500" t="s">
        <v>4134</v>
      </c>
      <c r="F500" t="s">
        <v>4114</v>
      </c>
      <c r="G500" t="s">
        <v>4118</v>
      </c>
      <c r="H500" t="s">
        <v>4119</v>
      </c>
      <c r="I500">
        <v>2013</v>
      </c>
      <c r="J500" t="s">
        <v>4116</v>
      </c>
    </row>
    <row r="501" spans="1:10" x14ac:dyDescent="0.25">
      <c r="A501">
        <v>500</v>
      </c>
      <c r="B501" t="s">
        <v>1194</v>
      </c>
      <c r="C501" t="s">
        <v>503</v>
      </c>
      <c r="D501" t="s">
        <v>3565</v>
      </c>
      <c r="E501" t="s">
        <v>4134</v>
      </c>
      <c r="F501" t="s">
        <v>4114</v>
      </c>
      <c r="G501" t="s">
        <v>4118</v>
      </c>
      <c r="H501" t="s">
        <v>4119</v>
      </c>
      <c r="I501">
        <v>2012</v>
      </c>
      <c r="J501" t="s">
        <v>4116</v>
      </c>
    </row>
    <row r="502" spans="1:10" x14ac:dyDescent="0.25">
      <c r="A502">
        <v>501</v>
      </c>
      <c r="B502" t="s">
        <v>1195</v>
      </c>
      <c r="C502" t="s">
        <v>1196</v>
      </c>
      <c r="D502" t="s">
        <v>3566</v>
      </c>
      <c r="E502" t="s">
        <v>4130</v>
      </c>
      <c r="F502" t="s">
        <v>4131</v>
      </c>
      <c r="G502" t="s">
        <v>4166</v>
      </c>
      <c r="H502" t="s">
        <v>4167</v>
      </c>
      <c r="I502">
        <v>2010</v>
      </c>
      <c r="J502" t="s">
        <v>4125</v>
      </c>
    </row>
    <row r="503" spans="1:10" x14ac:dyDescent="0.25">
      <c r="A503">
        <v>502</v>
      </c>
      <c r="B503" t="s">
        <v>1198</v>
      </c>
      <c r="C503" t="s">
        <v>503</v>
      </c>
      <c r="D503" t="s">
        <v>3567</v>
      </c>
      <c r="E503" t="s">
        <v>4134</v>
      </c>
      <c r="F503" t="s">
        <v>4114</v>
      </c>
      <c r="G503" t="s">
        <v>4118</v>
      </c>
      <c r="H503" t="s">
        <v>4119</v>
      </c>
      <c r="I503">
        <v>2014</v>
      </c>
      <c r="J503" t="s">
        <v>4116</v>
      </c>
    </row>
    <row r="504" spans="1:10" x14ac:dyDescent="0.25">
      <c r="A504">
        <v>503</v>
      </c>
      <c r="B504" t="s">
        <v>1199</v>
      </c>
      <c r="C504" t="s">
        <v>503</v>
      </c>
      <c r="D504" t="s">
        <v>3568</v>
      </c>
      <c r="E504" t="s">
        <v>4134</v>
      </c>
      <c r="F504" t="s">
        <v>4114</v>
      </c>
      <c r="G504" t="s">
        <v>4118</v>
      </c>
      <c r="H504" t="s">
        <v>4119</v>
      </c>
      <c r="I504">
        <v>2016</v>
      </c>
      <c r="J504" t="s">
        <v>4116</v>
      </c>
    </row>
    <row r="505" spans="1:10" x14ac:dyDescent="0.25">
      <c r="A505">
        <v>504</v>
      </c>
      <c r="B505" t="s">
        <v>1200</v>
      </c>
      <c r="C505" t="s">
        <v>329</v>
      </c>
      <c r="D505" t="s">
        <v>3569</v>
      </c>
      <c r="E505" t="s">
        <v>4126</v>
      </c>
      <c r="F505" t="s">
        <v>4114</v>
      </c>
      <c r="G505" t="s">
        <v>4148</v>
      </c>
      <c r="H505" t="s">
        <v>2486</v>
      </c>
      <c r="I505">
        <v>2021</v>
      </c>
      <c r="J505" t="s">
        <v>4125</v>
      </c>
    </row>
    <row r="506" spans="1:10" x14ac:dyDescent="0.25">
      <c r="A506">
        <v>505</v>
      </c>
      <c r="B506" t="s">
        <v>1201</v>
      </c>
      <c r="C506" t="s">
        <v>1202</v>
      </c>
      <c r="D506" t="s">
        <v>3570</v>
      </c>
      <c r="E506" t="s">
        <v>4149</v>
      </c>
      <c r="F506" t="s">
        <v>4114</v>
      </c>
      <c r="G506" t="s">
        <v>4133</v>
      </c>
      <c r="H506" t="s">
        <v>2494</v>
      </c>
      <c r="I506">
        <v>2012</v>
      </c>
      <c r="J506" t="s">
        <v>4125</v>
      </c>
    </row>
    <row r="507" spans="1:10" x14ac:dyDescent="0.25">
      <c r="A507">
        <v>506</v>
      </c>
      <c r="B507" t="s">
        <v>1204</v>
      </c>
      <c r="C507" t="s">
        <v>1205</v>
      </c>
      <c r="D507" t="s">
        <v>3571</v>
      </c>
      <c r="E507" t="s">
        <v>4139</v>
      </c>
      <c r="F507" t="s">
        <v>4131</v>
      </c>
      <c r="G507" t="s">
        <v>4115</v>
      </c>
      <c r="H507" t="s">
        <v>2603</v>
      </c>
      <c r="I507">
        <v>2016</v>
      </c>
      <c r="J507" t="s">
        <v>4125</v>
      </c>
    </row>
    <row r="508" spans="1:10" x14ac:dyDescent="0.25">
      <c r="A508">
        <v>507</v>
      </c>
      <c r="B508" t="s">
        <v>3572</v>
      </c>
      <c r="C508" t="s">
        <v>503</v>
      </c>
      <c r="D508" t="s">
        <v>3573</v>
      </c>
      <c r="E508" t="s">
        <v>4134</v>
      </c>
      <c r="F508" t="s">
        <v>4114</v>
      </c>
      <c r="G508" t="s">
        <v>4118</v>
      </c>
      <c r="H508" t="s">
        <v>4119</v>
      </c>
      <c r="I508">
        <v>2017</v>
      </c>
      <c r="J508" t="s">
        <v>4116</v>
      </c>
    </row>
    <row r="509" spans="1:10" x14ac:dyDescent="0.25">
      <c r="A509">
        <v>508</v>
      </c>
      <c r="B509" t="s">
        <v>1209</v>
      </c>
      <c r="C509" t="s">
        <v>1210</v>
      </c>
      <c r="D509" t="s">
        <v>3574</v>
      </c>
      <c r="E509" t="s">
        <v>4138</v>
      </c>
      <c r="F509" t="s">
        <v>4114</v>
      </c>
      <c r="G509" t="s">
        <v>4176</v>
      </c>
      <c r="H509" t="s">
        <v>4171</v>
      </c>
      <c r="I509">
        <v>2016</v>
      </c>
      <c r="J509" t="s">
        <v>4116</v>
      </c>
    </row>
    <row r="510" spans="1:10" x14ac:dyDescent="0.25">
      <c r="A510">
        <v>509</v>
      </c>
      <c r="B510" t="s">
        <v>3575</v>
      </c>
      <c r="C510" t="s">
        <v>1156</v>
      </c>
      <c r="D510" t="s">
        <v>3576</v>
      </c>
      <c r="E510" t="s">
        <v>4134</v>
      </c>
      <c r="F510" t="s">
        <v>4114</v>
      </c>
      <c r="G510" t="s">
        <v>4148</v>
      </c>
      <c r="H510" t="s">
        <v>2486</v>
      </c>
      <c r="I510">
        <v>2013</v>
      </c>
      <c r="J510" t="s">
        <v>4116</v>
      </c>
    </row>
    <row r="511" spans="1:10" x14ac:dyDescent="0.25">
      <c r="A511">
        <v>510</v>
      </c>
      <c r="B511" t="s">
        <v>1214</v>
      </c>
      <c r="C511" t="s">
        <v>1215</v>
      </c>
      <c r="D511" t="s">
        <v>3577</v>
      </c>
      <c r="E511" t="s">
        <v>4130</v>
      </c>
      <c r="F511" t="s">
        <v>4131</v>
      </c>
      <c r="G511" t="s">
        <v>4133</v>
      </c>
      <c r="H511" t="s">
        <v>2494</v>
      </c>
      <c r="I511">
        <v>2020</v>
      </c>
      <c r="J511" t="s">
        <v>4145</v>
      </c>
    </row>
    <row r="512" spans="1:10" x14ac:dyDescent="0.25">
      <c r="A512">
        <v>511</v>
      </c>
      <c r="B512" t="s">
        <v>3578</v>
      </c>
      <c r="C512" t="s">
        <v>1006</v>
      </c>
      <c r="D512" t="s">
        <v>3579</v>
      </c>
      <c r="E512" t="s">
        <v>4117</v>
      </c>
      <c r="F512" t="s">
        <v>4114</v>
      </c>
      <c r="G512" t="s">
        <v>4115</v>
      </c>
      <c r="H512" t="s">
        <v>2603</v>
      </c>
      <c r="I512">
        <v>2017</v>
      </c>
      <c r="J512" t="s">
        <v>4125</v>
      </c>
    </row>
    <row r="513" spans="1:10" x14ac:dyDescent="0.25">
      <c r="A513">
        <v>512</v>
      </c>
      <c r="B513" t="s">
        <v>3580</v>
      </c>
      <c r="C513" t="s">
        <v>552</v>
      </c>
      <c r="D513" t="s">
        <v>3581</v>
      </c>
      <c r="E513" t="s">
        <v>4117</v>
      </c>
      <c r="F513" t="s">
        <v>4114</v>
      </c>
      <c r="G513" t="s">
        <v>4127</v>
      </c>
      <c r="H513" t="s">
        <v>4128</v>
      </c>
      <c r="I513">
        <v>2011</v>
      </c>
      <c r="J513" t="s">
        <v>4116</v>
      </c>
    </row>
    <row r="514" spans="1:10" x14ac:dyDescent="0.25">
      <c r="A514">
        <v>513</v>
      </c>
      <c r="B514" t="s">
        <v>3582</v>
      </c>
      <c r="C514" t="s">
        <v>552</v>
      </c>
      <c r="D514" t="s">
        <v>3583</v>
      </c>
      <c r="E514" t="s">
        <v>4117</v>
      </c>
      <c r="F514" t="s">
        <v>4114</v>
      </c>
      <c r="G514" t="s">
        <v>4127</v>
      </c>
      <c r="H514" t="s">
        <v>4128</v>
      </c>
      <c r="I514">
        <v>2012</v>
      </c>
      <c r="J514" t="s">
        <v>4116</v>
      </c>
    </row>
    <row r="515" spans="1:10" x14ac:dyDescent="0.25">
      <c r="A515">
        <v>514</v>
      </c>
      <c r="B515" t="s">
        <v>906</v>
      </c>
      <c r="C515" t="s">
        <v>552</v>
      </c>
      <c r="D515" t="s">
        <v>3584</v>
      </c>
      <c r="E515" t="s">
        <v>4117</v>
      </c>
      <c r="F515" t="s">
        <v>4114</v>
      </c>
      <c r="G515" t="s">
        <v>4127</v>
      </c>
      <c r="H515" t="s">
        <v>4128</v>
      </c>
      <c r="I515">
        <v>2016</v>
      </c>
      <c r="J515" t="s">
        <v>4116</v>
      </c>
    </row>
    <row r="516" spans="1:10" x14ac:dyDescent="0.25">
      <c r="A516">
        <v>515</v>
      </c>
      <c r="B516" t="s">
        <v>3585</v>
      </c>
      <c r="C516" t="s">
        <v>552</v>
      </c>
      <c r="D516" t="s">
        <v>3586</v>
      </c>
      <c r="E516" t="s">
        <v>4117</v>
      </c>
      <c r="F516" t="s">
        <v>4114</v>
      </c>
      <c r="G516" t="s">
        <v>4127</v>
      </c>
      <c r="H516" t="s">
        <v>4128</v>
      </c>
      <c r="I516">
        <v>2017</v>
      </c>
      <c r="J516" t="s">
        <v>4116</v>
      </c>
    </row>
    <row r="517" spans="1:10" x14ac:dyDescent="0.25">
      <c r="A517">
        <v>516</v>
      </c>
      <c r="B517" t="s">
        <v>1226</v>
      </c>
      <c r="C517" t="s">
        <v>1227</v>
      </c>
      <c r="D517" t="s">
        <v>3587</v>
      </c>
      <c r="E517" t="s">
        <v>4130</v>
      </c>
      <c r="F517" t="s">
        <v>4131</v>
      </c>
      <c r="G517" t="s">
        <v>4121</v>
      </c>
      <c r="H517" t="s">
        <v>2603</v>
      </c>
      <c r="I517">
        <v>1972</v>
      </c>
      <c r="J517" t="s">
        <v>4125</v>
      </c>
    </row>
    <row r="518" spans="1:10" x14ac:dyDescent="0.25">
      <c r="A518">
        <v>517</v>
      </c>
      <c r="B518" t="s">
        <v>2740</v>
      </c>
      <c r="C518" t="s">
        <v>1229</v>
      </c>
      <c r="D518" t="s">
        <v>3588</v>
      </c>
      <c r="E518" t="s">
        <v>4155</v>
      </c>
      <c r="F518" t="s">
        <v>4131</v>
      </c>
      <c r="G518" t="s">
        <v>4121</v>
      </c>
      <c r="H518" t="s">
        <v>2603</v>
      </c>
      <c r="I518">
        <v>2015</v>
      </c>
      <c r="J518" t="s">
        <v>4116</v>
      </c>
    </row>
    <row r="519" spans="1:10" x14ac:dyDescent="0.25">
      <c r="A519">
        <v>518</v>
      </c>
      <c r="B519" t="s">
        <v>3589</v>
      </c>
      <c r="C519" t="s">
        <v>1006</v>
      </c>
      <c r="D519" t="s">
        <v>3590</v>
      </c>
      <c r="E519" t="s">
        <v>4117</v>
      </c>
      <c r="F519" t="s">
        <v>4114</v>
      </c>
      <c r="G519" t="s">
        <v>4115</v>
      </c>
      <c r="H519" t="s">
        <v>2603</v>
      </c>
      <c r="I519">
        <v>2015</v>
      </c>
      <c r="J519" t="s">
        <v>4125</v>
      </c>
    </row>
    <row r="520" spans="1:10" x14ac:dyDescent="0.25">
      <c r="A520">
        <v>519</v>
      </c>
      <c r="B520" t="s">
        <v>2742</v>
      </c>
      <c r="C520" t="s">
        <v>2743</v>
      </c>
      <c r="D520" t="s">
        <v>3591</v>
      </c>
      <c r="E520" t="s">
        <v>4135</v>
      </c>
      <c r="F520" t="s">
        <v>4131</v>
      </c>
      <c r="G520" t="s">
        <v>4115</v>
      </c>
      <c r="H520" t="s">
        <v>2603</v>
      </c>
      <c r="I520">
        <v>2016</v>
      </c>
      <c r="J520" t="s">
        <v>4125</v>
      </c>
    </row>
    <row r="521" spans="1:10" x14ac:dyDescent="0.25">
      <c r="A521">
        <v>520</v>
      </c>
      <c r="B521" t="s">
        <v>1234</v>
      </c>
      <c r="C521" t="s">
        <v>1006</v>
      </c>
      <c r="D521" t="s">
        <v>3592</v>
      </c>
      <c r="E521" t="s">
        <v>4117</v>
      </c>
      <c r="F521" t="s">
        <v>4114</v>
      </c>
      <c r="G521" t="s">
        <v>4115</v>
      </c>
      <c r="H521" t="s">
        <v>2603</v>
      </c>
      <c r="I521">
        <v>2017</v>
      </c>
      <c r="J521" t="s">
        <v>4125</v>
      </c>
    </row>
    <row r="522" spans="1:10" x14ac:dyDescent="0.25">
      <c r="A522">
        <v>521</v>
      </c>
      <c r="B522" t="s">
        <v>1235</v>
      </c>
      <c r="C522" t="s">
        <v>1236</v>
      </c>
      <c r="D522" t="s">
        <v>3593</v>
      </c>
      <c r="E522" t="s">
        <v>4155</v>
      </c>
      <c r="F522" t="s">
        <v>4131</v>
      </c>
      <c r="G522" t="s">
        <v>4133</v>
      </c>
      <c r="H522" t="s">
        <v>2494</v>
      </c>
      <c r="I522">
        <v>2017</v>
      </c>
      <c r="J522" t="s">
        <v>4116</v>
      </c>
    </row>
    <row r="523" spans="1:10" x14ac:dyDescent="0.25">
      <c r="A523">
        <v>522</v>
      </c>
      <c r="B523" t="s">
        <v>3594</v>
      </c>
      <c r="C523" t="s">
        <v>1006</v>
      </c>
      <c r="D523" t="s">
        <v>3595</v>
      </c>
      <c r="E523" t="s">
        <v>4117</v>
      </c>
      <c r="F523" t="s">
        <v>4114</v>
      </c>
      <c r="G523" t="s">
        <v>4115</v>
      </c>
      <c r="H523" t="s">
        <v>2603</v>
      </c>
      <c r="I523">
        <v>2016</v>
      </c>
      <c r="J523" t="s">
        <v>4125</v>
      </c>
    </row>
    <row r="524" spans="1:10" x14ac:dyDescent="0.25">
      <c r="A524">
        <v>523</v>
      </c>
      <c r="B524" t="s">
        <v>3596</v>
      </c>
      <c r="C524" t="s">
        <v>1156</v>
      </c>
      <c r="D524" t="s">
        <v>3597</v>
      </c>
      <c r="E524" t="s">
        <v>4134</v>
      </c>
      <c r="F524" t="s">
        <v>4114</v>
      </c>
      <c r="G524" t="s">
        <v>4148</v>
      </c>
      <c r="H524" t="s">
        <v>2486</v>
      </c>
      <c r="I524">
        <v>2016</v>
      </c>
      <c r="J524" t="s">
        <v>4116</v>
      </c>
    </row>
    <row r="525" spans="1:10" x14ac:dyDescent="0.25">
      <c r="A525">
        <v>524</v>
      </c>
      <c r="B525" t="s">
        <v>1241</v>
      </c>
      <c r="C525" t="s">
        <v>1242</v>
      </c>
      <c r="D525" t="s">
        <v>3598</v>
      </c>
      <c r="E525" t="s">
        <v>4126</v>
      </c>
      <c r="F525" t="s">
        <v>4114</v>
      </c>
      <c r="G525" t="s">
        <v>4121</v>
      </c>
      <c r="H525" t="s">
        <v>2603</v>
      </c>
      <c r="I525">
        <v>2015</v>
      </c>
      <c r="J525" t="s">
        <v>4116</v>
      </c>
    </row>
    <row r="526" spans="1:10" x14ac:dyDescent="0.25">
      <c r="A526">
        <v>525</v>
      </c>
      <c r="B526" t="s">
        <v>1244</v>
      </c>
      <c r="C526" t="s">
        <v>329</v>
      </c>
      <c r="D526" t="s">
        <v>3599</v>
      </c>
      <c r="E526" t="s">
        <v>4126</v>
      </c>
      <c r="F526" t="s">
        <v>4114</v>
      </c>
      <c r="G526" t="s">
        <v>4148</v>
      </c>
      <c r="H526" t="s">
        <v>2486</v>
      </c>
      <c r="I526">
        <v>2019</v>
      </c>
      <c r="J526" t="s">
        <v>4125</v>
      </c>
    </row>
    <row r="527" spans="1:10" x14ac:dyDescent="0.25">
      <c r="A527">
        <v>526</v>
      </c>
      <c r="B527" t="s">
        <v>2749</v>
      </c>
      <c r="C527" t="s">
        <v>1245</v>
      </c>
      <c r="D527" t="s">
        <v>3600</v>
      </c>
      <c r="E527" t="s">
        <v>4135</v>
      </c>
      <c r="F527" t="s">
        <v>4131</v>
      </c>
      <c r="G527" t="s">
        <v>4121</v>
      </c>
      <c r="H527" t="s">
        <v>2603</v>
      </c>
      <c r="I527">
        <v>2018</v>
      </c>
      <c r="J527" t="s">
        <v>4125</v>
      </c>
    </row>
    <row r="528" spans="1:10" x14ac:dyDescent="0.25">
      <c r="A528">
        <v>527</v>
      </c>
      <c r="B528" t="s">
        <v>1247</v>
      </c>
      <c r="C528" t="s">
        <v>1248</v>
      </c>
      <c r="D528" t="s">
        <v>3601</v>
      </c>
      <c r="E528" t="s">
        <v>4129</v>
      </c>
      <c r="F528" t="s">
        <v>4114</v>
      </c>
      <c r="G528" t="s">
        <v>4137</v>
      </c>
      <c r="H528" t="s">
        <v>2603</v>
      </c>
      <c r="I528">
        <v>2018</v>
      </c>
      <c r="J528" t="s">
        <v>4125</v>
      </c>
    </row>
    <row r="529" spans="1:10" x14ac:dyDescent="0.25">
      <c r="A529">
        <v>528</v>
      </c>
      <c r="B529" t="s">
        <v>1250</v>
      </c>
      <c r="C529" t="s">
        <v>1251</v>
      </c>
      <c r="D529" t="s">
        <v>3602</v>
      </c>
      <c r="E529" t="s">
        <v>4129</v>
      </c>
      <c r="F529" t="s">
        <v>4114</v>
      </c>
      <c r="G529" t="s">
        <v>4118</v>
      </c>
      <c r="H529" t="s">
        <v>4119</v>
      </c>
      <c r="I529">
        <v>2019</v>
      </c>
      <c r="J529" t="s">
        <v>4116</v>
      </c>
    </row>
    <row r="530" spans="1:10" x14ac:dyDescent="0.25">
      <c r="A530">
        <v>529</v>
      </c>
      <c r="B530" t="s">
        <v>1253</v>
      </c>
      <c r="C530" t="s">
        <v>228</v>
      </c>
      <c r="D530" t="s">
        <v>3603</v>
      </c>
      <c r="E530" t="s">
        <v>4129</v>
      </c>
      <c r="F530" t="s">
        <v>4114</v>
      </c>
      <c r="G530" t="s">
        <v>4121</v>
      </c>
      <c r="H530" t="s">
        <v>2603</v>
      </c>
      <c r="I530">
        <v>2017</v>
      </c>
      <c r="J530" t="s">
        <v>4116</v>
      </c>
    </row>
    <row r="531" spans="1:10" x14ac:dyDescent="0.25">
      <c r="A531">
        <v>530</v>
      </c>
      <c r="B531" t="s">
        <v>3604</v>
      </c>
      <c r="C531" t="s">
        <v>62</v>
      </c>
      <c r="D531" t="s">
        <v>3605</v>
      </c>
      <c r="E531" t="s">
        <v>4132</v>
      </c>
      <c r="F531" t="s">
        <v>4114</v>
      </c>
      <c r="G531" t="s">
        <v>4133</v>
      </c>
      <c r="H531" t="s">
        <v>2494</v>
      </c>
      <c r="I531">
        <v>2012</v>
      </c>
      <c r="J531" t="s">
        <v>4116</v>
      </c>
    </row>
    <row r="532" spans="1:10" x14ac:dyDescent="0.25">
      <c r="A532">
        <v>531</v>
      </c>
      <c r="B532" t="s">
        <v>3606</v>
      </c>
      <c r="C532" t="s">
        <v>241</v>
      </c>
      <c r="D532" t="s">
        <v>3607</v>
      </c>
      <c r="E532" t="s">
        <v>4117</v>
      </c>
      <c r="F532" t="s">
        <v>4114</v>
      </c>
      <c r="G532" t="s">
        <v>4115</v>
      </c>
      <c r="H532" t="s">
        <v>2603</v>
      </c>
      <c r="I532">
        <v>2018</v>
      </c>
      <c r="J532" t="s">
        <v>4125</v>
      </c>
    </row>
    <row r="533" spans="1:10" x14ac:dyDescent="0.25">
      <c r="A533">
        <v>532</v>
      </c>
      <c r="B533" t="s">
        <v>3608</v>
      </c>
      <c r="C533" t="s">
        <v>241</v>
      </c>
      <c r="D533" t="s">
        <v>3609</v>
      </c>
      <c r="E533" t="s">
        <v>4117</v>
      </c>
      <c r="F533" t="s">
        <v>4114</v>
      </c>
      <c r="G533" t="s">
        <v>4115</v>
      </c>
      <c r="H533" t="s">
        <v>2603</v>
      </c>
      <c r="I533">
        <v>2015</v>
      </c>
      <c r="J533" t="s">
        <v>4125</v>
      </c>
    </row>
    <row r="534" spans="1:10" x14ac:dyDescent="0.25">
      <c r="A534">
        <v>533</v>
      </c>
      <c r="B534" t="s">
        <v>1262</v>
      </c>
      <c r="C534" t="s">
        <v>1263</v>
      </c>
      <c r="D534" t="s">
        <v>3610</v>
      </c>
      <c r="E534" t="s">
        <v>4129</v>
      </c>
      <c r="F534" t="s">
        <v>4114</v>
      </c>
      <c r="G534" t="s">
        <v>4142</v>
      </c>
      <c r="H534" t="s">
        <v>2603</v>
      </c>
      <c r="I534">
        <v>2020</v>
      </c>
      <c r="J534" t="s">
        <v>4125</v>
      </c>
    </row>
    <row r="535" spans="1:10" x14ac:dyDescent="0.25">
      <c r="A535">
        <v>534</v>
      </c>
      <c r="B535" t="s">
        <v>3611</v>
      </c>
      <c r="C535" t="s">
        <v>241</v>
      </c>
      <c r="D535" t="s">
        <v>3612</v>
      </c>
      <c r="E535" t="s">
        <v>4117</v>
      </c>
      <c r="F535" t="s">
        <v>4114</v>
      </c>
      <c r="G535" t="s">
        <v>4115</v>
      </c>
      <c r="H535" t="s">
        <v>2603</v>
      </c>
      <c r="I535">
        <v>2014</v>
      </c>
      <c r="J535" t="s">
        <v>4125</v>
      </c>
    </row>
    <row r="536" spans="1:10" x14ac:dyDescent="0.25">
      <c r="A536">
        <v>535</v>
      </c>
      <c r="B536" t="s">
        <v>1267</v>
      </c>
      <c r="C536" t="s">
        <v>1251</v>
      </c>
      <c r="D536" t="s">
        <v>3613</v>
      </c>
      <c r="E536" t="s">
        <v>4129</v>
      </c>
      <c r="F536" t="s">
        <v>4114</v>
      </c>
      <c r="G536" t="s">
        <v>4118</v>
      </c>
      <c r="H536" t="s">
        <v>4119</v>
      </c>
      <c r="I536">
        <v>2018</v>
      </c>
      <c r="J536" t="s">
        <v>4116</v>
      </c>
    </row>
    <row r="537" spans="1:10" x14ac:dyDescent="0.25">
      <c r="A537">
        <v>536</v>
      </c>
      <c r="B537" t="s">
        <v>3614</v>
      </c>
      <c r="C537" t="s">
        <v>241</v>
      </c>
      <c r="D537" t="s">
        <v>3615</v>
      </c>
      <c r="E537" t="s">
        <v>4117</v>
      </c>
      <c r="F537" t="s">
        <v>4114</v>
      </c>
      <c r="G537" t="s">
        <v>4115</v>
      </c>
      <c r="H537" t="s">
        <v>2603</v>
      </c>
      <c r="I537">
        <v>2013</v>
      </c>
      <c r="J537" t="s">
        <v>4125</v>
      </c>
    </row>
    <row r="538" spans="1:10" x14ac:dyDescent="0.25">
      <c r="A538">
        <v>537</v>
      </c>
      <c r="B538" t="s">
        <v>3616</v>
      </c>
      <c r="C538" t="s">
        <v>798</v>
      </c>
      <c r="D538" t="s">
        <v>3617</v>
      </c>
      <c r="E538" t="s">
        <v>4113</v>
      </c>
      <c r="F538" t="s">
        <v>4114</v>
      </c>
      <c r="G538" t="s">
        <v>4121</v>
      </c>
      <c r="H538" t="s">
        <v>2603</v>
      </c>
      <c r="I538">
        <v>2017</v>
      </c>
      <c r="J538" t="s">
        <v>4116</v>
      </c>
    </row>
    <row r="539" spans="1:10" x14ac:dyDescent="0.25">
      <c r="A539">
        <v>538</v>
      </c>
      <c r="B539" t="s">
        <v>1272</v>
      </c>
      <c r="C539" t="s">
        <v>1273</v>
      </c>
      <c r="D539" t="s">
        <v>3618</v>
      </c>
      <c r="E539" t="s">
        <v>4126</v>
      </c>
      <c r="F539" t="s">
        <v>4114</v>
      </c>
      <c r="G539" t="s">
        <v>4121</v>
      </c>
      <c r="H539" t="s">
        <v>2603</v>
      </c>
      <c r="I539">
        <v>1992</v>
      </c>
      <c r="J539" t="s">
        <v>4125</v>
      </c>
    </row>
    <row r="540" spans="1:10" x14ac:dyDescent="0.25">
      <c r="A540">
        <v>539</v>
      </c>
      <c r="B540" t="s">
        <v>1275</v>
      </c>
      <c r="C540" t="s">
        <v>1276</v>
      </c>
      <c r="D540" t="s">
        <v>3619</v>
      </c>
      <c r="E540" t="s">
        <v>4126</v>
      </c>
      <c r="F540" t="s">
        <v>4114</v>
      </c>
      <c r="G540" t="s">
        <v>4123</v>
      </c>
      <c r="H540" t="s">
        <v>4124</v>
      </c>
      <c r="I540">
        <v>2012</v>
      </c>
      <c r="J540" t="s">
        <v>4116</v>
      </c>
    </row>
    <row r="541" spans="1:10" x14ac:dyDescent="0.25">
      <c r="A541">
        <v>540</v>
      </c>
      <c r="B541" t="s">
        <v>1278</v>
      </c>
      <c r="C541" t="s">
        <v>1279</v>
      </c>
      <c r="D541" t="s">
        <v>3621</v>
      </c>
      <c r="E541" t="s">
        <v>4129</v>
      </c>
      <c r="F541" t="s">
        <v>4114</v>
      </c>
      <c r="G541" t="s">
        <v>4121</v>
      </c>
      <c r="H541" t="s">
        <v>2603</v>
      </c>
      <c r="I541">
        <v>2017</v>
      </c>
      <c r="J541" t="s">
        <v>4145</v>
      </c>
    </row>
    <row r="542" spans="1:10" x14ac:dyDescent="0.25">
      <c r="A542">
        <v>541</v>
      </c>
      <c r="B542" t="s">
        <v>2753</v>
      </c>
      <c r="C542" t="s">
        <v>1281</v>
      </c>
      <c r="D542" t="s">
        <v>3622</v>
      </c>
      <c r="E542" t="s">
        <v>4149</v>
      </c>
      <c r="F542" t="s">
        <v>4114</v>
      </c>
      <c r="G542" t="s">
        <v>4123</v>
      </c>
      <c r="H542" t="s">
        <v>4124</v>
      </c>
      <c r="I542">
        <v>2011</v>
      </c>
      <c r="J542" t="s">
        <v>4125</v>
      </c>
    </row>
    <row r="543" spans="1:10" x14ac:dyDescent="0.25">
      <c r="A543">
        <v>542</v>
      </c>
      <c r="B543" t="s">
        <v>1283</v>
      </c>
      <c r="C543" t="s">
        <v>329</v>
      </c>
      <c r="D543" t="s">
        <v>3623</v>
      </c>
      <c r="E543" t="s">
        <v>4126</v>
      </c>
      <c r="F543" t="s">
        <v>4114</v>
      </c>
      <c r="G543" t="s">
        <v>4148</v>
      </c>
      <c r="H543" t="s">
        <v>2486</v>
      </c>
      <c r="I543">
        <v>2017</v>
      </c>
      <c r="J543" t="s">
        <v>4125</v>
      </c>
    </row>
    <row r="544" spans="1:10" x14ac:dyDescent="0.25">
      <c r="A544">
        <v>543</v>
      </c>
      <c r="B544" t="s">
        <v>1284</v>
      </c>
      <c r="C544" t="s">
        <v>1285</v>
      </c>
      <c r="D544" t="s">
        <v>3624</v>
      </c>
      <c r="E544" t="s">
        <v>4120</v>
      </c>
      <c r="F544" t="s">
        <v>4114</v>
      </c>
      <c r="G544" t="s">
        <v>4177</v>
      </c>
      <c r="H544" t="s">
        <v>4178</v>
      </c>
      <c r="I544">
        <v>2013</v>
      </c>
      <c r="J544" t="s">
        <v>4116</v>
      </c>
    </row>
    <row r="545" spans="1:10" x14ac:dyDescent="0.25">
      <c r="A545">
        <v>544</v>
      </c>
      <c r="B545" t="s">
        <v>3625</v>
      </c>
      <c r="C545" t="s">
        <v>1285</v>
      </c>
      <c r="D545" t="s">
        <v>3626</v>
      </c>
      <c r="E545" t="s">
        <v>4120</v>
      </c>
      <c r="F545" t="s">
        <v>4114</v>
      </c>
      <c r="G545" t="s">
        <v>4177</v>
      </c>
      <c r="H545" t="s">
        <v>4178</v>
      </c>
      <c r="I545">
        <v>1999</v>
      </c>
      <c r="J545" t="s">
        <v>4116</v>
      </c>
    </row>
    <row r="546" spans="1:10" x14ac:dyDescent="0.25">
      <c r="A546">
        <v>545</v>
      </c>
      <c r="B546" t="s">
        <v>3627</v>
      </c>
      <c r="C546" t="s">
        <v>1291</v>
      </c>
      <c r="D546" t="s">
        <v>3628</v>
      </c>
      <c r="E546" t="s">
        <v>4117</v>
      </c>
      <c r="F546" t="s">
        <v>4114</v>
      </c>
      <c r="G546" t="s">
        <v>4118</v>
      </c>
      <c r="H546" t="s">
        <v>4119</v>
      </c>
      <c r="I546">
        <v>2014</v>
      </c>
      <c r="J546" t="s">
        <v>4145</v>
      </c>
    </row>
    <row r="547" spans="1:10" x14ac:dyDescent="0.25">
      <c r="A547">
        <v>546</v>
      </c>
      <c r="B547" t="s">
        <v>1293</v>
      </c>
      <c r="C547" t="s">
        <v>1294</v>
      </c>
      <c r="D547" t="s">
        <v>3629</v>
      </c>
      <c r="E547" t="s">
        <v>4140</v>
      </c>
      <c r="F547" t="s">
        <v>4131</v>
      </c>
      <c r="G547" t="s">
        <v>4148</v>
      </c>
      <c r="H547" t="s">
        <v>4124</v>
      </c>
      <c r="I547">
        <v>2009</v>
      </c>
      <c r="J547" t="s">
        <v>4125</v>
      </c>
    </row>
    <row r="548" spans="1:10" x14ac:dyDescent="0.25">
      <c r="A548">
        <v>547</v>
      </c>
      <c r="B548" t="s">
        <v>3630</v>
      </c>
      <c r="C548" t="s">
        <v>1285</v>
      </c>
      <c r="D548" t="s">
        <v>3631</v>
      </c>
      <c r="E548" t="s">
        <v>4120</v>
      </c>
      <c r="F548" t="s">
        <v>4114</v>
      </c>
      <c r="G548" t="s">
        <v>4177</v>
      </c>
      <c r="H548" t="s">
        <v>4178</v>
      </c>
      <c r="I548">
        <v>1997</v>
      </c>
      <c r="J548" t="s">
        <v>4116</v>
      </c>
    </row>
    <row r="549" spans="1:10" x14ac:dyDescent="0.25">
      <c r="A549">
        <v>548</v>
      </c>
      <c r="B549" t="s">
        <v>2756</v>
      </c>
      <c r="C549" t="s">
        <v>1281</v>
      </c>
      <c r="D549" t="s">
        <v>3632</v>
      </c>
      <c r="E549" t="s">
        <v>4149</v>
      </c>
      <c r="F549" t="s">
        <v>4114</v>
      </c>
      <c r="G549" t="s">
        <v>4123</v>
      </c>
      <c r="H549" t="s">
        <v>4124</v>
      </c>
      <c r="I549">
        <v>2004</v>
      </c>
      <c r="J549" t="s">
        <v>4125</v>
      </c>
    </row>
    <row r="550" spans="1:10" x14ac:dyDescent="0.25">
      <c r="A550">
        <v>549</v>
      </c>
      <c r="B550" t="s">
        <v>3633</v>
      </c>
      <c r="C550" t="s">
        <v>1285</v>
      </c>
      <c r="D550" t="s">
        <v>3634</v>
      </c>
      <c r="E550" t="s">
        <v>4120</v>
      </c>
      <c r="F550" t="s">
        <v>4114</v>
      </c>
      <c r="G550" t="s">
        <v>4177</v>
      </c>
      <c r="H550" t="s">
        <v>4178</v>
      </c>
      <c r="I550">
        <v>1996</v>
      </c>
      <c r="J550" t="s">
        <v>4116</v>
      </c>
    </row>
    <row r="551" spans="1:10" x14ac:dyDescent="0.25">
      <c r="A551">
        <v>550</v>
      </c>
      <c r="B551" t="s">
        <v>3635</v>
      </c>
      <c r="C551" t="s">
        <v>798</v>
      </c>
      <c r="D551" t="s">
        <v>3636</v>
      </c>
      <c r="E551" t="s">
        <v>4113</v>
      </c>
      <c r="F551" t="s">
        <v>4114</v>
      </c>
      <c r="G551" t="s">
        <v>4121</v>
      </c>
      <c r="H551" t="s">
        <v>2603</v>
      </c>
      <c r="I551">
        <v>2017</v>
      </c>
      <c r="J551" t="s">
        <v>4116</v>
      </c>
    </row>
    <row r="552" spans="1:10" x14ac:dyDescent="0.25">
      <c r="A552">
        <v>551</v>
      </c>
      <c r="B552" t="s">
        <v>3637</v>
      </c>
      <c r="C552" t="s">
        <v>1285</v>
      </c>
      <c r="D552" t="s">
        <v>3638</v>
      </c>
      <c r="E552" t="s">
        <v>4120</v>
      </c>
      <c r="F552" t="s">
        <v>4114</v>
      </c>
      <c r="G552" t="s">
        <v>4177</v>
      </c>
      <c r="H552" t="s">
        <v>4178</v>
      </c>
      <c r="I552">
        <v>1995</v>
      </c>
      <c r="J552" t="s">
        <v>4116</v>
      </c>
    </row>
    <row r="553" spans="1:10" x14ac:dyDescent="0.25">
      <c r="A553">
        <v>552</v>
      </c>
      <c r="B553" t="s">
        <v>2757</v>
      </c>
      <c r="C553" t="s">
        <v>1303</v>
      </c>
      <c r="D553" t="s">
        <v>3639</v>
      </c>
      <c r="E553" t="s">
        <v>4130</v>
      </c>
      <c r="F553" t="s">
        <v>4131</v>
      </c>
      <c r="G553" t="s">
        <v>4121</v>
      </c>
      <c r="H553" t="s">
        <v>2603</v>
      </c>
      <c r="I553">
        <v>1981</v>
      </c>
      <c r="J553" t="s">
        <v>4125</v>
      </c>
    </row>
    <row r="554" spans="1:10" x14ac:dyDescent="0.25">
      <c r="A554">
        <v>553</v>
      </c>
      <c r="B554" t="s">
        <v>3640</v>
      </c>
      <c r="C554" t="s">
        <v>1285</v>
      </c>
      <c r="D554" t="s">
        <v>3641</v>
      </c>
      <c r="E554" t="s">
        <v>4120</v>
      </c>
      <c r="F554" t="s">
        <v>4114</v>
      </c>
      <c r="G554" t="s">
        <v>4177</v>
      </c>
      <c r="H554" t="s">
        <v>4178</v>
      </c>
      <c r="I554">
        <v>1994</v>
      </c>
      <c r="J554" t="s">
        <v>4116</v>
      </c>
    </row>
    <row r="555" spans="1:10" x14ac:dyDescent="0.25">
      <c r="A555">
        <v>554</v>
      </c>
      <c r="B555" t="s">
        <v>3642</v>
      </c>
      <c r="C555" t="s">
        <v>798</v>
      </c>
      <c r="D555" t="s">
        <v>3643</v>
      </c>
      <c r="E555" t="s">
        <v>4113</v>
      </c>
      <c r="F555" t="s">
        <v>4114</v>
      </c>
      <c r="G555" t="s">
        <v>4121</v>
      </c>
      <c r="H555" t="s">
        <v>2603</v>
      </c>
      <c r="I555">
        <v>2014</v>
      </c>
      <c r="J555" t="s">
        <v>4116</v>
      </c>
    </row>
    <row r="556" spans="1:10" x14ac:dyDescent="0.25">
      <c r="A556">
        <v>555</v>
      </c>
      <c r="B556" t="s">
        <v>1309</v>
      </c>
      <c r="C556" t="s">
        <v>1310</v>
      </c>
      <c r="D556" t="s">
        <v>3644</v>
      </c>
      <c r="E556" t="s">
        <v>4130</v>
      </c>
      <c r="F556" t="s">
        <v>4131</v>
      </c>
      <c r="G556" t="s">
        <v>4150</v>
      </c>
      <c r="H556" t="s">
        <v>4151</v>
      </c>
      <c r="I556">
        <v>2022</v>
      </c>
      <c r="J556" t="s">
        <v>4125</v>
      </c>
    </row>
    <row r="557" spans="1:10" x14ac:dyDescent="0.25">
      <c r="A557">
        <v>556</v>
      </c>
      <c r="B557" t="s">
        <v>3645</v>
      </c>
      <c r="C557" t="s">
        <v>1285</v>
      </c>
      <c r="D557" t="s">
        <v>3646</v>
      </c>
      <c r="E557" t="s">
        <v>4120</v>
      </c>
      <c r="F557" t="s">
        <v>4114</v>
      </c>
      <c r="G557" t="s">
        <v>4177</v>
      </c>
      <c r="H557" t="s">
        <v>4178</v>
      </c>
      <c r="I557">
        <v>1992</v>
      </c>
      <c r="J557" t="s">
        <v>4116</v>
      </c>
    </row>
    <row r="558" spans="1:10" x14ac:dyDescent="0.25">
      <c r="A558">
        <v>557</v>
      </c>
      <c r="B558" t="s">
        <v>3647</v>
      </c>
      <c r="C558" t="s">
        <v>798</v>
      </c>
      <c r="D558" t="s">
        <v>3648</v>
      </c>
      <c r="E558" t="s">
        <v>4113</v>
      </c>
      <c r="F558" t="s">
        <v>4114</v>
      </c>
      <c r="G558" t="s">
        <v>4121</v>
      </c>
      <c r="H558" t="s">
        <v>2603</v>
      </c>
      <c r="I558">
        <v>2013</v>
      </c>
      <c r="J558" t="s">
        <v>4116</v>
      </c>
    </row>
    <row r="559" spans="1:10" x14ac:dyDescent="0.25">
      <c r="A559">
        <v>558</v>
      </c>
      <c r="B559" t="s">
        <v>1316</v>
      </c>
      <c r="C559" t="s">
        <v>1317</v>
      </c>
      <c r="D559" t="s">
        <v>3649</v>
      </c>
      <c r="E559" t="s">
        <v>4129</v>
      </c>
      <c r="F559" t="s">
        <v>4114</v>
      </c>
      <c r="G559" t="s">
        <v>4121</v>
      </c>
      <c r="H559" t="s">
        <v>2603</v>
      </c>
      <c r="I559">
        <v>2016</v>
      </c>
      <c r="J559" t="s">
        <v>4116</v>
      </c>
    </row>
    <row r="560" spans="1:10" x14ac:dyDescent="0.25">
      <c r="A560">
        <v>559</v>
      </c>
      <c r="B560" t="s">
        <v>3650</v>
      </c>
      <c r="C560" t="s">
        <v>1285</v>
      </c>
      <c r="D560" t="s">
        <v>3651</v>
      </c>
      <c r="E560" t="s">
        <v>4120</v>
      </c>
      <c r="F560" t="s">
        <v>4114</v>
      </c>
      <c r="G560" t="s">
        <v>4177</v>
      </c>
      <c r="H560" t="s">
        <v>4178</v>
      </c>
      <c r="I560">
        <v>1986</v>
      </c>
      <c r="J560" t="s">
        <v>4116</v>
      </c>
    </row>
    <row r="561" spans="1:10" x14ac:dyDescent="0.25">
      <c r="A561">
        <v>560</v>
      </c>
      <c r="B561" t="s">
        <v>2760</v>
      </c>
      <c r="C561" t="s">
        <v>1321</v>
      </c>
      <c r="D561" t="s">
        <v>3652</v>
      </c>
      <c r="E561" t="s">
        <v>4149</v>
      </c>
      <c r="F561" t="s">
        <v>4114</v>
      </c>
      <c r="G561" t="s">
        <v>4121</v>
      </c>
      <c r="H561" t="s">
        <v>2603</v>
      </c>
      <c r="I561">
        <v>2011</v>
      </c>
      <c r="J561" t="s">
        <v>4125</v>
      </c>
    </row>
    <row r="562" spans="1:10" x14ac:dyDescent="0.25">
      <c r="A562">
        <v>561</v>
      </c>
      <c r="B562" t="s">
        <v>3653</v>
      </c>
      <c r="C562" t="s">
        <v>798</v>
      </c>
      <c r="D562" t="s">
        <v>3654</v>
      </c>
      <c r="E562" t="s">
        <v>4113</v>
      </c>
      <c r="F562" t="s">
        <v>4114</v>
      </c>
      <c r="G562" t="s">
        <v>4121</v>
      </c>
      <c r="H562" t="s">
        <v>2603</v>
      </c>
      <c r="I562">
        <v>2013</v>
      </c>
      <c r="J562" t="s">
        <v>4116</v>
      </c>
    </row>
    <row r="563" spans="1:10" x14ac:dyDescent="0.25">
      <c r="A563">
        <v>562</v>
      </c>
      <c r="B563" t="s">
        <v>1325</v>
      </c>
      <c r="C563" t="s">
        <v>1281</v>
      </c>
      <c r="D563" t="s">
        <v>3655</v>
      </c>
      <c r="E563" t="s">
        <v>4149</v>
      </c>
      <c r="F563" t="s">
        <v>4114</v>
      </c>
      <c r="G563" t="s">
        <v>4123</v>
      </c>
      <c r="H563" t="s">
        <v>4124</v>
      </c>
      <c r="I563">
        <v>2017</v>
      </c>
      <c r="J563" t="s">
        <v>4125</v>
      </c>
    </row>
    <row r="564" spans="1:10" x14ac:dyDescent="0.25">
      <c r="A564">
        <v>563</v>
      </c>
      <c r="B564" t="s">
        <v>1326</v>
      </c>
      <c r="C564" t="s">
        <v>1115</v>
      </c>
      <c r="D564" t="s">
        <v>3656</v>
      </c>
      <c r="E564" t="s">
        <v>4149</v>
      </c>
      <c r="F564" t="s">
        <v>4114</v>
      </c>
      <c r="G564" t="s">
        <v>4115</v>
      </c>
      <c r="H564" t="s">
        <v>2603</v>
      </c>
      <c r="I564">
        <v>2012</v>
      </c>
      <c r="J564" t="s">
        <v>4125</v>
      </c>
    </row>
    <row r="565" spans="1:10" x14ac:dyDescent="0.25">
      <c r="A565">
        <v>564</v>
      </c>
      <c r="B565" t="s">
        <v>1327</v>
      </c>
      <c r="C565" t="s">
        <v>1328</v>
      </c>
      <c r="D565" t="s">
        <v>3657</v>
      </c>
      <c r="E565" t="s">
        <v>4129</v>
      </c>
      <c r="F565" t="s">
        <v>4114</v>
      </c>
      <c r="G565" t="s">
        <v>4133</v>
      </c>
      <c r="H565" t="s">
        <v>2494</v>
      </c>
      <c r="I565">
        <v>2020</v>
      </c>
      <c r="J565" t="s">
        <v>4116</v>
      </c>
    </row>
    <row r="566" spans="1:10" x14ac:dyDescent="0.25">
      <c r="A566">
        <v>565</v>
      </c>
      <c r="B566" t="s">
        <v>1330</v>
      </c>
      <c r="C566" t="s">
        <v>1331</v>
      </c>
      <c r="D566" t="s">
        <v>3658</v>
      </c>
      <c r="E566" t="s">
        <v>4132</v>
      </c>
      <c r="F566" t="s">
        <v>4114</v>
      </c>
      <c r="G566" t="s">
        <v>4118</v>
      </c>
      <c r="H566" t="s">
        <v>4119</v>
      </c>
      <c r="I566">
        <v>2019</v>
      </c>
      <c r="J566" t="s">
        <v>4125</v>
      </c>
    </row>
    <row r="567" spans="1:10" x14ac:dyDescent="0.25">
      <c r="A567">
        <v>566</v>
      </c>
      <c r="B567" t="s">
        <v>3659</v>
      </c>
      <c r="C567" t="s">
        <v>364</v>
      </c>
      <c r="D567" t="s">
        <v>3660</v>
      </c>
      <c r="E567" t="s">
        <v>4126</v>
      </c>
      <c r="F567" t="s">
        <v>4114</v>
      </c>
      <c r="G567" t="s">
        <v>4159</v>
      </c>
      <c r="H567" t="s">
        <v>4160</v>
      </c>
      <c r="I567">
        <v>2014</v>
      </c>
      <c r="J567" t="s">
        <v>4147</v>
      </c>
    </row>
    <row r="568" spans="1:10" x14ac:dyDescent="0.25">
      <c r="A568">
        <v>567</v>
      </c>
      <c r="B568" t="s">
        <v>1335</v>
      </c>
      <c r="C568" t="s">
        <v>969</v>
      </c>
      <c r="D568" t="s">
        <v>3661</v>
      </c>
      <c r="E568" t="s">
        <v>4134</v>
      </c>
      <c r="F568" t="s">
        <v>4114</v>
      </c>
      <c r="G568" t="s">
        <v>4133</v>
      </c>
      <c r="H568" t="s">
        <v>2494</v>
      </c>
      <c r="I568">
        <v>2020</v>
      </c>
      <c r="J568" t="s">
        <v>4116</v>
      </c>
    </row>
    <row r="569" spans="1:10" x14ac:dyDescent="0.25">
      <c r="A569">
        <v>568</v>
      </c>
      <c r="B569" t="s">
        <v>3662</v>
      </c>
      <c r="C569" t="s">
        <v>364</v>
      </c>
      <c r="D569" t="s">
        <v>3663</v>
      </c>
      <c r="E569" t="s">
        <v>4126</v>
      </c>
      <c r="F569" t="s">
        <v>4114</v>
      </c>
      <c r="G569" t="s">
        <v>4159</v>
      </c>
      <c r="H569" t="s">
        <v>4160</v>
      </c>
      <c r="I569">
        <v>2013</v>
      </c>
      <c r="J569" t="s">
        <v>4147</v>
      </c>
    </row>
    <row r="570" spans="1:10" x14ac:dyDescent="0.25">
      <c r="A570">
        <v>569</v>
      </c>
      <c r="B570" t="s">
        <v>3664</v>
      </c>
      <c r="C570" t="s">
        <v>1006</v>
      </c>
      <c r="D570" t="s">
        <v>3665</v>
      </c>
      <c r="E570" t="s">
        <v>4117</v>
      </c>
      <c r="F570" t="s">
        <v>4114</v>
      </c>
      <c r="G570" t="s">
        <v>4115</v>
      </c>
      <c r="H570" t="s">
        <v>2603</v>
      </c>
      <c r="I570">
        <v>2015</v>
      </c>
      <c r="J570" t="s">
        <v>4125</v>
      </c>
    </row>
    <row r="571" spans="1:10" x14ac:dyDescent="0.25">
      <c r="A571">
        <v>570</v>
      </c>
      <c r="B571" t="s">
        <v>1339</v>
      </c>
      <c r="C571" t="s">
        <v>503</v>
      </c>
      <c r="D571" t="s">
        <v>3666</v>
      </c>
      <c r="E571" t="s">
        <v>4134</v>
      </c>
      <c r="F571" t="s">
        <v>4114</v>
      </c>
      <c r="G571" t="s">
        <v>4118</v>
      </c>
      <c r="H571" t="s">
        <v>4119</v>
      </c>
      <c r="I571">
        <v>2019</v>
      </c>
      <c r="J571" t="s">
        <v>4116</v>
      </c>
    </row>
    <row r="572" spans="1:10" x14ac:dyDescent="0.25">
      <c r="A572">
        <v>571</v>
      </c>
      <c r="B572" t="s">
        <v>1342</v>
      </c>
      <c r="C572" t="s">
        <v>1343</v>
      </c>
      <c r="D572" t="s">
        <v>3667</v>
      </c>
      <c r="E572" t="s">
        <v>4130</v>
      </c>
      <c r="F572" t="s">
        <v>4131</v>
      </c>
      <c r="G572" t="s">
        <v>4150</v>
      </c>
      <c r="H572" t="s">
        <v>4151</v>
      </c>
      <c r="I572">
        <v>2016</v>
      </c>
      <c r="J572" t="s">
        <v>4125</v>
      </c>
    </row>
    <row r="573" spans="1:10" x14ac:dyDescent="0.25">
      <c r="A573">
        <v>572</v>
      </c>
      <c r="B573" t="s">
        <v>2762</v>
      </c>
      <c r="C573" t="s">
        <v>1345</v>
      </c>
      <c r="D573" t="s">
        <v>3668</v>
      </c>
      <c r="E573" t="s">
        <v>4130</v>
      </c>
      <c r="F573" t="s">
        <v>4131</v>
      </c>
      <c r="G573" t="s">
        <v>4115</v>
      </c>
      <c r="H573" t="s">
        <v>2603</v>
      </c>
      <c r="I573">
        <v>2019</v>
      </c>
      <c r="J573" t="s">
        <v>4125</v>
      </c>
    </row>
    <row r="574" spans="1:10" x14ac:dyDescent="0.25">
      <c r="A574">
        <v>573</v>
      </c>
      <c r="B574" t="s">
        <v>2763</v>
      </c>
      <c r="C574" t="s">
        <v>1347</v>
      </c>
      <c r="D574" t="s">
        <v>3669</v>
      </c>
      <c r="E574" t="s">
        <v>4155</v>
      </c>
      <c r="F574" t="s">
        <v>4131</v>
      </c>
      <c r="G574" t="s">
        <v>4123</v>
      </c>
      <c r="H574" t="s">
        <v>4124</v>
      </c>
      <c r="I574">
        <v>2018</v>
      </c>
      <c r="J574" t="s">
        <v>4116</v>
      </c>
    </row>
    <row r="575" spans="1:10" x14ac:dyDescent="0.25">
      <c r="A575">
        <v>574</v>
      </c>
      <c r="B575" t="s">
        <v>2764</v>
      </c>
      <c r="C575" t="s">
        <v>1349</v>
      </c>
      <c r="D575" t="s">
        <v>3670</v>
      </c>
      <c r="E575" t="s">
        <v>4130</v>
      </c>
      <c r="F575" t="s">
        <v>4131</v>
      </c>
      <c r="G575" t="s">
        <v>4123</v>
      </c>
      <c r="H575" t="s">
        <v>4124</v>
      </c>
      <c r="I575">
        <v>2007</v>
      </c>
      <c r="J575" t="s">
        <v>4125</v>
      </c>
    </row>
    <row r="576" spans="1:10" x14ac:dyDescent="0.25">
      <c r="A576">
        <v>575</v>
      </c>
      <c r="B576" t="s">
        <v>3671</v>
      </c>
      <c r="C576" t="s">
        <v>1006</v>
      </c>
      <c r="D576" t="s">
        <v>3672</v>
      </c>
      <c r="E576" t="s">
        <v>4117</v>
      </c>
      <c r="F576" t="s">
        <v>4114</v>
      </c>
      <c r="G576" t="s">
        <v>4115</v>
      </c>
      <c r="H576" t="s">
        <v>2603</v>
      </c>
      <c r="I576">
        <v>2015</v>
      </c>
      <c r="J576" t="s">
        <v>4125</v>
      </c>
    </row>
    <row r="577" spans="1:10" x14ac:dyDescent="0.25">
      <c r="A577">
        <v>576</v>
      </c>
      <c r="B577" t="s">
        <v>3673</v>
      </c>
      <c r="C577" t="s">
        <v>530</v>
      </c>
      <c r="D577" t="s">
        <v>3674</v>
      </c>
      <c r="E577" t="s">
        <v>4136</v>
      </c>
      <c r="F577" t="s">
        <v>4114</v>
      </c>
      <c r="G577" t="s">
        <v>4121</v>
      </c>
      <c r="H577" t="s">
        <v>2603</v>
      </c>
      <c r="I577">
        <v>2007</v>
      </c>
      <c r="J577" t="s">
        <v>4116</v>
      </c>
    </row>
    <row r="578" spans="1:10" x14ac:dyDescent="0.25">
      <c r="A578">
        <v>577</v>
      </c>
      <c r="B578" t="s">
        <v>1354</v>
      </c>
      <c r="C578" t="s">
        <v>1355</v>
      </c>
      <c r="D578" t="s">
        <v>3675</v>
      </c>
      <c r="E578" t="s">
        <v>4130</v>
      </c>
      <c r="F578" t="s">
        <v>4131</v>
      </c>
      <c r="G578" t="s">
        <v>4148</v>
      </c>
      <c r="H578" t="s">
        <v>2486</v>
      </c>
      <c r="I578">
        <v>2006</v>
      </c>
      <c r="J578" t="s">
        <v>4125</v>
      </c>
    </row>
    <row r="579" spans="1:10" x14ac:dyDescent="0.25">
      <c r="A579">
        <v>578</v>
      </c>
      <c r="B579" t="s">
        <v>1357</v>
      </c>
      <c r="C579" t="s">
        <v>1358</v>
      </c>
      <c r="D579" t="s">
        <v>3676</v>
      </c>
      <c r="E579" t="s">
        <v>4135</v>
      </c>
      <c r="F579" t="s">
        <v>4131</v>
      </c>
      <c r="G579" t="s">
        <v>4121</v>
      </c>
      <c r="H579" t="s">
        <v>2603</v>
      </c>
      <c r="I579">
        <v>2019</v>
      </c>
      <c r="J579" t="s">
        <v>4116</v>
      </c>
    </row>
    <row r="580" spans="1:10" x14ac:dyDescent="0.25">
      <c r="A580">
        <v>579</v>
      </c>
      <c r="B580" t="s">
        <v>1360</v>
      </c>
      <c r="C580" t="s">
        <v>1361</v>
      </c>
      <c r="D580" t="s">
        <v>3677</v>
      </c>
      <c r="E580" t="s">
        <v>4130</v>
      </c>
      <c r="F580" t="s">
        <v>4131</v>
      </c>
      <c r="G580" t="s">
        <v>4123</v>
      </c>
      <c r="H580" t="s">
        <v>4124</v>
      </c>
      <c r="I580">
        <v>2018</v>
      </c>
      <c r="J580" t="s">
        <v>4125</v>
      </c>
    </row>
    <row r="581" spans="1:10" x14ac:dyDescent="0.25">
      <c r="A581">
        <v>580</v>
      </c>
      <c r="B581" t="s">
        <v>3678</v>
      </c>
      <c r="C581" t="s">
        <v>364</v>
      </c>
      <c r="D581" t="s">
        <v>3679</v>
      </c>
      <c r="E581" t="s">
        <v>4126</v>
      </c>
      <c r="F581" t="s">
        <v>4114</v>
      </c>
      <c r="G581" t="s">
        <v>4159</v>
      </c>
      <c r="H581" t="s">
        <v>4160</v>
      </c>
      <c r="I581">
        <v>2012</v>
      </c>
      <c r="J581" t="s">
        <v>4147</v>
      </c>
    </row>
    <row r="582" spans="1:10" x14ac:dyDescent="0.25">
      <c r="A582">
        <v>581</v>
      </c>
      <c r="B582" t="s">
        <v>2767</v>
      </c>
      <c r="C582" t="s">
        <v>934</v>
      </c>
      <c r="D582" t="s">
        <v>3680</v>
      </c>
      <c r="E582" t="s">
        <v>4132</v>
      </c>
      <c r="F582" t="s">
        <v>4114</v>
      </c>
      <c r="G582" t="s">
        <v>4115</v>
      </c>
      <c r="H582" t="s">
        <v>2603</v>
      </c>
      <c r="I582">
        <v>2018</v>
      </c>
      <c r="J582" t="s">
        <v>4125</v>
      </c>
    </row>
    <row r="583" spans="1:10" x14ac:dyDescent="0.25">
      <c r="A583">
        <v>582</v>
      </c>
      <c r="B583" t="s">
        <v>2768</v>
      </c>
      <c r="C583" t="s">
        <v>750</v>
      </c>
      <c r="D583" t="s">
        <v>3681</v>
      </c>
      <c r="E583" t="s">
        <v>4113</v>
      </c>
      <c r="F583" t="s">
        <v>4114</v>
      </c>
      <c r="G583" t="s">
        <v>4121</v>
      </c>
      <c r="H583" t="s">
        <v>2603</v>
      </c>
      <c r="I583">
        <v>2014</v>
      </c>
      <c r="J583" t="s">
        <v>4116</v>
      </c>
    </row>
    <row r="584" spans="1:10" x14ac:dyDescent="0.25">
      <c r="A584">
        <v>583</v>
      </c>
      <c r="B584" t="s">
        <v>2769</v>
      </c>
      <c r="C584" t="s">
        <v>750</v>
      </c>
      <c r="D584" t="s">
        <v>3682</v>
      </c>
      <c r="E584" t="s">
        <v>4113</v>
      </c>
      <c r="F584" t="s">
        <v>4114</v>
      </c>
      <c r="G584" t="s">
        <v>4121</v>
      </c>
      <c r="H584" t="s">
        <v>2603</v>
      </c>
      <c r="I584">
        <v>2013</v>
      </c>
      <c r="J584" t="s">
        <v>4116</v>
      </c>
    </row>
    <row r="585" spans="1:10" x14ac:dyDescent="0.25">
      <c r="A585">
        <v>584</v>
      </c>
      <c r="B585" t="s">
        <v>2770</v>
      </c>
      <c r="C585" t="s">
        <v>750</v>
      </c>
      <c r="D585" t="s">
        <v>3683</v>
      </c>
      <c r="E585" t="s">
        <v>4113</v>
      </c>
      <c r="F585" t="s">
        <v>4114</v>
      </c>
      <c r="G585" t="s">
        <v>4121</v>
      </c>
      <c r="H585" t="s">
        <v>2603</v>
      </c>
      <c r="I585">
        <v>2012</v>
      </c>
      <c r="J585" t="s">
        <v>4116</v>
      </c>
    </row>
    <row r="586" spans="1:10" x14ac:dyDescent="0.25">
      <c r="A586">
        <v>585</v>
      </c>
      <c r="B586" t="s">
        <v>2771</v>
      </c>
      <c r="C586" t="s">
        <v>1169</v>
      </c>
      <c r="D586" t="s">
        <v>3684</v>
      </c>
      <c r="E586" t="s">
        <v>4136</v>
      </c>
      <c r="F586" t="s">
        <v>4114</v>
      </c>
      <c r="G586" t="s">
        <v>4121</v>
      </c>
      <c r="H586" t="s">
        <v>2603</v>
      </c>
      <c r="I586">
        <v>2008</v>
      </c>
      <c r="J586" t="s">
        <v>4116</v>
      </c>
    </row>
    <row r="587" spans="1:10" x14ac:dyDescent="0.25">
      <c r="A587">
        <v>586</v>
      </c>
      <c r="B587" t="s">
        <v>1368</v>
      </c>
      <c r="C587" t="s">
        <v>750</v>
      </c>
      <c r="D587" t="s">
        <v>3685</v>
      </c>
      <c r="E587" t="s">
        <v>4113</v>
      </c>
      <c r="F587" t="s">
        <v>4114</v>
      </c>
      <c r="G587" t="s">
        <v>4121</v>
      </c>
      <c r="H587" t="s">
        <v>2603</v>
      </c>
      <c r="I587">
        <v>2016</v>
      </c>
      <c r="J587" t="s">
        <v>4116</v>
      </c>
    </row>
    <row r="588" spans="1:10" x14ac:dyDescent="0.25">
      <c r="A588">
        <v>587</v>
      </c>
      <c r="B588" t="s">
        <v>1369</v>
      </c>
      <c r="C588" t="s">
        <v>1370</v>
      </c>
      <c r="D588" t="s">
        <v>3686</v>
      </c>
      <c r="E588" t="s">
        <v>4138</v>
      </c>
      <c r="F588" t="s">
        <v>4114</v>
      </c>
      <c r="G588" t="s">
        <v>4156</v>
      </c>
      <c r="H588" t="s">
        <v>2603</v>
      </c>
      <c r="I588">
        <v>2018</v>
      </c>
      <c r="J588" t="s">
        <v>4116</v>
      </c>
    </row>
    <row r="589" spans="1:10" x14ac:dyDescent="0.25">
      <c r="A589">
        <v>588</v>
      </c>
      <c r="B589" t="s">
        <v>3687</v>
      </c>
      <c r="C589" t="s">
        <v>364</v>
      </c>
      <c r="D589" t="s">
        <v>3688</v>
      </c>
      <c r="E589" t="s">
        <v>4126</v>
      </c>
      <c r="F589" t="s">
        <v>4114</v>
      </c>
      <c r="G589" t="s">
        <v>4159</v>
      </c>
      <c r="H589" t="s">
        <v>4160</v>
      </c>
      <c r="I589">
        <v>2011</v>
      </c>
      <c r="J589" t="s">
        <v>4147</v>
      </c>
    </row>
    <row r="590" spans="1:10" x14ac:dyDescent="0.25">
      <c r="A590">
        <v>589</v>
      </c>
      <c r="B590" t="s">
        <v>1374</v>
      </c>
      <c r="C590" t="s">
        <v>62</v>
      </c>
      <c r="D590" t="s">
        <v>3689</v>
      </c>
      <c r="E590" t="s">
        <v>4132</v>
      </c>
      <c r="F590" t="s">
        <v>4114</v>
      </c>
      <c r="G590" t="s">
        <v>4133</v>
      </c>
      <c r="H590" t="s">
        <v>2494</v>
      </c>
      <c r="I590">
        <v>2014</v>
      </c>
      <c r="J590" t="s">
        <v>4116</v>
      </c>
    </row>
    <row r="591" spans="1:10" x14ac:dyDescent="0.25">
      <c r="A591">
        <v>590</v>
      </c>
      <c r="B591" t="s">
        <v>2774</v>
      </c>
      <c r="C591" t="s">
        <v>1376</v>
      </c>
      <c r="D591" t="s">
        <v>3690</v>
      </c>
      <c r="E591" t="s">
        <v>4113</v>
      </c>
      <c r="F591" t="s">
        <v>4114</v>
      </c>
      <c r="G591" t="s">
        <v>4121</v>
      </c>
      <c r="H591" t="s">
        <v>2603</v>
      </c>
      <c r="I591">
        <v>2014</v>
      </c>
      <c r="J591" t="s">
        <v>4116</v>
      </c>
    </row>
    <row r="592" spans="1:10" x14ac:dyDescent="0.25">
      <c r="A592">
        <v>591</v>
      </c>
      <c r="B592" t="s">
        <v>2773</v>
      </c>
      <c r="C592" t="s">
        <v>1376</v>
      </c>
      <c r="D592" t="s">
        <v>3691</v>
      </c>
      <c r="E592" t="s">
        <v>4113</v>
      </c>
      <c r="F592" t="s">
        <v>4114</v>
      </c>
      <c r="G592" t="s">
        <v>4121</v>
      </c>
      <c r="H592" t="s">
        <v>2603</v>
      </c>
      <c r="I592">
        <v>2013</v>
      </c>
      <c r="J592" t="s">
        <v>4116</v>
      </c>
    </row>
    <row r="593" spans="1:10" x14ac:dyDescent="0.25">
      <c r="A593">
        <v>592</v>
      </c>
      <c r="B593" t="s">
        <v>2772</v>
      </c>
      <c r="C593" t="s">
        <v>1376</v>
      </c>
      <c r="D593" t="s">
        <v>3692</v>
      </c>
      <c r="E593" t="s">
        <v>4113</v>
      </c>
      <c r="F593" t="s">
        <v>4114</v>
      </c>
      <c r="G593" t="s">
        <v>4121</v>
      </c>
      <c r="H593" t="s">
        <v>2603</v>
      </c>
      <c r="I593">
        <v>2012</v>
      </c>
      <c r="J593" t="s">
        <v>4116</v>
      </c>
    </row>
    <row r="594" spans="1:10" x14ac:dyDescent="0.25">
      <c r="A594">
        <v>593</v>
      </c>
      <c r="B594" t="s">
        <v>1380</v>
      </c>
      <c r="C594" t="s">
        <v>62</v>
      </c>
      <c r="D594" t="s">
        <v>3693</v>
      </c>
      <c r="E594" t="s">
        <v>4132</v>
      </c>
      <c r="F594" t="s">
        <v>4114</v>
      </c>
      <c r="G594" t="s">
        <v>4133</v>
      </c>
      <c r="H594" t="s">
        <v>2494</v>
      </c>
      <c r="I594">
        <v>2019</v>
      </c>
      <c r="J594" t="s">
        <v>4116</v>
      </c>
    </row>
    <row r="595" spans="1:10" x14ac:dyDescent="0.25">
      <c r="A595">
        <v>594</v>
      </c>
      <c r="B595" t="s">
        <v>1381</v>
      </c>
      <c r="C595" t="s">
        <v>1382</v>
      </c>
      <c r="D595" t="s">
        <v>3694</v>
      </c>
      <c r="E595" t="s">
        <v>4113</v>
      </c>
      <c r="F595" t="s">
        <v>4114</v>
      </c>
      <c r="G595" t="s">
        <v>4133</v>
      </c>
      <c r="H595" t="s">
        <v>2494</v>
      </c>
      <c r="I595">
        <v>2019</v>
      </c>
      <c r="J595" t="s">
        <v>4125</v>
      </c>
    </row>
    <row r="596" spans="1:10" x14ac:dyDescent="0.25">
      <c r="A596">
        <v>595</v>
      </c>
      <c r="B596" t="s">
        <v>1384</v>
      </c>
      <c r="C596" t="s">
        <v>1385</v>
      </c>
      <c r="D596" t="s">
        <v>3695</v>
      </c>
      <c r="E596" t="s">
        <v>4135</v>
      </c>
      <c r="F596" t="s">
        <v>4131</v>
      </c>
      <c r="G596" t="s">
        <v>4148</v>
      </c>
      <c r="H596" t="s">
        <v>2486</v>
      </c>
      <c r="I596">
        <v>2019</v>
      </c>
      <c r="J596" t="s">
        <v>4125</v>
      </c>
    </row>
    <row r="597" spans="1:10" x14ac:dyDescent="0.25">
      <c r="A597">
        <v>596</v>
      </c>
      <c r="B597" t="s">
        <v>3696</v>
      </c>
      <c r="C597" t="s">
        <v>62</v>
      </c>
      <c r="D597" t="s">
        <v>3697</v>
      </c>
      <c r="E597" t="s">
        <v>4129</v>
      </c>
      <c r="F597" t="s">
        <v>4114</v>
      </c>
      <c r="G597" t="s">
        <v>4133</v>
      </c>
      <c r="H597" t="s">
        <v>2494</v>
      </c>
      <c r="I597">
        <v>2015</v>
      </c>
      <c r="J597" t="s">
        <v>4116</v>
      </c>
    </row>
    <row r="598" spans="1:10" x14ac:dyDescent="0.25">
      <c r="A598">
        <v>597</v>
      </c>
      <c r="B598" t="s">
        <v>1389</v>
      </c>
      <c r="C598" t="s">
        <v>1390</v>
      </c>
      <c r="D598" t="s">
        <v>3698</v>
      </c>
      <c r="E598" t="s">
        <v>4130</v>
      </c>
      <c r="F598" t="s">
        <v>4131</v>
      </c>
      <c r="G598" t="s">
        <v>4133</v>
      </c>
      <c r="H598" t="s">
        <v>2494</v>
      </c>
      <c r="I598">
        <v>2019</v>
      </c>
      <c r="J598" t="s">
        <v>4125</v>
      </c>
    </row>
    <row r="599" spans="1:10" x14ac:dyDescent="0.25">
      <c r="A599">
        <v>598</v>
      </c>
      <c r="B599" t="s">
        <v>1392</v>
      </c>
      <c r="C599" t="s">
        <v>1393</v>
      </c>
      <c r="D599" t="s">
        <v>3699</v>
      </c>
      <c r="E599" t="s">
        <v>4149</v>
      </c>
      <c r="F599" t="s">
        <v>4114</v>
      </c>
      <c r="G599" t="s">
        <v>4133</v>
      </c>
      <c r="H599" t="s">
        <v>2494</v>
      </c>
      <c r="I599">
        <v>2014</v>
      </c>
      <c r="J599" t="s">
        <v>4125</v>
      </c>
    </row>
    <row r="600" spans="1:10" x14ac:dyDescent="0.25">
      <c r="A600">
        <v>599</v>
      </c>
      <c r="B600" t="s">
        <v>2775</v>
      </c>
      <c r="C600" t="s">
        <v>1395</v>
      </c>
      <c r="D600" t="s">
        <v>3700</v>
      </c>
      <c r="E600" t="s">
        <v>4149</v>
      </c>
      <c r="F600" t="s">
        <v>4114</v>
      </c>
      <c r="G600" t="s">
        <v>4115</v>
      </c>
      <c r="H600" t="s">
        <v>2603</v>
      </c>
      <c r="I600">
        <v>2014</v>
      </c>
      <c r="J600" t="s">
        <v>4125</v>
      </c>
    </row>
    <row r="601" spans="1:10" x14ac:dyDescent="0.25">
      <c r="A601">
        <v>600</v>
      </c>
      <c r="B601" t="s">
        <v>1397</v>
      </c>
      <c r="C601" t="s">
        <v>1398</v>
      </c>
      <c r="D601" t="s">
        <v>3701</v>
      </c>
      <c r="E601" t="s">
        <v>4134</v>
      </c>
      <c r="F601" t="s">
        <v>4114</v>
      </c>
      <c r="G601" t="s">
        <v>4133</v>
      </c>
      <c r="H601" t="s">
        <v>2494</v>
      </c>
      <c r="I601">
        <v>2019</v>
      </c>
      <c r="J601" t="s">
        <v>4125</v>
      </c>
    </row>
    <row r="602" spans="1:10" x14ac:dyDescent="0.25">
      <c r="A602">
        <v>601</v>
      </c>
      <c r="B602" t="s">
        <v>2777</v>
      </c>
      <c r="C602" t="s">
        <v>954</v>
      </c>
      <c r="D602" t="s">
        <v>3702</v>
      </c>
      <c r="E602" t="s">
        <v>4134</v>
      </c>
      <c r="F602" t="s">
        <v>4114</v>
      </c>
      <c r="G602" t="s">
        <v>4115</v>
      </c>
      <c r="H602" t="s">
        <v>2603</v>
      </c>
      <c r="I602">
        <v>2018</v>
      </c>
      <c r="J602" t="s">
        <v>4125</v>
      </c>
    </row>
    <row r="603" spans="1:10" x14ac:dyDescent="0.25">
      <c r="A603">
        <v>602</v>
      </c>
      <c r="B603" t="s">
        <v>2778</v>
      </c>
      <c r="C603" t="s">
        <v>70</v>
      </c>
      <c r="D603" t="s">
        <v>3703</v>
      </c>
      <c r="E603" t="s">
        <v>4134</v>
      </c>
      <c r="F603" t="s">
        <v>4114</v>
      </c>
      <c r="G603" t="s">
        <v>4118</v>
      </c>
      <c r="H603" t="s">
        <v>4119</v>
      </c>
      <c r="I603">
        <v>2018</v>
      </c>
      <c r="J603" t="s">
        <v>4116</v>
      </c>
    </row>
    <row r="604" spans="1:10" x14ac:dyDescent="0.25">
      <c r="A604">
        <v>603</v>
      </c>
      <c r="B604" t="s">
        <v>1402</v>
      </c>
      <c r="C604" t="s">
        <v>1328</v>
      </c>
      <c r="D604" t="s">
        <v>3704</v>
      </c>
      <c r="E604" t="s">
        <v>4129</v>
      </c>
      <c r="F604" t="s">
        <v>4114</v>
      </c>
      <c r="G604" t="s">
        <v>4133</v>
      </c>
      <c r="H604" t="s">
        <v>2494</v>
      </c>
      <c r="I604">
        <v>2017</v>
      </c>
      <c r="J604" t="s">
        <v>4116</v>
      </c>
    </row>
    <row r="605" spans="1:10" x14ac:dyDescent="0.25">
      <c r="A605">
        <v>604</v>
      </c>
      <c r="B605" t="s">
        <v>1403</v>
      </c>
      <c r="C605" t="s">
        <v>1328</v>
      </c>
      <c r="D605" t="s">
        <v>3705</v>
      </c>
      <c r="E605" t="s">
        <v>4129</v>
      </c>
      <c r="F605" t="s">
        <v>4114</v>
      </c>
      <c r="G605" t="s">
        <v>4133</v>
      </c>
      <c r="H605" t="s">
        <v>2494</v>
      </c>
      <c r="I605">
        <v>2018</v>
      </c>
      <c r="J605" t="s">
        <v>4116</v>
      </c>
    </row>
    <row r="606" spans="1:10" x14ac:dyDescent="0.25">
      <c r="A606">
        <v>605</v>
      </c>
      <c r="B606" t="s">
        <v>1404</v>
      </c>
      <c r="C606" t="s">
        <v>1390</v>
      </c>
      <c r="D606" t="s">
        <v>3706</v>
      </c>
      <c r="E606" t="s">
        <v>4130</v>
      </c>
      <c r="F606" t="s">
        <v>4131</v>
      </c>
      <c r="G606" t="s">
        <v>4133</v>
      </c>
      <c r="H606" t="s">
        <v>2494</v>
      </c>
      <c r="I606">
        <v>2018</v>
      </c>
      <c r="J606" t="s">
        <v>4125</v>
      </c>
    </row>
    <row r="607" spans="1:10" x14ac:dyDescent="0.25">
      <c r="A607">
        <v>606</v>
      </c>
      <c r="B607" t="s">
        <v>1405</v>
      </c>
      <c r="C607" t="s">
        <v>901</v>
      </c>
      <c r="D607" t="s">
        <v>3707</v>
      </c>
      <c r="E607" t="s">
        <v>4113</v>
      </c>
      <c r="F607" t="s">
        <v>4114</v>
      </c>
      <c r="G607" t="s">
        <v>4121</v>
      </c>
      <c r="H607" t="s">
        <v>2603</v>
      </c>
      <c r="I607">
        <v>2017</v>
      </c>
      <c r="J607" t="s">
        <v>4116</v>
      </c>
    </row>
    <row r="608" spans="1:10" x14ac:dyDescent="0.25">
      <c r="A608">
        <v>607</v>
      </c>
      <c r="B608" t="s">
        <v>3708</v>
      </c>
      <c r="C608" t="s">
        <v>1408</v>
      </c>
      <c r="D608" t="s">
        <v>3709</v>
      </c>
      <c r="E608" t="s">
        <v>4138</v>
      </c>
      <c r="F608" t="s">
        <v>4114</v>
      </c>
      <c r="G608" t="s">
        <v>4161</v>
      </c>
      <c r="H608" t="s">
        <v>2603</v>
      </c>
      <c r="I608">
        <v>2018</v>
      </c>
      <c r="J608" t="s">
        <v>4125</v>
      </c>
    </row>
    <row r="609" spans="1:10" x14ac:dyDescent="0.25">
      <c r="A609">
        <v>608</v>
      </c>
      <c r="B609" t="s">
        <v>1410</v>
      </c>
      <c r="C609" t="s">
        <v>62</v>
      </c>
      <c r="D609" t="s">
        <v>3710</v>
      </c>
      <c r="E609" t="s">
        <v>4132</v>
      </c>
      <c r="F609" t="s">
        <v>4114</v>
      </c>
      <c r="G609" t="s">
        <v>4133</v>
      </c>
      <c r="H609" t="s">
        <v>2494</v>
      </c>
      <c r="I609">
        <v>2018</v>
      </c>
      <c r="J609" t="s">
        <v>4116</v>
      </c>
    </row>
    <row r="610" spans="1:10" x14ac:dyDescent="0.25">
      <c r="A610">
        <v>609</v>
      </c>
      <c r="B610" t="s">
        <v>1411</v>
      </c>
      <c r="C610" t="s">
        <v>62</v>
      </c>
      <c r="D610" t="s">
        <v>3711</v>
      </c>
      <c r="E610" t="s">
        <v>4132</v>
      </c>
      <c r="F610" t="s">
        <v>4114</v>
      </c>
      <c r="G610" t="s">
        <v>4133</v>
      </c>
      <c r="H610" t="s">
        <v>2494</v>
      </c>
      <c r="I610">
        <v>2017</v>
      </c>
      <c r="J610" t="s">
        <v>4116</v>
      </c>
    </row>
    <row r="611" spans="1:10" x14ac:dyDescent="0.25">
      <c r="A611">
        <v>610</v>
      </c>
      <c r="B611" t="s">
        <v>1412</v>
      </c>
      <c r="C611" t="s">
        <v>1413</v>
      </c>
      <c r="D611" t="s">
        <v>3712</v>
      </c>
      <c r="E611" t="s">
        <v>4157</v>
      </c>
      <c r="F611" t="s">
        <v>4131</v>
      </c>
      <c r="G611" t="s">
        <v>4148</v>
      </c>
      <c r="H611" t="s">
        <v>2486</v>
      </c>
      <c r="I611">
        <v>2006</v>
      </c>
      <c r="J611" t="s">
        <v>4116</v>
      </c>
    </row>
    <row r="612" spans="1:10" x14ac:dyDescent="0.25">
      <c r="A612">
        <v>611</v>
      </c>
      <c r="B612" t="s">
        <v>2779</v>
      </c>
      <c r="C612" t="s">
        <v>2780</v>
      </c>
      <c r="D612" t="s">
        <v>3713</v>
      </c>
      <c r="E612" t="s">
        <v>4140</v>
      </c>
      <c r="F612" t="s">
        <v>4131</v>
      </c>
      <c r="G612" t="s">
        <v>4121</v>
      </c>
      <c r="H612" t="s">
        <v>2603</v>
      </c>
      <c r="I612">
        <v>2015</v>
      </c>
      <c r="J612" t="s">
        <v>4116</v>
      </c>
    </row>
    <row r="613" spans="1:10" x14ac:dyDescent="0.25">
      <c r="A613">
        <v>612</v>
      </c>
      <c r="B613" t="s">
        <v>2782</v>
      </c>
      <c r="C613" t="s">
        <v>1415</v>
      </c>
      <c r="D613" t="s">
        <v>3714</v>
      </c>
      <c r="E613" t="s">
        <v>4149</v>
      </c>
      <c r="F613" t="s">
        <v>4114</v>
      </c>
      <c r="G613" t="s">
        <v>4115</v>
      </c>
      <c r="H613" t="s">
        <v>2603</v>
      </c>
      <c r="I613">
        <v>2014</v>
      </c>
      <c r="J613" t="s">
        <v>4125</v>
      </c>
    </row>
    <row r="614" spans="1:10" x14ac:dyDescent="0.25">
      <c r="A614">
        <v>613</v>
      </c>
      <c r="B614" t="s">
        <v>2783</v>
      </c>
      <c r="C614" t="s">
        <v>170</v>
      </c>
      <c r="D614" t="s">
        <v>3715</v>
      </c>
      <c r="E614" t="s">
        <v>4129</v>
      </c>
      <c r="F614" t="s">
        <v>4114</v>
      </c>
      <c r="G614" t="s">
        <v>4144</v>
      </c>
      <c r="H614" t="s">
        <v>4124</v>
      </c>
      <c r="I614">
        <v>2012</v>
      </c>
      <c r="J614" t="s">
        <v>4116</v>
      </c>
    </row>
    <row r="615" spans="1:10" x14ac:dyDescent="0.25">
      <c r="A615">
        <v>614</v>
      </c>
      <c r="B615" t="s">
        <v>2784</v>
      </c>
      <c r="C615" t="s">
        <v>1227</v>
      </c>
      <c r="D615" t="s">
        <v>3716</v>
      </c>
      <c r="E615" t="s">
        <v>4130</v>
      </c>
      <c r="F615" t="s">
        <v>4131</v>
      </c>
      <c r="G615" t="s">
        <v>4121</v>
      </c>
      <c r="H615" t="s">
        <v>2603</v>
      </c>
      <c r="I615">
        <v>1980</v>
      </c>
      <c r="J615" t="s">
        <v>4125</v>
      </c>
    </row>
    <row r="616" spans="1:10" x14ac:dyDescent="0.25">
      <c r="A616">
        <v>615</v>
      </c>
      <c r="B616" t="s">
        <v>2786</v>
      </c>
      <c r="C616" t="s">
        <v>1417</v>
      </c>
      <c r="D616" t="s">
        <v>3717</v>
      </c>
      <c r="E616" t="s">
        <v>4130</v>
      </c>
      <c r="F616" t="s">
        <v>4131</v>
      </c>
      <c r="G616" t="s">
        <v>4115</v>
      </c>
      <c r="H616" t="s">
        <v>2603</v>
      </c>
      <c r="I616">
        <v>2016</v>
      </c>
      <c r="J616" t="s">
        <v>4125</v>
      </c>
    </row>
    <row r="617" spans="1:10" x14ac:dyDescent="0.25">
      <c r="A617">
        <v>616</v>
      </c>
      <c r="B617" t="s">
        <v>1419</v>
      </c>
      <c r="C617" t="s">
        <v>1420</v>
      </c>
      <c r="D617" t="s">
        <v>3718</v>
      </c>
      <c r="E617" t="s">
        <v>4135</v>
      </c>
      <c r="F617" t="s">
        <v>4131</v>
      </c>
      <c r="G617" t="s">
        <v>4133</v>
      </c>
      <c r="H617" t="s">
        <v>2494</v>
      </c>
      <c r="I617">
        <v>2016</v>
      </c>
      <c r="J617" t="s">
        <v>4125</v>
      </c>
    </row>
    <row r="618" spans="1:10" x14ac:dyDescent="0.25">
      <c r="A618">
        <v>617</v>
      </c>
      <c r="B618" t="s">
        <v>2788</v>
      </c>
      <c r="C618" t="s">
        <v>1422</v>
      </c>
      <c r="D618" t="s">
        <v>3719</v>
      </c>
      <c r="E618" t="s">
        <v>4134</v>
      </c>
      <c r="F618" t="s">
        <v>4114</v>
      </c>
      <c r="G618" t="s">
        <v>4123</v>
      </c>
      <c r="H618" t="s">
        <v>4124</v>
      </c>
      <c r="I618">
        <v>2013</v>
      </c>
      <c r="J618" t="s">
        <v>4116</v>
      </c>
    </row>
    <row r="619" spans="1:10" x14ac:dyDescent="0.25">
      <c r="A619">
        <v>618</v>
      </c>
      <c r="B619" t="s">
        <v>1424</v>
      </c>
      <c r="C619" t="s">
        <v>1393</v>
      </c>
      <c r="D619" t="s">
        <v>3720</v>
      </c>
      <c r="E619" t="s">
        <v>4149</v>
      </c>
      <c r="F619" t="s">
        <v>4114</v>
      </c>
      <c r="G619" t="s">
        <v>4133</v>
      </c>
      <c r="H619" t="s">
        <v>2494</v>
      </c>
      <c r="I619">
        <v>2016</v>
      </c>
      <c r="J619" t="s">
        <v>4125</v>
      </c>
    </row>
    <row r="620" spans="1:10" x14ac:dyDescent="0.25">
      <c r="A620">
        <v>619</v>
      </c>
      <c r="B620" t="s">
        <v>3721</v>
      </c>
      <c r="C620" t="s">
        <v>1427</v>
      </c>
      <c r="D620" t="s">
        <v>3722</v>
      </c>
      <c r="E620" t="s">
        <v>4120</v>
      </c>
      <c r="F620" t="s">
        <v>4114</v>
      </c>
      <c r="G620" t="s">
        <v>4115</v>
      </c>
      <c r="H620" t="s">
        <v>2603</v>
      </c>
      <c r="I620">
        <v>2016</v>
      </c>
      <c r="J620" t="s">
        <v>4125</v>
      </c>
    </row>
    <row r="621" spans="1:10" x14ac:dyDescent="0.25">
      <c r="A621">
        <v>620</v>
      </c>
      <c r="B621" t="s">
        <v>1429</v>
      </c>
      <c r="C621" t="s">
        <v>62</v>
      </c>
      <c r="D621" t="s">
        <v>3723</v>
      </c>
      <c r="E621" t="s">
        <v>4132</v>
      </c>
      <c r="F621" t="s">
        <v>4114</v>
      </c>
      <c r="G621" t="s">
        <v>4133</v>
      </c>
      <c r="H621" t="s">
        <v>2494</v>
      </c>
      <c r="I621">
        <v>2016</v>
      </c>
      <c r="J621" t="s">
        <v>4116</v>
      </c>
    </row>
    <row r="622" spans="1:10" x14ac:dyDescent="0.25">
      <c r="A622">
        <v>621</v>
      </c>
      <c r="B622" t="s">
        <v>1430</v>
      </c>
      <c r="C622" t="s">
        <v>1431</v>
      </c>
      <c r="D622" t="s">
        <v>3724</v>
      </c>
      <c r="E622" t="s">
        <v>4134</v>
      </c>
      <c r="F622" t="s">
        <v>4114</v>
      </c>
      <c r="G622" t="s">
        <v>4133</v>
      </c>
      <c r="H622" t="s">
        <v>2494</v>
      </c>
      <c r="I622">
        <v>2016</v>
      </c>
      <c r="J622" t="s">
        <v>4125</v>
      </c>
    </row>
    <row r="623" spans="1:10" x14ac:dyDescent="0.25">
      <c r="A623">
        <v>622</v>
      </c>
      <c r="B623" t="s">
        <v>1433</v>
      </c>
      <c r="C623" t="s">
        <v>1254</v>
      </c>
      <c r="D623" t="s">
        <v>3725</v>
      </c>
      <c r="E623" t="s">
        <v>4149</v>
      </c>
      <c r="F623" t="s">
        <v>4114</v>
      </c>
      <c r="G623" t="s">
        <v>4133</v>
      </c>
      <c r="H623" t="s">
        <v>2494</v>
      </c>
      <c r="I623">
        <v>2016</v>
      </c>
      <c r="J623" t="s">
        <v>4125</v>
      </c>
    </row>
    <row r="624" spans="1:10" x14ac:dyDescent="0.25">
      <c r="A624">
        <v>623</v>
      </c>
      <c r="B624" t="s">
        <v>3726</v>
      </c>
      <c r="C624" t="s">
        <v>871</v>
      </c>
      <c r="D624" t="s">
        <v>3727</v>
      </c>
      <c r="E624" t="s">
        <v>4113</v>
      </c>
      <c r="F624" t="s">
        <v>4114</v>
      </c>
      <c r="G624" t="s">
        <v>4121</v>
      </c>
      <c r="H624" t="s">
        <v>2603</v>
      </c>
      <c r="I624">
        <v>2011</v>
      </c>
      <c r="J624" t="s">
        <v>4116</v>
      </c>
    </row>
    <row r="625" spans="1:10" x14ac:dyDescent="0.25">
      <c r="A625">
        <v>624</v>
      </c>
      <c r="B625" t="s">
        <v>2789</v>
      </c>
      <c r="C625" t="s">
        <v>1436</v>
      </c>
      <c r="D625" t="s">
        <v>3728</v>
      </c>
      <c r="E625" t="s">
        <v>4136</v>
      </c>
      <c r="F625" t="s">
        <v>4114</v>
      </c>
      <c r="G625" t="s">
        <v>4121</v>
      </c>
      <c r="H625" t="s">
        <v>2603</v>
      </c>
      <c r="I625">
        <v>1999</v>
      </c>
      <c r="J625" t="s">
        <v>4125</v>
      </c>
    </row>
    <row r="626" spans="1:10" x14ac:dyDescent="0.25">
      <c r="A626">
        <v>625</v>
      </c>
      <c r="B626" t="s">
        <v>3729</v>
      </c>
      <c r="C626" t="s">
        <v>250</v>
      </c>
      <c r="D626" t="s">
        <v>3730</v>
      </c>
      <c r="E626" t="s">
        <v>4113</v>
      </c>
      <c r="F626" t="s">
        <v>4114</v>
      </c>
      <c r="G626" t="s">
        <v>4150</v>
      </c>
      <c r="H626" t="s">
        <v>4151</v>
      </c>
      <c r="I626">
        <v>2015</v>
      </c>
      <c r="J626" t="s">
        <v>4116</v>
      </c>
    </row>
    <row r="627" spans="1:10" x14ac:dyDescent="0.25">
      <c r="A627">
        <v>626</v>
      </c>
      <c r="B627" t="s">
        <v>2790</v>
      </c>
      <c r="C627" t="s">
        <v>1441</v>
      </c>
      <c r="D627" t="s">
        <v>3731</v>
      </c>
      <c r="E627" t="s">
        <v>4149</v>
      </c>
      <c r="F627" t="s">
        <v>4114</v>
      </c>
      <c r="G627" t="s">
        <v>4156</v>
      </c>
      <c r="H627" t="s">
        <v>2603</v>
      </c>
      <c r="I627">
        <v>2014</v>
      </c>
      <c r="J627" t="s">
        <v>4116</v>
      </c>
    </row>
    <row r="628" spans="1:10" x14ac:dyDescent="0.25">
      <c r="A628">
        <v>627</v>
      </c>
      <c r="B628" t="s">
        <v>1443</v>
      </c>
      <c r="C628" t="s">
        <v>1444</v>
      </c>
      <c r="D628" t="s">
        <v>3732</v>
      </c>
      <c r="E628" t="s">
        <v>4149</v>
      </c>
      <c r="F628" t="s">
        <v>4114</v>
      </c>
      <c r="G628" t="s">
        <v>4133</v>
      </c>
      <c r="H628" t="s">
        <v>2494</v>
      </c>
      <c r="I628">
        <v>2013</v>
      </c>
      <c r="J628" t="s">
        <v>4125</v>
      </c>
    </row>
    <row r="629" spans="1:10" x14ac:dyDescent="0.25">
      <c r="A629">
        <v>628</v>
      </c>
      <c r="B629" t="s">
        <v>2791</v>
      </c>
      <c r="C629" t="s">
        <v>70</v>
      </c>
      <c r="D629" t="s">
        <v>3733</v>
      </c>
      <c r="E629" t="s">
        <v>4134</v>
      </c>
      <c r="F629" t="s">
        <v>4114</v>
      </c>
      <c r="G629" t="s">
        <v>4118</v>
      </c>
      <c r="H629" t="s">
        <v>4119</v>
      </c>
      <c r="I629">
        <v>2015</v>
      </c>
      <c r="J629" t="s">
        <v>4116</v>
      </c>
    </row>
    <row r="630" spans="1:10" x14ac:dyDescent="0.25">
      <c r="A630">
        <v>629</v>
      </c>
      <c r="B630" t="s">
        <v>1446</v>
      </c>
      <c r="C630" t="s">
        <v>1447</v>
      </c>
      <c r="D630" t="s">
        <v>3734</v>
      </c>
      <c r="E630" t="s">
        <v>4134</v>
      </c>
      <c r="F630" t="s">
        <v>4114</v>
      </c>
      <c r="G630" t="s">
        <v>4133</v>
      </c>
      <c r="H630" t="s">
        <v>2494</v>
      </c>
      <c r="I630">
        <v>2017</v>
      </c>
      <c r="J630" t="s">
        <v>4125</v>
      </c>
    </row>
    <row r="631" spans="1:10" x14ac:dyDescent="0.25">
      <c r="A631">
        <v>630</v>
      </c>
      <c r="B631" t="s">
        <v>1449</v>
      </c>
      <c r="C631" t="s">
        <v>1447</v>
      </c>
      <c r="D631" t="s">
        <v>3735</v>
      </c>
      <c r="E631" t="s">
        <v>4134</v>
      </c>
      <c r="F631" t="s">
        <v>4114</v>
      </c>
      <c r="G631" t="s">
        <v>4133</v>
      </c>
      <c r="H631" t="s">
        <v>2494</v>
      </c>
      <c r="I631">
        <v>2015</v>
      </c>
      <c r="J631" t="s">
        <v>4125</v>
      </c>
    </row>
    <row r="632" spans="1:10" x14ac:dyDescent="0.25">
      <c r="A632">
        <v>631</v>
      </c>
      <c r="B632" t="s">
        <v>2792</v>
      </c>
      <c r="C632" t="s">
        <v>1450</v>
      </c>
      <c r="D632" t="s">
        <v>3736</v>
      </c>
      <c r="E632" t="s">
        <v>4168</v>
      </c>
      <c r="F632" t="s">
        <v>4131</v>
      </c>
      <c r="G632" t="s">
        <v>4121</v>
      </c>
      <c r="H632" t="s">
        <v>2603</v>
      </c>
      <c r="I632">
        <v>2015</v>
      </c>
      <c r="J632" t="s">
        <v>4116</v>
      </c>
    </row>
    <row r="633" spans="1:10" x14ac:dyDescent="0.25">
      <c r="A633">
        <v>632</v>
      </c>
      <c r="B633" t="s">
        <v>3737</v>
      </c>
      <c r="C633" t="s">
        <v>184</v>
      </c>
      <c r="D633" t="s">
        <v>3738</v>
      </c>
      <c r="E633" t="s">
        <v>4117</v>
      </c>
      <c r="F633" t="s">
        <v>4114</v>
      </c>
      <c r="G633" t="s">
        <v>4118</v>
      </c>
      <c r="H633" t="s">
        <v>4119</v>
      </c>
      <c r="I633">
        <v>2014</v>
      </c>
      <c r="J633" t="s">
        <v>4145</v>
      </c>
    </row>
    <row r="634" spans="1:10" x14ac:dyDescent="0.25">
      <c r="A634">
        <v>633</v>
      </c>
      <c r="B634" t="s">
        <v>2793</v>
      </c>
      <c r="C634" t="s">
        <v>250</v>
      </c>
      <c r="D634" t="s">
        <v>3739</v>
      </c>
      <c r="E634" t="s">
        <v>4113</v>
      </c>
      <c r="F634" t="s">
        <v>4114</v>
      </c>
      <c r="G634" t="s">
        <v>4150</v>
      </c>
      <c r="H634" t="s">
        <v>4151</v>
      </c>
      <c r="I634">
        <v>2013</v>
      </c>
      <c r="J634" t="s">
        <v>4116</v>
      </c>
    </row>
    <row r="635" spans="1:10" x14ac:dyDescent="0.25">
      <c r="A635">
        <v>634</v>
      </c>
      <c r="B635" t="s">
        <v>2794</v>
      </c>
      <c r="C635" t="s">
        <v>1455</v>
      </c>
      <c r="D635" t="s">
        <v>3740</v>
      </c>
      <c r="E635" t="s">
        <v>4136</v>
      </c>
      <c r="F635" t="s">
        <v>4114</v>
      </c>
      <c r="G635" t="s">
        <v>4121</v>
      </c>
      <c r="H635" t="s">
        <v>2603</v>
      </c>
      <c r="I635">
        <v>2011</v>
      </c>
      <c r="J635" t="s">
        <v>4116</v>
      </c>
    </row>
    <row r="636" spans="1:10" x14ac:dyDescent="0.25">
      <c r="A636">
        <v>635</v>
      </c>
      <c r="B636" t="s">
        <v>2795</v>
      </c>
      <c r="C636" t="s">
        <v>1455</v>
      </c>
      <c r="D636" t="s">
        <v>3741</v>
      </c>
      <c r="E636" t="s">
        <v>4136</v>
      </c>
      <c r="F636" t="s">
        <v>4114</v>
      </c>
      <c r="G636" t="s">
        <v>4121</v>
      </c>
      <c r="H636" t="s">
        <v>2603</v>
      </c>
      <c r="I636">
        <v>2010</v>
      </c>
      <c r="J636" t="s">
        <v>4116</v>
      </c>
    </row>
    <row r="637" spans="1:10" x14ac:dyDescent="0.25">
      <c r="A637">
        <v>636</v>
      </c>
      <c r="B637" t="s">
        <v>3742</v>
      </c>
      <c r="C637" t="s">
        <v>1460</v>
      </c>
      <c r="D637" t="s">
        <v>3743</v>
      </c>
      <c r="E637" t="s">
        <v>4149</v>
      </c>
      <c r="F637" t="s">
        <v>4114</v>
      </c>
      <c r="G637" t="s">
        <v>4115</v>
      </c>
      <c r="H637" t="s">
        <v>2603</v>
      </c>
      <c r="I637">
        <v>2013</v>
      </c>
      <c r="J637" t="s">
        <v>4125</v>
      </c>
    </row>
    <row r="638" spans="1:10" x14ac:dyDescent="0.25">
      <c r="A638">
        <v>637</v>
      </c>
      <c r="B638" t="s">
        <v>2797</v>
      </c>
      <c r="C638" t="s">
        <v>94</v>
      </c>
      <c r="D638" t="s">
        <v>3744</v>
      </c>
      <c r="E638" t="s">
        <v>4113</v>
      </c>
      <c r="F638" t="s">
        <v>4114</v>
      </c>
      <c r="G638" t="s">
        <v>4121</v>
      </c>
      <c r="H638" t="s">
        <v>2603</v>
      </c>
      <c r="I638">
        <v>2013</v>
      </c>
      <c r="J638" t="s">
        <v>4116</v>
      </c>
    </row>
    <row r="639" spans="1:10" x14ac:dyDescent="0.25">
      <c r="A639">
        <v>638</v>
      </c>
      <c r="B639" t="s">
        <v>2798</v>
      </c>
      <c r="C639" t="s">
        <v>94</v>
      </c>
      <c r="D639" t="s">
        <v>3745</v>
      </c>
      <c r="E639" t="s">
        <v>4113</v>
      </c>
      <c r="F639" t="s">
        <v>4114</v>
      </c>
      <c r="G639" t="s">
        <v>4121</v>
      </c>
      <c r="H639" t="s">
        <v>2603</v>
      </c>
      <c r="I639">
        <v>2013</v>
      </c>
      <c r="J639" t="s">
        <v>4116</v>
      </c>
    </row>
    <row r="640" spans="1:10" x14ac:dyDescent="0.25">
      <c r="A640">
        <v>639</v>
      </c>
      <c r="B640" t="s">
        <v>2796</v>
      </c>
      <c r="C640" t="s">
        <v>94</v>
      </c>
      <c r="D640" t="s">
        <v>3746</v>
      </c>
      <c r="E640" t="s">
        <v>4113</v>
      </c>
      <c r="F640" t="s">
        <v>4114</v>
      </c>
      <c r="G640" t="s">
        <v>4121</v>
      </c>
      <c r="H640" t="s">
        <v>2603</v>
      </c>
      <c r="I640">
        <v>2012</v>
      </c>
      <c r="J640" t="s">
        <v>4116</v>
      </c>
    </row>
    <row r="641" spans="1:10" x14ac:dyDescent="0.25">
      <c r="A641">
        <v>640</v>
      </c>
      <c r="B641" t="s">
        <v>1465</v>
      </c>
      <c r="C641" t="s">
        <v>1340</v>
      </c>
      <c r="D641" t="s">
        <v>3747</v>
      </c>
      <c r="E641" t="s">
        <v>4149</v>
      </c>
      <c r="F641" t="s">
        <v>4114</v>
      </c>
      <c r="G641" t="s">
        <v>4133</v>
      </c>
      <c r="H641" t="s">
        <v>2494</v>
      </c>
      <c r="I641">
        <v>2009</v>
      </c>
      <c r="J641" t="s">
        <v>4125</v>
      </c>
    </row>
    <row r="642" spans="1:10" x14ac:dyDescent="0.25">
      <c r="A642">
        <v>641</v>
      </c>
      <c r="B642" t="s">
        <v>1466</v>
      </c>
      <c r="C642" t="s">
        <v>215</v>
      </c>
      <c r="D642" t="s">
        <v>3748</v>
      </c>
      <c r="E642" t="s">
        <v>4117</v>
      </c>
      <c r="F642" t="s">
        <v>4114</v>
      </c>
      <c r="G642" t="s">
        <v>4133</v>
      </c>
      <c r="H642" t="s">
        <v>2494</v>
      </c>
      <c r="I642">
        <v>2014</v>
      </c>
      <c r="J642" t="s">
        <v>4116</v>
      </c>
    </row>
    <row r="643" spans="1:10" x14ac:dyDescent="0.25">
      <c r="A643">
        <v>642</v>
      </c>
      <c r="B643" t="s">
        <v>2801</v>
      </c>
      <c r="C643" t="s">
        <v>1468</v>
      </c>
      <c r="D643" t="s">
        <v>3749</v>
      </c>
      <c r="E643" t="s">
        <v>4136</v>
      </c>
      <c r="F643" t="s">
        <v>4114</v>
      </c>
      <c r="G643" t="s">
        <v>4121</v>
      </c>
      <c r="H643" t="s">
        <v>2603</v>
      </c>
      <c r="I643">
        <v>2016</v>
      </c>
      <c r="J643" t="s">
        <v>4116</v>
      </c>
    </row>
    <row r="644" spans="1:10" x14ac:dyDescent="0.25">
      <c r="A644">
        <v>643</v>
      </c>
      <c r="B644" t="s">
        <v>2800</v>
      </c>
      <c r="C644" t="s">
        <v>1468</v>
      </c>
      <c r="D644" t="s">
        <v>3750</v>
      </c>
      <c r="E644" t="s">
        <v>4136</v>
      </c>
      <c r="F644" t="s">
        <v>4114</v>
      </c>
      <c r="G644" t="s">
        <v>4121</v>
      </c>
      <c r="H644" t="s">
        <v>2603</v>
      </c>
      <c r="I644">
        <v>2014</v>
      </c>
      <c r="J644" t="s">
        <v>4116</v>
      </c>
    </row>
    <row r="645" spans="1:10" x14ac:dyDescent="0.25">
      <c r="A645">
        <v>644</v>
      </c>
      <c r="B645" t="s">
        <v>2799</v>
      </c>
      <c r="C645" t="s">
        <v>1468</v>
      </c>
      <c r="D645" t="s">
        <v>3751</v>
      </c>
      <c r="E645" t="s">
        <v>4136</v>
      </c>
      <c r="F645" t="s">
        <v>4114</v>
      </c>
      <c r="G645" t="s">
        <v>4121</v>
      </c>
      <c r="H645" t="s">
        <v>2603</v>
      </c>
      <c r="I645">
        <v>2013</v>
      </c>
      <c r="J645" t="s">
        <v>4116</v>
      </c>
    </row>
    <row r="646" spans="1:10" x14ac:dyDescent="0.25">
      <c r="A646">
        <v>645</v>
      </c>
      <c r="B646" t="s">
        <v>1472</v>
      </c>
      <c r="C646" t="s">
        <v>1473</v>
      </c>
      <c r="D646" t="s">
        <v>3752</v>
      </c>
      <c r="E646" t="s">
        <v>4149</v>
      </c>
      <c r="F646" t="s">
        <v>4114</v>
      </c>
      <c r="G646" t="s">
        <v>4133</v>
      </c>
      <c r="H646" t="s">
        <v>2494</v>
      </c>
      <c r="I646">
        <v>2013</v>
      </c>
      <c r="J646" t="s">
        <v>4125</v>
      </c>
    </row>
    <row r="647" spans="1:10" x14ac:dyDescent="0.25">
      <c r="A647">
        <v>646</v>
      </c>
      <c r="B647" t="s">
        <v>2802</v>
      </c>
      <c r="C647" t="s">
        <v>1476</v>
      </c>
      <c r="D647" t="s">
        <v>3753</v>
      </c>
      <c r="E647" t="s">
        <v>4149</v>
      </c>
      <c r="F647" t="s">
        <v>4114</v>
      </c>
      <c r="G647" t="s">
        <v>4121</v>
      </c>
      <c r="H647" t="s">
        <v>2603</v>
      </c>
      <c r="I647">
        <v>2012</v>
      </c>
      <c r="J647" t="s">
        <v>4125</v>
      </c>
    </row>
    <row r="648" spans="1:10" x14ac:dyDescent="0.25">
      <c r="A648">
        <v>647</v>
      </c>
      <c r="B648" t="s">
        <v>2803</v>
      </c>
      <c r="C648" t="s">
        <v>1478</v>
      </c>
      <c r="D648" t="s">
        <v>3754</v>
      </c>
      <c r="E648" t="s">
        <v>4129</v>
      </c>
      <c r="F648" t="s">
        <v>4114</v>
      </c>
      <c r="G648" t="s">
        <v>4156</v>
      </c>
      <c r="H648" t="s">
        <v>2603</v>
      </c>
      <c r="I648">
        <v>2013</v>
      </c>
      <c r="J648" t="s">
        <v>4125</v>
      </c>
    </row>
    <row r="649" spans="1:10" x14ac:dyDescent="0.25">
      <c r="A649">
        <v>648</v>
      </c>
      <c r="B649" t="s">
        <v>2804</v>
      </c>
      <c r="C649" t="s">
        <v>1291</v>
      </c>
      <c r="D649" t="s">
        <v>3755</v>
      </c>
      <c r="E649" t="s">
        <v>4117</v>
      </c>
      <c r="F649" t="s">
        <v>4114</v>
      </c>
      <c r="G649" t="s">
        <v>4118</v>
      </c>
      <c r="H649" t="s">
        <v>4119</v>
      </c>
      <c r="I649">
        <v>2016</v>
      </c>
      <c r="J649" t="s">
        <v>4145</v>
      </c>
    </row>
    <row r="650" spans="1:10" x14ac:dyDescent="0.25">
      <c r="A650">
        <v>649</v>
      </c>
      <c r="B650" t="s">
        <v>2805</v>
      </c>
      <c r="C650" t="s">
        <v>70</v>
      </c>
      <c r="D650" t="s">
        <v>3756</v>
      </c>
      <c r="E650" t="s">
        <v>4134</v>
      </c>
      <c r="F650" t="s">
        <v>4114</v>
      </c>
      <c r="G650" t="s">
        <v>4118</v>
      </c>
      <c r="H650" t="s">
        <v>4119</v>
      </c>
      <c r="I650">
        <v>2013</v>
      </c>
      <c r="J650" t="s">
        <v>4116</v>
      </c>
    </row>
    <row r="651" spans="1:10" x14ac:dyDescent="0.25">
      <c r="A651">
        <v>650</v>
      </c>
      <c r="B651" t="s">
        <v>2806</v>
      </c>
      <c r="C651" t="s">
        <v>1476</v>
      </c>
      <c r="D651" t="s">
        <v>3757</v>
      </c>
      <c r="E651" t="s">
        <v>4149</v>
      </c>
      <c r="F651" t="s">
        <v>4114</v>
      </c>
      <c r="G651" t="s">
        <v>4121</v>
      </c>
      <c r="H651" t="s">
        <v>2603</v>
      </c>
      <c r="I651">
        <v>2012</v>
      </c>
      <c r="J651" t="s">
        <v>4125</v>
      </c>
    </row>
    <row r="652" spans="1:10" x14ac:dyDescent="0.25">
      <c r="A652">
        <v>651</v>
      </c>
      <c r="B652" t="s">
        <v>2807</v>
      </c>
      <c r="C652" t="s">
        <v>1482</v>
      </c>
      <c r="D652" t="s">
        <v>3758</v>
      </c>
      <c r="E652" t="s">
        <v>4139</v>
      </c>
      <c r="F652" t="s">
        <v>4131</v>
      </c>
      <c r="G652" t="s">
        <v>4121</v>
      </c>
      <c r="H652" t="s">
        <v>2603</v>
      </c>
      <c r="I652">
        <v>2013</v>
      </c>
      <c r="J652" t="s">
        <v>4125</v>
      </c>
    </row>
    <row r="653" spans="1:10" x14ac:dyDescent="0.25">
      <c r="A653">
        <v>652</v>
      </c>
      <c r="B653" t="s">
        <v>2808</v>
      </c>
      <c r="C653" t="s">
        <v>813</v>
      </c>
      <c r="D653" t="s">
        <v>3759</v>
      </c>
      <c r="E653" t="s">
        <v>4136</v>
      </c>
      <c r="F653" t="s">
        <v>4114</v>
      </c>
      <c r="G653" t="s">
        <v>4121</v>
      </c>
      <c r="H653" t="s">
        <v>2603</v>
      </c>
      <c r="I653">
        <v>2013</v>
      </c>
      <c r="J653" t="s">
        <v>4125</v>
      </c>
    </row>
    <row r="654" spans="1:10" x14ac:dyDescent="0.25">
      <c r="A654">
        <v>653</v>
      </c>
      <c r="B654" t="s">
        <v>1485</v>
      </c>
      <c r="C654" t="s">
        <v>1115</v>
      </c>
      <c r="D654" t="s">
        <v>3760</v>
      </c>
      <c r="E654" t="s">
        <v>4149</v>
      </c>
      <c r="F654" t="s">
        <v>4114</v>
      </c>
      <c r="G654" t="s">
        <v>4115</v>
      </c>
      <c r="H654" t="s">
        <v>2603</v>
      </c>
      <c r="I654">
        <v>2000</v>
      </c>
      <c r="J654" t="s">
        <v>4125</v>
      </c>
    </row>
    <row r="655" spans="1:10" x14ac:dyDescent="0.25">
      <c r="A655">
        <v>654</v>
      </c>
      <c r="B655" t="s">
        <v>2812</v>
      </c>
      <c r="C655" t="s">
        <v>302</v>
      </c>
      <c r="D655" t="s">
        <v>3761</v>
      </c>
      <c r="E655" t="s">
        <v>4138</v>
      </c>
      <c r="F655" t="s">
        <v>4114</v>
      </c>
      <c r="G655" t="s">
        <v>4115</v>
      </c>
      <c r="H655" t="s">
        <v>2603</v>
      </c>
      <c r="I655">
        <v>2014</v>
      </c>
      <c r="J655" t="s">
        <v>4116</v>
      </c>
    </row>
    <row r="656" spans="1:10" x14ac:dyDescent="0.25">
      <c r="A656">
        <v>655</v>
      </c>
      <c r="B656" t="s">
        <v>2813</v>
      </c>
      <c r="C656" t="s">
        <v>302</v>
      </c>
      <c r="D656" t="s">
        <v>3762</v>
      </c>
      <c r="E656" t="s">
        <v>4138</v>
      </c>
      <c r="F656" t="s">
        <v>4114</v>
      </c>
      <c r="G656" t="s">
        <v>4115</v>
      </c>
      <c r="H656" t="s">
        <v>2603</v>
      </c>
      <c r="I656">
        <v>2012</v>
      </c>
      <c r="J656" t="s">
        <v>4116</v>
      </c>
    </row>
    <row r="657" spans="1:10" x14ac:dyDescent="0.25">
      <c r="A657">
        <v>656</v>
      </c>
      <c r="B657" t="s">
        <v>2814</v>
      </c>
      <c r="C657" t="s">
        <v>302</v>
      </c>
      <c r="D657" t="s">
        <v>3763</v>
      </c>
      <c r="E657" t="s">
        <v>4138</v>
      </c>
      <c r="F657" t="s">
        <v>4114</v>
      </c>
      <c r="G657" t="s">
        <v>4115</v>
      </c>
      <c r="H657" t="s">
        <v>2603</v>
      </c>
      <c r="I657">
        <v>2005</v>
      </c>
      <c r="J657" t="s">
        <v>4116</v>
      </c>
    </row>
    <row r="658" spans="1:10" x14ac:dyDescent="0.25">
      <c r="A658">
        <v>657</v>
      </c>
      <c r="B658" t="s">
        <v>3764</v>
      </c>
      <c r="C658" t="s">
        <v>1491</v>
      </c>
      <c r="D658" t="s">
        <v>3765</v>
      </c>
      <c r="E658" t="s">
        <v>4134</v>
      </c>
      <c r="F658" t="s">
        <v>4114</v>
      </c>
      <c r="G658" t="s">
        <v>4133</v>
      </c>
      <c r="H658" t="s">
        <v>2494</v>
      </c>
      <c r="I658">
        <v>2012</v>
      </c>
      <c r="J658" t="s">
        <v>4116</v>
      </c>
    </row>
    <row r="659" spans="1:10" x14ac:dyDescent="0.25">
      <c r="A659">
        <v>658</v>
      </c>
      <c r="B659" t="s">
        <v>2815</v>
      </c>
      <c r="C659" t="s">
        <v>1460</v>
      </c>
      <c r="D659" t="s">
        <v>3766</v>
      </c>
      <c r="E659" t="s">
        <v>4149</v>
      </c>
      <c r="F659" t="s">
        <v>4114</v>
      </c>
      <c r="G659" t="s">
        <v>4115</v>
      </c>
      <c r="H659" t="s">
        <v>2603</v>
      </c>
      <c r="I659">
        <v>2009</v>
      </c>
      <c r="J659" t="s">
        <v>4125</v>
      </c>
    </row>
    <row r="660" spans="1:10" x14ac:dyDescent="0.25">
      <c r="A660">
        <v>659</v>
      </c>
      <c r="B660" t="s">
        <v>2817</v>
      </c>
      <c r="C660" t="s">
        <v>1476</v>
      </c>
      <c r="D660" t="s">
        <v>3767</v>
      </c>
      <c r="E660" t="s">
        <v>4149</v>
      </c>
      <c r="F660" t="s">
        <v>4114</v>
      </c>
      <c r="G660" t="s">
        <v>4121</v>
      </c>
      <c r="H660" t="s">
        <v>2603</v>
      </c>
      <c r="I660">
        <v>2010</v>
      </c>
      <c r="J660" t="s">
        <v>4125</v>
      </c>
    </row>
    <row r="661" spans="1:10" x14ac:dyDescent="0.25">
      <c r="A661">
        <v>660</v>
      </c>
      <c r="B661" t="s">
        <v>1495</v>
      </c>
      <c r="C661" t="s">
        <v>1115</v>
      </c>
      <c r="D661" t="s">
        <v>3768</v>
      </c>
      <c r="E661" t="s">
        <v>4149</v>
      </c>
      <c r="F661" t="s">
        <v>4114</v>
      </c>
      <c r="G661" t="s">
        <v>4115</v>
      </c>
      <c r="H661" t="s">
        <v>2603</v>
      </c>
      <c r="I661">
        <v>2010</v>
      </c>
      <c r="J661" t="s">
        <v>4125</v>
      </c>
    </row>
    <row r="662" spans="1:10" x14ac:dyDescent="0.25">
      <c r="A662">
        <v>661</v>
      </c>
      <c r="B662" t="s">
        <v>2818</v>
      </c>
      <c r="C662" t="s">
        <v>1496</v>
      </c>
      <c r="D662" t="s">
        <v>3769</v>
      </c>
      <c r="E662" t="s">
        <v>4129</v>
      </c>
      <c r="F662" t="s">
        <v>4114</v>
      </c>
      <c r="G662" t="s">
        <v>4121</v>
      </c>
      <c r="H662" t="s">
        <v>2603</v>
      </c>
      <c r="I662">
        <v>2013</v>
      </c>
      <c r="J662" t="s">
        <v>4125</v>
      </c>
    </row>
    <row r="663" spans="1:10" x14ac:dyDescent="0.25">
      <c r="A663">
        <v>662</v>
      </c>
      <c r="B663" t="s">
        <v>2819</v>
      </c>
      <c r="C663" t="s">
        <v>70</v>
      </c>
      <c r="D663" t="s">
        <v>3770</v>
      </c>
      <c r="E663" t="s">
        <v>4134</v>
      </c>
      <c r="F663" t="s">
        <v>4114</v>
      </c>
      <c r="G663" t="s">
        <v>4118</v>
      </c>
      <c r="H663" t="s">
        <v>4119</v>
      </c>
      <c r="I663">
        <v>2009</v>
      </c>
      <c r="J663" t="s">
        <v>4116</v>
      </c>
    </row>
    <row r="664" spans="1:10" x14ac:dyDescent="0.25">
      <c r="A664">
        <v>663</v>
      </c>
      <c r="B664" t="s">
        <v>2820</v>
      </c>
      <c r="C664" t="s">
        <v>184</v>
      </c>
      <c r="D664" t="s">
        <v>3771</v>
      </c>
      <c r="E664" t="s">
        <v>4117</v>
      </c>
      <c r="F664" t="s">
        <v>4114</v>
      </c>
      <c r="G664" t="s">
        <v>4118</v>
      </c>
      <c r="H664" t="s">
        <v>4119</v>
      </c>
      <c r="I664">
        <v>2011</v>
      </c>
      <c r="J664" t="s">
        <v>4145</v>
      </c>
    </row>
    <row r="665" spans="1:10" x14ac:dyDescent="0.25">
      <c r="A665">
        <v>664</v>
      </c>
      <c r="B665" t="s">
        <v>2821</v>
      </c>
      <c r="C665" t="s">
        <v>1427</v>
      </c>
      <c r="D665" t="s">
        <v>3772</v>
      </c>
      <c r="E665" t="s">
        <v>4120</v>
      </c>
      <c r="F665" t="s">
        <v>4114</v>
      </c>
      <c r="G665" t="s">
        <v>4115</v>
      </c>
      <c r="H665" t="s">
        <v>2603</v>
      </c>
      <c r="I665">
        <v>2012</v>
      </c>
      <c r="J665" t="s">
        <v>4125</v>
      </c>
    </row>
    <row r="666" spans="1:10" x14ac:dyDescent="0.25">
      <c r="A666">
        <v>665</v>
      </c>
      <c r="B666" t="s">
        <v>1500</v>
      </c>
      <c r="C666" t="s">
        <v>1501</v>
      </c>
      <c r="D666" t="s">
        <v>3773</v>
      </c>
      <c r="E666" t="s">
        <v>4149</v>
      </c>
      <c r="F666" t="s">
        <v>4114</v>
      </c>
      <c r="G666" t="s">
        <v>4133</v>
      </c>
      <c r="H666" t="s">
        <v>2494</v>
      </c>
      <c r="I666">
        <v>2013</v>
      </c>
      <c r="J666" t="s">
        <v>4125</v>
      </c>
    </row>
    <row r="667" spans="1:10" x14ac:dyDescent="0.25">
      <c r="A667">
        <v>666</v>
      </c>
      <c r="B667" t="s">
        <v>1503</v>
      </c>
      <c r="C667" t="s">
        <v>1504</v>
      </c>
      <c r="D667" t="s">
        <v>3774</v>
      </c>
      <c r="E667" t="s">
        <v>4149</v>
      </c>
      <c r="F667" t="s">
        <v>4114</v>
      </c>
      <c r="G667" t="s">
        <v>4133</v>
      </c>
      <c r="H667" t="s">
        <v>2494</v>
      </c>
      <c r="I667">
        <v>2013</v>
      </c>
      <c r="J667" t="s">
        <v>4125</v>
      </c>
    </row>
    <row r="668" spans="1:10" x14ac:dyDescent="0.25">
      <c r="A668">
        <v>667</v>
      </c>
      <c r="B668" t="s">
        <v>2822</v>
      </c>
      <c r="C668" t="s">
        <v>1507</v>
      </c>
      <c r="D668" t="s">
        <v>3775</v>
      </c>
      <c r="E668" t="s">
        <v>4132</v>
      </c>
      <c r="F668" t="s">
        <v>4114</v>
      </c>
      <c r="G668" t="s">
        <v>4121</v>
      </c>
      <c r="H668" t="s">
        <v>2603</v>
      </c>
      <c r="I668">
        <v>2016</v>
      </c>
      <c r="J668" t="s">
        <v>4116</v>
      </c>
    </row>
    <row r="669" spans="1:10" x14ac:dyDescent="0.25">
      <c r="A669">
        <v>668</v>
      </c>
      <c r="B669" t="s">
        <v>2823</v>
      </c>
      <c r="C669" t="s">
        <v>1507</v>
      </c>
      <c r="D669" t="s">
        <v>3776</v>
      </c>
      <c r="E669" t="s">
        <v>4132</v>
      </c>
      <c r="F669" t="s">
        <v>4114</v>
      </c>
      <c r="G669" t="s">
        <v>4121</v>
      </c>
      <c r="H669" t="s">
        <v>2603</v>
      </c>
      <c r="I669">
        <v>2012</v>
      </c>
      <c r="J669" t="s">
        <v>4116</v>
      </c>
    </row>
    <row r="670" spans="1:10" x14ac:dyDescent="0.25">
      <c r="A670">
        <v>669</v>
      </c>
      <c r="B670" t="s">
        <v>1510</v>
      </c>
      <c r="C670" t="s">
        <v>1511</v>
      </c>
      <c r="D670" t="s">
        <v>3777</v>
      </c>
      <c r="E670" t="s">
        <v>4135</v>
      </c>
      <c r="F670" t="s">
        <v>4131</v>
      </c>
      <c r="G670" t="s">
        <v>4133</v>
      </c>
      <c r="H670" t="s">
        <v>2494</v>
      </c>
      <c r="I670">
        <v>2009</v>
      </c>
      <c r="J670" t="s">
        <v>4125</v>
      </c>
    </row>
    <row r="671" spans="1:10" x14ac:dyDescent="0.25">
      <c r="A671">
        <v>670</v>
      </c>
      <c r="B671" t="s">
        <v>1513</v>
      </c>
      <c r="C671" t="s">
        <v>1115</v>
      </c>
      <c r="D671" t="s">
        <v>3778</v>
      </c>
      <c r="E671" t="s">
        <v>4149</v>
      </c>
      <c r="F671" t="s">
        <v>4114</v>
      </c>
      <c r="G671" t="s">
        <v>4115</v>
      </c>
      <c r="H671" t="s">
        <v>2603</v>
      </c>
      <c r="I671">
        <v>2008</v>
      </c>
      <c r="J671" t="s">
        <v>4125</v>
      </c>
    </row>
    <row r="672" spans="1:10" x14ac:dyDescent="0.25">
      <c r="A672">
        <v>671</v>
      </c>
      <c r="B672" t="s">
        <v>1514</v>
      </c>
      <c r="C672" t="s">
        <v>1515</v>
      </c>
      <c r="D672" t="s">
        <v>3779</v>
      </c>
      <c r="E672" t="s">
        <v>4149</v>
      </c>
      <c r="F672" t="s">
        <v>4114</v>
      </c>
      <c r="G672" t="s">
        <v>4133</v>
      </c>
      <c r="H672" t="s">
        <v>2494</v>
      </c>
      <c r="I672">
        <v>2012</v>
      </c>
      <c r="J672" t="s">
        <v>4125</v>
      </c>
    </row>
    <row r="673" spans="1:10" x14ac:dyDescent="0.25">
      <c r="A673">
        <v>672</v>
      </c>
      <c r="B673" t="s">
        <v>2825</v>
      </c>
      <c r="C673" t="s">
        <v>1517</v>
      </c>
      <c r="D673" t="s">
        <v>3780</v>
      </c>
      <c r="E673" t="s">
        <v>4126</v>
      </c>
      <c r="F673" t="s">
        <v>4114</v>
      </c>
      <c r="G673" t="s">
        <v>4115</v>
      </c>
      <c r="H673" t="s">
        <v>2603</v>
      </c>
      <c r="I673">
        <v>2004</v>
      </c>
      <c r="J673" t="s">
        <v>4116</v>
      </c>
    </row>
    <row r="674" spans="1:10" x14ac:dyDescent="0.25">
      <c r="A674">
        <v>673</v>
      </c>
      <c r="B674" t="s">
        <v>2826</v>
      </c>
      <c r="C674" t="s">
        <v>1115</v>
      </c>
      <c r="D674" t="s">
        <v>3781</v>
      </c>
      <c r="E674" t="s">
        <v>4149</v>
      </c>
      <c r="F674" t="s">
        <v>4114</v>
      </c>
      <c r="G674" t="s">
        <v>4115</v>
      </c>
      <c r="H674" t="s">
        <v>2603</v>
      </c>
      <c r="I674">
        <v>2006</v>
      </c>
      <c r="J674" t="s">
        <v>4125</v>
      </c>
    </row>
    <row r="675" spans="1:10" x14ac:dyDescent="0.25">
      <c r="A675">
        <v>674</v>
      </c>
      <c r="B675" t="s">
        <v>2827</v>
      </c>
      <c r="C675" t="s">
        <v>1520</v>
      </c>
      <c r="D675" t="s">
        <v>3782</v>
      </c>
      <c r="E675" t="s">
        <v>4149</v>
      </c>
      <c r="F675" t="s">
        <v>4114</v>
      </c>
      <c r="G675" t="s">
        <v>4115</v>
      </c>
      <c r="H675" t="s">
        <v>2603</v>
      </c>
      <c r="I675">
        <v>2012</v>
      </c>
      <c r="J675" t="s">
        <v>4125</v>
      </c>
    </row>
    <row r="676" spans="1:10" x14ac:dyDescent="0.25">
      <c r="A676">
        <v>675</v>
      </c>
      <c r="B676" t="s">
        <v>2828</v>
      </c>
      <c r="C676" t="s">
        <v>1520</v>
      </c>
      <c r="D676" t="s">
        <v>3783</v>
      </c>
      <c r="E676" t="s">
        <v>4149</v>
      </c>
      <c r="F676" t="s">
        <v>4114</v>
      </c>
      <c r="G676" t="s">
        <v>4115</v>
      </c>
      <c r="H676" t="s">
        <v>2603</v>
      </c>
      <c r="I676">
        <v>2011</v>
      </c>
      <c r="J676" t="s">
        <v>4125</v>
      </c>
    </row>
    <row r="677" spans="1:10" x14ac:dyDescent="0.25">
      <c r="A677">
        <v>676</v>
      </c>
      <c r="B677" t="s">
        <v>2830</v>
      </c>
      <c r="C677" t="s">
        <v>1088</v>
      </c>
      <c r="D677" t="s">
        <v>3784</v>
      </c>
      <c r="E677" t="s">
        <v>4132</v>
      </c>
      <c r="F677" t="s">
        <v>4114</v>
      </c>
      <c r="G677" t="s">
        <v>4121</v>
      </c>
      <c r="H677" t="s">
        <v>2603</v>
      </c>
      <c r="I677">
        <v>2012</v>
      </c>
      <c r="J677" t="s">
        <v>4116</v>
      </c>
    </row>
    <row r="678" spans="1:10" x14ac:dyDescent="0.25">
      <c r="A678">
        <v>677</v>
      </c>
      <c r="B678" t="s">
        <v>3785</v>
      </c>
      <c r="C678" t="s">
        <v>1526</v>
      </c>
      <c r="D678" t="s">
        <v>3786</v>
      </c>
      <c r="E678" t="s">
        <v>4136</v>
      </c>
      <c r="F678" t="s">
        <v>4114</v>
      </c>
      <c r="G678" t="s">
        <v>4121</v>
      </c>
      <c r="H678" t="s">
        <v>2603</v>
      </c>
      <c r="I678">
        <v>2011</v>
      </c>
      <c r="J678" t="s">
        <v>4125</v>
      </c>
    </row>
    <row r="679" spans="1:10" x14ac:dyDescent="0.25">
      <c r="A679">
        <v>678</v>
      </c>
      <c r="B679" t="s">
        <v>3787</v>
      </c>
      <c r="C679" t="s">
        <v>1526</v>
      </c>
      <c r="D679" t="s">
        <v>3788</v>
      </c>
      <c r="E679" t="s">
        <v>4136</v>
      </c>
      <c r="F679" t="s">
        <v>4114</v>
      </c>
      <c r="G679" t="s">
        <v>4121</v>
      </c>
      <c r="H679" t="s">
        <v>2603</v>
      </c>
      <c r="I679">
        <v>2009</v>
      </c>
      <c r="J679" t="s">
        <v>4125</v>
      </c>
    </row>
    <row r="680" spans="1:10" x14ac:dyDescent="0.25">
      <c r="A680">
        <v>679</v>
      </c>
      <c r="B680" t="s">
        <v>1530</v>
      </c>
      <c r="C680" t="s">
        <v>1531</v>
      </c>
      <c r="D680" t="s">
        <v>3789</v>
      </c>
      <c r="E680" t="s">
        <v>4149</v>
      </c>
      <c r="F680" t="s">
        <v>4114</v>
      </c>
      <c r="G680" t="s">
        <v>4133</v>
      </c>
      <c r="H680" t="s">
        <v>2494</v>
      </c>
      <c r="I680">
        <v>2012</v>
      </c>
      <c r="J680" t="s">
        <v>4125</v>
      </c>
    </row>
    <row r="681" spans="1:10" x14ac:dyDescent="0.25">
      <c r="A681">
        <v>680</v>
      </c>
      <c r="B681" t="s">
        <v>2831</v>
      </c>
      <c r="C681" t="s">
        <v>1534</v>
      </c>
      <c r="D681" t="s">
        <v>3790</v>
      </c>
      <c r="E681" t="s">
        <v>4129</v>
      </c>
      <c r="F681" t="s">
        <v>4114</v>
      </c>
      <c r="G681" t="s">
        <v>4121</v>
      </c>
      <c r="H681" t="s">
        <v>2603</v>
      </c>
      <c r="I681">
        <v>2012</v>
      </c>
      <c r="J681" t="s">
        <v>4116</v>
      </c>
    </row>
    <row r="682" spans="1:10" x14ac:dyDescent="0.25">
      <c r="A682">
        <v>681</v>
      </c>
      <c r="B682" t="s">
        <v>2834</v>
      </c>
      <c r="C682" t="s">
        <v>1537</v>
      </c>
      <c r="D682" t="s">
        <v>3791</v>
      </c>
      <c r="E682" t="s">
        <v>4120</v>
      </c>
      <c r="F682" t="s">
        <v>4114</v>
      </c>
      <c r="G682" t="s">
        <v>4115</v>
      </c>
      <c r="H682" t="s">
        <v>2603</v>
      </c>
      <c r="I682">
        <v>2013</v>
      </c>
      <c r="J682" t="s">
        <v>4116</v>
      </c>
    </row>
    <row r="683" spans="1:10" x14ac:dyDescent="0.25">
      <c r="A683">
        <v>682</v>
      </c>
      <c r="B683" t="s">
        <v>2837</v>
      </c>
      <c r="C683" t="s">
        <v>668</v>
      </c>
      <c r="D683" t="s">
        <v>3792</v>
      </c>
      <c r="E683" t="s">
        <v>4136</v>
      </c>
      <c r="F683" t="s">
        <v>4114</v>
      </c>
      <c r="G683" t="s">
        <v>4121</v>
      </c>
      <c r="H683" t="s">
        <v>2603</v>
      </c>
      <c r="I683">
        <v>2010</v>
      </c>
      <c r="J683" t="s">
        <v>4125</v>
      </c>
    </row>
    <row r="684" spans="1:10" x14ac:dyDescent="0.25">
      <c r="A684">
        <v>683</v>
      </c>
      <c r="B684" t="s">
        <v>2839</v>
      </c>
      <c r="C684" t="s">
        <v>668</v>
      </c>
      <c r="D684" t="s">
        <v>3793</v>
      </c>
      <c r="E684" t="s">
        <v>4136</v>
      </c>
      <c r="F684" t="s">
        <v>4114</v>
      </c>
      <c r="G684" t="s">
        <v>4121</v>
      </c>
      <c r="H684" t="s">
        <v>2603</v>
      </c>
      <c r="I684">
        <v>2009</v>
      </c>
      <c r="J684" t="s">
        <v>4125</v>
      </c>
    </row>
    <row r="685" spans="1:10" x14ac:dyDescent="0.25">
      <c r="A685">
        <v>684</v>
      </c>
      <c r="B685" t="s">
        <v>1541</v>
      </c>
      <c r="C685" t="s">
        <v>1542</v>
      </c>
      <c r="D685" t="s">
        <v>3794</v>
      </c>
      <c r="E685" t="s">
        <v>4135</v>
      </c>
      <c r="F685" t="s">
        <v>4131</v>
      </c>
      <c r="G685" t="s">
        <v>4133</v>
      </c>
      <c r="H685" t="s">
        <v>2494</v>
      </c>
      <c r="I685">
        <v>2012</v>
      </c>
      <c r="J685" t="s">
        <v>4125</v>
      </c>
    </row>
    <row r="686" spans="1:10" x14ac:dyDescent="0.25">
      <c r="A686">
        <v>685</v>
      </c>
      <c r="B686" t="s">
        <v>2809</v>
      </c>
      <c r="C686" t="s">
        <v>813</v>
      </c>
      <c r="D686" t="s">
        <v>3795</v>
      </c>
      <c r="E686" t="s">
        <v>4136</v>
      </c>
      <c r="F686" t="s">
        <v>4114</v>
      </c>
      <c r="G686" t="s">
        <v>4121</v>
      </c>
      <c r="H686" t="s">
        <v>2603</v>
      </c>
      <c r="I686">
        <v>2012</v>
      </c>
      <c r="J686" t="s">
        <v>4125</v>
      </c>
    </row>
    <row r="687" spans="1:10" x14ac:dyDescent="0.25">
      <c r="A687">
        <v>686</v>
      </c>
      <c r="B687" t="s">
        <v>2841</v>
      </c>
      <c r="C687" t="s">
        <v>1546</v>
      </c>
      <c r="D687" t="s">
        <v>3796</v>
      </c>
      <c r="E687" t="s">
        <v>4120</v>
      </c>
      <c r="F687" t="s">
        <v>4114</v>
      </c>
      <c r="G687" t="s">
        <v>4121</v>
      </c>
      <c r="H687" t="s">
        <v>2603</v>
      </c>
      <c r="I687">
        <v>2011</v>
      </c>
      <c r="J687" t="s">
        <v>4125</v>
      </c>
    </row>
    <row r="688" spans="1:10" x14ac:dyDescent="0.25">
      <c r="A688">
        <v>687</v>
      </c>
      <c r="B688" t="s">
        <v>2842</v>
      </c>
      <c r="C688" t="s">
        <v>1546</v>
      </c>
      <c r="D688" t="s">
        <v>3797</v>
      </c>
      <c r="E688" t="s">
        <v>4120</v>
      </c>
      <c r="F688" t="s">
        <v>4114</v>
      </c>
      <c r="G688" t="s">
        <v>4121</v>
      </c>
      <c r="H688" t="s">
        <v>2603</v>
      </c>
      <c r="I688">
        <v>2011</v>
      </c>
      <c r="J688" t="s">
        <v>4125</v>
      </c>
    </row>
    <row r="689" spans="1:10" x14ac:dyDescent="0.25">
      <c r="A689">
        <v>688</v>
      </c>
      <c r="B689" t="s">
        <v>2850</v>
      </c>
      <c r="C689" t="s">
        <v>1550</v>
      </c>
      <c r="D689" t="s">
        <v>3798</v>
      </c>
      <c r="E689" t="s">
        <v>4117</v>
      </c>
      <c r="F689" t="s">
        <v>4114</v>
      </c>
      <c r="G689" t="s">
        <v>4121</v>
      </c>
      <c r="H689" t="s">
        <v>2603</v>
      </c>
      <c r="I689">
        <v>1997</v>
      </c>
      <c r="J689" t="s">
        <v>4125</v>
      </c>
    </row>
    <row r="690" spans="1:10" x14ac:dyDescent="0.25">
      <c r="A690">
        <v>689</v>
      </c>
      <c r="B690" t="s">
        <v>2832</v>
      </c>
      <c r="C690" t="s">
        <v>1534</v>
      </c>
      <c r="D690" t="s">
        <v>3799</v>
      </c>
      <c r="E690" t="s">
        <v>4129</v>
      </c>
      <c r="F690" t="s">
        <v>4114</v>
      </c>
      <c r="G690" t="s">
        <v>4121</v>
      </c>
      <c r="H690" t="s">
        <v>2603</v>
      </c>
      <c r="I690">
        <v>2011</v>
      </c>
      <c r="J690" t="s">
        <v>4116</v>
      </c>
    </row>
    <row r="691" spans="1:10" x14ac:dyDescent="0.25">
      <c r="A691">
        <v>690</v>
      </c>
      <c r="B691" t="s">
        <v>2851</v>
      </c>
      <c r="C691" t="s">
        <v>1553</v>
      </c>
      <c r="D691" t="s">
        <v>3800</v>
      </c>
      <c r="E691" t="s">
        <v>4157</v>
      </c>
      <c r="F691" t="s">
        <v>4131</v>
      </c>
      <c r="G691" t="s">
        <v>4115</v>
      </c>
      <c r="H691" t="s">
        <v>2603</v>
      </c>
      <c r="I691">
        <v>2010</v>
      </c>
      <c r="J691" t="s">
        <v>4116</v>
      </c>
    </row>
    <row r="692" spans="1:10" x14ac:dyDescent="0.25">
      <c r="A692">
        <v>691</v>
      </c>
      <c r="B692" t="s">
        <v>2852</v>
      </c>
      <c r="C692" t="s">
        <v>1555</v>
      </c>
      <c r="D692" t="s">
        <v>3801</v>
      </c>
      <c r="E692" t="s">
        <v>4138</v>
      </c>
      <c r="F692" t="s">
        <v>4114</v>
      </c>
      <c r="G692" t="s">
        <v>4123</v>
      </c>
      <c r="H692" t="s">
        <v>4124</v>
      </c>
      <c r="I692">
        <v>1928</v>
      </c>
      <c r="J692" t="s">
        <v>4116</v>
      </c>
    </row>
    <row r="693" spans="1:10" x14ac:dyDescent="0.25">
      <c r="A693">
        <v>692</v>
      </c>
      <c r="B693" t="s">
        <v>3802</v>
      </c>
      <c r="C693" t="s">
        <v>269</v>
      </c>
      <c r="D693" t="s">
        <v>3803</v>
      </c>
      <c r="E693" t="s">
        <v>4120</v>
      </c>
      <c r="F693" t="s">
        <v>4114</v>
      </c>
      <c r="G693" t="s">
        <v>4121</v>
      </c>
      <c r="H693" t="s">
        <v>2603</v>
      </c>
      <c r="I693">
        <v>2011</v>
      </c>
      <c r="J693" t="s">
        <v>4116</v>
      </c>
    </row>
    <row r="694" spans="1:10" x14ac:dyDescent="0.25">
      <c r="A694">
        <v>693</v>
      </c>
      <c r="B694" t="s">
        <v>3804</v>
      </c>
      <c r="C694" t="s">
        <v>250</v>
      </c>
      <c r="D694" t="s">
        <v>3805</v>
      </c>
      <c r="E694" t="s">
        <v>4113</v>
      </c>
      <c r="F694" t="s">
        <v>4114</v>
      </c>
      <c r="G694" t="s">
        <v>4150</v>
      </c>
      <c r="H694" t="s">
        <v>4151</v>
      </c>
      <c r="I694">
        <v>2009</v>
      </c>
      <c r="J694" t="s">
        <v>4116</v>
      </c>
    </row>
    <row r="695" spans="1:10" x14ac:dyDescent="0.25">
      <c r="A695">
        <v>694</v>
      </c>
      <c r="B695" t="s">
        <v>2853</v>
      </c>
      <c r="C695" t="s">
        <v>1562</v>
      </c>
      <c r="D695" t="s">
        <v>3806</v>
      </c>
      <c r="E695" t="s">
        <v>4136</v>
      </c>
      <c r="F695" t="s">
        <v>4114</v>
      </c>
      <c r="G695" t="s">
        <v>4121</v>
      </c>
      <c r="H695" t="s">
        <v>2603</v>
      </c>
      <c r="I695">
        <v>2011</v>
      </c>
      <c r="J695" t="s">
        <v>4116</v>
      </c>
    </row>
    <row r="696" spans="1:10" x14ac:dyDescent="0.25">
      <c r="A696">
        <v>695</v>
      </c>
      <c r="B696" t="s">
        <v>2843</v>
      </c>
      <c r="C696" t="s">
        <v>1546</v>
      </c>
      <c r="D696" t="s">
        <v>3807</v>
      </c>
      <c r="E696" t="s">
        <v>4120</v>
      </c>
      <c r="F696" t="s">
        <v>4114</v>
      </c>
      <c r="G696" t="s">
        <v>4121</v>
      </c>
      <c r="H696" t="s">
        <v>2603</v>
      </c>
      <c r="I696">
        <v>2010</v>
      </c>
      <c r="J696" t="s">
        <v>4125</v>
      </c>
    </row>
    <row r="697" spans="1:10" x14ac:dyDescent="0.25">
      <c r="A697">
        <v>696</v>
      </c>
      <c r="B697" t="s">
        <v>2835</v>
      </c>
      <c r="C697" t="s">
        <v>1537</v>
      </c>
      <c r="D697" t="s">
        <v>3808</v>
      </c>
      <c r="E697" t="s">
        <v>4120</v>
      </c>
      <c r="F697" t="s">
        <v>4114</v>
      </c>
      <c r="G697" t="s">
        <v>4115</v>
      </c>
      <c r="H697" t="s">
        <v>2603</v>
      </c>
      <c r="I697">
        <v>2011</v>
      </c>
      <c r="J697" t="s">
        <v>4116</v>
      </c>
    </row>
    <row r="698" spans="1:10" x14ac:dyDescent="0.25">
      <c r="A698">
        <v>697</v>
      </c>
      <c r="B698" t="s">
        <v>2854</v>
      </c>
      <c r="C698" t="s">
        <v>1562</v>
      </c>
      <c r="D698" t="s">
        <v>3809</v>
      </c>
      <c r="E698" t="s">
        <v>4136</v>
      </c>
      <c r="F698" t="s">
        <v>4114</v>
      </c>
      <c r="G698" t="s">
        <v>4121</v>
      </c>
      <c r="H698" t="s">
        <v>2603</v>
      </c>
      <c r="I698">
        <v>2010</v>
      </c>
      <c r="J698" t="s">
        <v>4116</v>
      </c>
    </row>
    <row r="699" spans="1:10" x14ac:dyDescent="0.25">
      <c r="A699">
        <v>698</v>
      </c>
      <c r="B699" t="s">
        <v>2855</v>
      </c>
      <c r="C699" t="s">
        <v>1567</v>
      </c>
      <c r="D699" t="s">
        <v>3810</v>
      </c>
      <c r="E699" t="s">
        <v>4126</v>
      </c>
      <c r="F699" t="s">
        <v>4114</v>
      </c>
      <c r="G699" t="s">
        <v>4127</v>
      </c>
      <c r="H699" t="s">
        <v>4128</v>
      </c>
      <c r="I699">
        <v>1920</v>
      </c>
      <c r="J699" t="s">
        <v>4116</v>
      </c>
    </row>
    <row r="700" spans="1:10" x14ac:dyDescent="0.25">
      <c r="A700">
        <v>699</v>
      </c>
      <c r="B700" t="s">
        <v>2824</v>
      </c>
      <c r="C700" t="s">
        <v>1507</v>
      </c>
      <c r="D700" t="s">
        <v>3811</v>
      </c>
      <c r="E700" t="s">
        <v>4132</v>
      </c>
      <c r="F700" t="s">
        <v>4114</v>
      </c>
      <c r="G700" t="s">
        <v>4121</v>
      </c>
      <c r="H700" t="s">
        <v>2603</v>
      </c>
      <c r="I700">
        <v>2010</v>
      </c>
      <c r="J700" t="s">
        <v>4116</v>
      </c>
    </row>
    <row r="701" spans="1:10" x14ac:dyDescent="0.25">
      <c r="A701">
        <v>700</v>
      </c>
      <c r="B701" t="s">
        <v>1570</v>
      </c>
      <c r="C701" t="s">
        <v>1571</v>
      </c>
      <c r="D701" t="s">
        <v>3812</v>
      </c>
      <c r="E701" t="s">
        <v>4149</v>
      </c>
      <c r="F701" t="s">
        <v>4114</v>
      </c>
      <c r="G701" t="s">
        <v>4133</v>
      </c>
      <c r="H701" t="s">
        <v>2494</v>
      </c>
      <c r="I701">
        <v>2010</v>
      </c>
      <c r="J701" t="s">
        <v>4125</v>
      </c>
    </row>
    <row r="702" spans="1:10" x14ac:dyDescent="0.25">
      <c r="A702">
        <v>701</v>
      </c>
      <c r="B702" t="s">
        <v>2856</v>
      </c>
      <c r="C702" t="s">
        <v>1573</v>
      </c>
      <c r="D702" t="s">
        <v>3813</v>
      </c>
      <c r="E702" t="s">
        <v>4122</v>
      </c>
      <c r="F702" t="s">
        <v>4114</v>
      </c>
      <c r="G702" t="s">
        <v>4127</v>
      </c>
      <c r="H702" t="s">
        <v>4128</v>
      </c>
      <c r="I702">
        <v>1943</v>
      </c>
      <c r="J702" t="s">
        <v>4116</v>
      </c>
    </row>
    <row r="703" spans="1:10" x14ac:dyDescent="0.25">
      <c r="A703">
        <v>702</v>
      </c>
      <c r="B703" t="s">
        <v>2833</v>
      </c>
      <c r="C703" t="s">
        <v>1534</v>
      </c>
      <c r="D703" t="s">
        <v>3814</v>
      </c>
      <c r="E703" t="s">
        <v>4129</v>
      </c>
      <c r="F703" t="s">
        <v>4114</v>
      </c>
      <c r="G703" t="s">
        <v>4121</v>
      </c>
      <c r="H703" t="s">
        <v>2603</v>
      </c>
      <c r="I703">
        <v>2010</v>
      </c>
      <c r="J703" t="s">
        <v>4116</v>
      </c>
    </row>
    <row r="704" spans="1:10" x14ac:dyDescent="0.25">
      <c r="A704">
        <v>703</v>
      </c>
      <c r="B704" t="s">
        <v>1576</v>
      </c>
      <c r="C704" t="s">
        <v>1577</v>
      </c>
      <c r="D704" t="s">
        <v>3815</v>
      </c>
      <c r="E704" t="s">
        <v>4126</v>
      </c>
      <c r="F704" t="s">
        <v>4114</v>
      </c>
      <c r="G704" t="s">
        <v>4148</v>
      </c>
      <c r="H704" t="s">
        <v>2486</v>
      </c>
      <c r="I704">
        <v>1855</v>
      </c>
      <c r="J704" t="s">
        <v>4125</v>
      </c>
    </row>
    <row r="705" spans="1:10" x14ac:dyDescent="0.25">
      <c r="A705">
        <v>704</v>
      </c>
      <c r="B705" t="s">
        <v>3816</v>
      </c>
      <c r="C705" t="s">
        <v>250</v>
      </c>
      <c r="D705" t="s">
        <v>3817</v>
      </c>
      <c r="E705" t="s">
        <v>4113</v>
      </c>
      <c r="F705" t="s">
        <v>4114</v>
      </c>
      <c r="G705" t="s">
        <v>4150</v>
      </c>
      <c r="H705" t="s">
        <v>4151</v>
      </c>
      <c r="I705">
        <v>2002</v>
      </c>
      <c r="J705" t="s">
        <v>4116</v>
      </c>
    </row>
    <row r="706" spans="1:10" x14ac:dyDescent="0.25">
      <c r="A706">
        <v>705</v>
      </c>
      <c r="B706" t="s">
        <v>2836</v>
      </c>
      <c r="C706" t="s">
        <v>1537</v>
      </c>
      <c r="D706" t="s">
        <v>3818</v>
      </c>
      <c r="E706" t="s">
        <v>4120</v>
      </c>
      <c r="F706" t="s">
        <v>4114</v>
      </c>
      <c r="G706" t="s">
        <v>4115</v>
      </c>
      <c r="H706" t="s">
        <v>2603</v>
      </c>
      <c r="I706">
        <v>2010</v>
      </c>
      <c r="J706" t="s">
        <v>4116</v>
      </c>
    </row>
    <row r="707" spans="1:10" x14ac:dyDescent="0.25">
      <c r="A707">
        <v>706</v>
      </c>
      <c r="B707" t="s">
        <v>2844</v>
      </c>
      <c r="C707" t="s">
        <v>1546</v>
      </c>
      <c r="D707" t="s">
        <v>3819</v>
      </c>
      <c r="E707" t="s">
        <v>4120</v>
      </c>
      <c r="F707" t="s">
        <v>4114</v>
      </c>
      <c r="G707" t="s">
        <v>4121</v>
      </c>
      <c r="H707" t="s">
        <v>2603</v>
      </c>
      <c r="I707">
        <v>2009</v>
      </c>
      <c r="J707" t="s">
        <v>4125</v>
      </c>
    </row>
    <row r="708" spans="1:10" x14ac:dyDescent="0.25">
      <c r="A708">
        <v>707</v>
      </c>
      <c r="B708" t="s">
        <v>2845</v>
      </c>
      <c r="C708" t="s">
        <v>1546</v>
      </c>
      <c r="D708" t="s">
        <v>3820</v>
      </c>
      <c r="E708" t="s">
        <v>4120</v>
      </c>
      <c r="F708" t="s">
        <v>4114</v>
      </c>
      <c r="G708" t="s">
        <v>4121</v>
      </c>
      <c r="H708" t="s">
        <v>2603</v>
      </c>
      <c r="I708">
        <v>2009</v>
      </c>
      <c r="J708" t="s">
        <v>4125</v>
      </c>
    </row>
    <row r="709" spans="1:10" x14ac:dyDescent="0.25">
      <c r="A709">
        <v>708</v>
      </c>
      <c r="B709" t="s">
        <v>2846</v>
      </c>
      <c r="C709" t="s">
        <v>1546</v>
      </c>
      <c r="D709" t="s">
        <v>3821</v>
      </c>
      <c r="E709" t="s">
        <v>4120</v>
      </c>
      <c r="F709" t="s">
        <v>4114</v>
      </c>
      <c r="G709" t="s">
        <v>4121</v>
      </c>
      <c r="H709" t="s">
        <v>2603</v>
      </c>
      <c r="I709">
        <v>2008</v>
      </c>
      <c r="J709" t="s">
        <v>4125</v>
      </c>
    </row>
    <row r="710" spans="1:10" x14ac:dyDescent="0.25">
      <c r="A710">
        <v>709</v>
      </c>
      <c r="B710" t="s">
        <v>2847</v>
      </c>
      <c r="C710" t="s">
        <v>1546</v>
      </c>
      <c r="D710" t="s">
        <v>3822</v>
      </c>
      <c r="E710" t="s">
        <v>4120</v>
      </c>
      <c r="F710" t="s">
        <v>4114</v>
      </c>
      <c r="G710" t="s">
        <v>4121</v>
      </c>
      <c r="H710" t="s">
        <v>2603</v>
      </c>
      <c r="I710">
        <v>2008</v>
      </c>
      <c r="J710" t="s">
        <v>4125</v>
      </c>
    </row>
    <row r="711" spans="1:10" x14ac:dyDescent="0.25">
      <c r="A711">
        <v>710</v>
      </c>
      <c r="B711" t="s">
        <v>2848</v>
      </c>
      <c r="C711" t="s">
        <v>1546</v>
      </c>
      <c r="D711" t="s">
        <v>3823</v>
      </c>
      <c r="E711" t="s">
        <v>4120</v>
      </c>
      <c r="F711" t="s">
        <v>4114</v>
      </c>
      <c r="G711" t="s">
        <v>4121</v>
      </c>
      <c r="H711" t="s">
        <v>2603</v>
      </c>
      <c r="I711">
        <v>2007</v>
      </c>
      <c r="J711" t="s">
        <v>4125</v>
      </c>
    </row>
    <row r="712" spans="1:10" x14ac:dyDescent="0.25">
      <c r="A712">
        <v>711</v>
      </c>
      <c r="B712" t="s">
        <v>2849</v>
      </c>
      <c r="C712" t="s">
        <v>1546</v>
      </c>
      <c r="D712" t="s">
        <v>3824</v>
      </c>
      <c r="E712" t="s">
        <v>4120</v>
      </c>
      <c r="F712" t="s">
        <v>4114</v>
      </c>
      <c r="G712" t="s">
        <v>4121</v>
      </c>
      <c r="H712" t="s">
        <v>2603</v>
      </c>
      <c r="I712">
        <v>2007</v>
      </c>
      <c r="J712" t="s">
        <v>4125</v>
      </c>
    </row>
    <row r="713" spans="1:10" x14ac:dyDescent="0.25">
      <c r="A713">
        <v>712</v>
      </c>
      <c r="B713" t="s">
        <v>2857</v>
      </c>
      <c r="C713" t="s">
        <v>1589</v>
      </c>
      <c r="D713" t="s">
        <v>3825</v>
      </c>
      <c r="E713" t="s">
        <v>4136</v>
      </c>
      <c r="F713" t="s">
        <v>4114</v>
      </c>
      <c r="G713" t="s">
        <v>4121</v>
      </c>
      <c r="H713" t="s">
        <v>2603</v>
      </c>
      <c r="I713">
        <v>2009</v>
      </c>
      <c r="J713" t="s">
        <v>4125</v>
      </c>
    </row>
    <row r="714" spans="1:10" x14ac:dyDescent="0.25">
      <c r="A714">
        <v>713</v>
      </c>
      <c r="B714" t="s">
        <v>2859</v>
      </c>
      <c r="C714" t="s">
        <v>1589</v>
      </c>
      <c r="D714" t="s">
        <v>3826</v>
      </c>
      <c r="E714" t="s">
        <v>4136</v>
      </c>
      <c r="F714" t="s">
        <v>4114</v>
      </c>
      <c r="G714" t="s">
        <v>4121</v>
      </c>
      <c r="H714" t="s">
        <v>2603</v>
      </c>
      <c r="I714">
        <v>2008</v>
      </c>
      <c r="J714" t="s">
        <v>4125</v>
      </c>
    </row>
    <row r="715" spans="1:10" x14ac:dyDescent="0.25">
      <c r="A715">
        <v>714</v>
      </c>
      <c r="B715" t="s">
        <v>2860</v>
      </c>
      <c r="C715" t="s">
        <v>1593</v>
      </c>
      <c r="D715" t="s">
        <v>3827</v>
      </c>
      <c r="E715" t="s">
        <v>4138</v>
      </c>
      <c r="F715" t="s">
        <v>4114</v>
      </c>
      <c r="G715" t="s">
        <v>4121</v>
      </c>
      <c r="H715" t="s">
        <v>2603</v>
      </c>
      <c r="I715">
        <v>2009</v>
      </c>
      <c r="J715" t="s">
        <v>4125</v>
      </c>
    </row>
    <row r="716" spans="1:10" x14ac:dyDescent="0.25">
      <c r="A716">
        <v>715</v>
      </c>
      <c r="B716" t="s">
        <v>2861</v>
      </c>
      <c r="C716" t="s">
        <v>125</v>
      </c>
      <c r="D716" t="s">
        <v>3828</v>
      </c>
      <c r="E716" t="s">
        <v>4129</v>
      </c>
      <c r="F716" t="s">
        <v>4114</v>
      </c>
      <c r="G716" t="s">
        <v>4121</v>
      </c>
      <c r="H716" t="s">
        <v>2603</v>
      </c>
      <c r="I716">
        <v>2009</v>
      </c>
      <c r="J716" t="s">
        <v>4116</v>
      </c>
    </row>
    <row r="717" spans="1:10" x14ac:dyDescent="0.25">
      <c r="A717">
        <v>716</v>
      </c>
      <c r="B717" t="s">
        <v>3829</v>
      </c>
      <c r="C717" t="s">
        <v>269</v>
      </c>
      <c r="D717" t="s">
        <v>3830</v>
      </c>
      <c r="E717" t="s">
        <v>4120</v>
      </c>
      <c r="F717" t="s">
        <v>4114</v>
      </c>
      <c r="G717" t="s">
        <v>4121</v>
      </c>
      <c r="H717" t="s">
        <v>2603</v>
      </c>
      <c r="I717">
        <v>2005</v>
      </c>
      <c r="J717" t="s">
        <v>4116</v>
      </c>
    </row>
    <row r="718" spans="1:10" x14ac:dyDescent="0.25">
      <c r="A718">
        <v>717</v>
      </c>
      <c r="B718" t="s">
        <v>2871</v>
      </c>
      <c r="C718" t="s">
        <v>1598</v>
      </c>
      <c r="D718" t="s">
        <v>3831</v>
      </c>
      <c r="E718" t="s">
        <v>4157</v>
      </c>
      <c r="F718" t="s">
        <v>4131</v>
      </c>
      <c r="G718" t="s">
        <v>4115</v>
      </c>
      <c r="H718" t="s">
        <v>2603</v>
      </c>
      <c r="I718">
        <v>2005</v>
      </c>
      <c r="J718" t="s">
        <v>4116</v>
      </c>
    </row>
    <row r="719" spans="1:10" x14ac:dyDescent="0.25">
      <c r="A719">
        <v>718</v>
      </c>
      <c r="B719" t="s">
        <v>2868</v>
      </c>
      <c r="C719" t="s">
        <v>1601</v>
      </c>
      <c r="D719" t="s">
        <v>3832</v>
      </c>
      <c r="E719" t="s">
        <v>4136</v>
      </c>
      <c r="F719" t="s">
        <v>4114</v>
      </c>
      <c r="G719" t="s">
        <v>4121</v>
      </c>
      <c r="H719" t="s">
        <v>2603</v>
      </c>
      <c r="I719">
        <v>2008</v>
      </c>
      <c r="J719" t="s">
        <v>4125</v>
      </c>
    </row>
    <row r="720" spans="1:10" x14ac:dyDescent="0.25">
      <c r="A720">
        <v>719</v>
      </c>
      <c r="B720" t="s">
        <v>2870</v>
      </c>
      <c r="C720" t="s">
        <v>1601</v>
      </c>
      <c r="D720" t="s">
        <v>3833</v>
      </c>
      <c r="E720" t="s">
        <v>4136</v>
      </c>
      <c r="F720" t="s">
        <v>4114</v>
      </c>
      <c r="G720" t="s">
        <v>4121</v>
      </c>
      <c r="H720" t="s">
        <v>2603</v>
      </c>
      <c r="I720">
        <v>2006</v>
      </c>
      <c r="J720" t="s">
        <v>4125</v>
      </c>
    </row>
    <row r="721" spans="1:10" x14ac:dyDescent="0.25">
      <c r="A721">
        <v>720</v>
      </c>
      <c r="B721" t="s">
        <v>1604</v>
      </c>
      <c r="C721" t="s">
        <v>1504</v>
      </c>
      <c r="D721" t="s">
        <v>3834</v>
      </c>
      <c r="E721" t="s">
        <v>4149</v>
      </c>
      <c r="F721" t="s">
        <v>4114</v>
      </c>
      <c r="G721" t="s">
        <v>4133</v>
      </c>
      <c r="H721" t="s">
        <v>2494</v>
      </c>
      <c r="I721">
        <v>2007</v>
      </c>
      <c r="J721" t="s">
        <v>4125</v>
      </c>
    </row>
    <row r="722" spans="1:10" x14ac:dyDescent="0.25">
      <c r="A722">
        <v>721</v>
      </c>
      <c r="B722" t="s">
        <v>2873</v>
      </c>
      <c r="C722" t="s">
        <v>1605</v>
      </c>
      <c r="D722" t="s">
        <v>3835</v>
      </c>
      <c r="E722" t="s">
        <v>4152</v>
      </c>
      <c r="F722" t="s">
        <v>4131</v>
      </c>
      <c r="G722" t="s">
        <v>4137</v>
      </c>
      <c r="H722" t="s">
        <v>2603</v>
      </c>
      <c r="I722">
        <v>2007</v>
      </c>
      <c r="J722" t="s">
        <v>4116</v>
      </c>
    </row>
    <row r="723" spans="1:10" x14ac:dyDescent="0.25">
      <c r="A723">
        <v>722</v>
      </c>
      <c r="B723" t="s">
        <v>1607</v>
      </c>
      <c r="C723" t="s">
        <v>1608</v>
      </c>
      <c r="D723" t="s">
        <v>3836</v>
      </c>
      <c r="E723" t="s">
        <v>4149</v>
      </c>
      <c r="F723" t="s">
        <v>4114</v>
      </c>
      <c r="G723" t="s">
        <v>4148</v>
      </c>
      <c r="H723" t="s">
        <v>2486</v>
      </c>
      <c r="I723">
        <v>2009</v>
      </c>
      <c r="J723" t="s">
        <v>4125</v>
      </c>
    </row>
    <row r="724" spans="1:10" x14ac:dyDescent="0.25">
      <c r="A724">
        <v>723</v>
      </c>
      <c r="B724" t="s">
        <v>1610</v>
      </c>
      <c r="C724" t="s">
        <v>1504</v>
      </c>
      <c r="D724" t="s">
        <v>3837</v>
      </c>
      <c r="E724" t="s">
        <v>4149</v>
      </c>
      <c r="F724" t="s">
        <v>4114</v>
      </c>
      <c r="G724" t="s">
        <v>4133</v>
      </c>
      <c r="H724" t="s">
        <v>2494</v>
      </c>
      <c r="I724">
        <v>2008</v>
      </c>
      <c r="J724" t="s">
        <v>4125</v>
      </c>
    </row>
    <row r="725" spans="1:10" x14ac:dyDescent="0.25">
      <c r="A725">
        <v>724</v>
      </c>
      <c r="B725" t="s">
        <v>2874</v>
      </c>
      <c r="C725" t="s">
        <v>1612</v>
      </c>
      <c r="D725" t="s">
        <v>3838</v>
      </c>
      <c r="E725" t="s">
        <v>4130</v>
      </c>
      <c r="F725" t="s">
        <v>4131</v>
      </c>
      <c r="G725" t="s">
        <v>4156</v>
      </c>
      <c r="H725" t="s">
        <v>2603</v>
      </c>
      <c r="I725">
        <v>2006</v>
      </c>
      <c r="J725" t="s">
        <v>4125</v>
      </c>
    </row>
    <row r="726" spans="1:10" x14ac:dyDescent="0.25">
      <c r="A726">
        <v>725</v>
      </c>
      <c r="B726" t="s">
        <v>3839</v>
      </c>
      <c r="C726" t="s">
        <v>269</v>
      </c>
      <c r="D726" t="s">
        <v>3840</v>
      </c>
      <c r="E726" t="s">
        <v>4120</v>
      </c>
      <c r="F726" t="s">
        <v>4114</v>
      </c>
      <c r="G726" t="s">
        <v>4121</v>
      </c>
      <c r="H726" t="s">
        <v>2603</v>
      </c>
      <c r="I726">
        <v>2008</v>
      </c>
      <c r="J726" t="s">
        <v>4116</v>
      </c>
    </row>
    <row r="727" spans="1:10" x14ac:dyDescent="0.25">
      <c r="A727">
        <v>726</v>
      </c>
      <c r="B727" t="s">
        <v>2875</v>
      </c>
      <c r="C727" t="s">
        <v>1616</v>
      </c>
      <c r="D727" t="s">
        <v>3841</v>
      </c>
      <c r="E727" t="s">
        <v>4152</v>
      </c>
      <c r="F727" t="s">
        <v>4131</v>
      </c>
      <c r="G727" t="s">
        <v>4153</v>
      </c>
      <c r="H727" t="s">
        <v>4179</v>
      </c>
      <c r="I727">
        <v>1988</v>
      </c>
      <c r="J727" t="s">
        <v>4116</v>
      </c>
    </row>
    <row r="728" spans="1:10" x14ac:dyDescent="0.25">
      <c r="A728">
        <v>727</v>
      </c>
      <c r="B728" t="s">
        <v>1618</v>
      </c>
      <c r="C728" t="s">
        <v>1619</v>
      </c>
      <c r="D728" t="s">
        <v>3842</v>
      </c>
      <c r="E728" t="s">
        <v>4149</v>
      </c>
      <c r="F728" t="s">
        <v>4114</v>
      </c>
      <c r="G728" t="s">
        <v>4133</v>
      </c>
      <c r="H728" t="s">
        <v>2494</v>
      </c>
      <c r="I728">
        <v>2007</v>
      </c>
      <c r="J728" t="s">
        <v>4147</v>
      </c>
    </row>
    <row r="729" spans="1:10" x14ac:dyDescent="0.25">
      <c r="A729">
        <v>728</v>
      </c>
      <c r="B729" t="s">
        <v>1621</v>
      </c>
      <c r="C729" t="s">
        <v>1504</v>
      </c>
      <c r="D729" t="s">
        <v>3843</v>
      </c>
      <c r="E729" t="s">
        <v>4149</v>
      </c>
      <c r="F729" t="s">
        <v>4114</v>
      </c>
      <c r="G729" t="s">
        <v>4133</v>
      </c>
      <c r="H729" t="s">
        <v>2494</v>
      </c>
      <c r="I729">
        <v>2007</v>
      </c>
      <c r="J729" t="s">
        <v>4125</v>
      </c>
    </row>
    <row r="730" spans="1:10" x14ac:dyDescent="0.25">
      <c r="A730">
        <v>729</v>
      </c>
      <c r="B730" t="s">
        <v>2876</v>
      </c>
      <c r="C730" t="s">
        <v>1427</v>
      </c>
      <c r="D730" t="s">
        <v>3844</v>
      </c>
      <c r="E730" t="s">
        <v>4120</v>
      </c>
      <c r="F730" t="s">
        <v>4114</v>
      </c>
      <c r="G730" t="s">
        <v>4115</v>
      </c>
      <c r="H730" t="s">
        <v>2603</v>
      </c>
      <c r="I730">
        <v>2007</v>
      </c>
      <c r="J730" t="s">
        <v>4125</v>
      </c>
    </row>
    <row r="731" spans="1:10" x14ac:dyDescent="0.25">
      <c r="A731">
        <v>730</v>
      </c>
      <c r="B731" t="s">
        <v>1623</v>
      </c>
      <c r="C731" t="s">
        <v>1619</v>
      </c>
      <c r="D731" t="s">
        <v>3845</v>
      </c>
      <c r="E731" t="s">
        <v>4149</v>
      </c>
      <c r="F731" t="s">
        <v>4114</v>
      </c>
      <c r="G731" t="s">
        <v>4133</v>
      </c>
      <c r="H731" t="s">
        <v>2494</v>
      </c>
      <c r="I731">
        <v>2007</v>
      </c>
      <c r="J731" t="s">
        <v>4147</v>
      </c>
    </row>
    <row r="732" spans="1:10" x14ac:dyDescent="0.25">
      <c r="A732">
        <v>731</v>
      </c>
      <c r="B732" t="s">
        <v>1624</v>
      </c>
      <c r="C732" t="s">
        <v>1625</v>
      </c>
      <c r="D732" t="s">
        <v>3846</v>
      </c>
      <c r="E732" t="s">
        <v>4126</v>
      </c>
      <c r="F732" t="s">
        <v>4114</v>
      </c>
      <c r="G732" t="s">
        <v>4115</v>
      </c>
      <c r="H732" t="s">
        <v>2603</v>
      </c>
      <c r="I732">
        <v>1847</v>
      </c>
      <c r="J732" t="s">
        <v>4125</v>
      </c>
    </row>
    <row r="733" spans="1:10" x14ac:dyDescent="0.25">
      <c r="A733">
        <v>732</v>
      </c>
      <c r="B733" t="s">
        <v>1627</v>
      </c>
      <c r="C733" t="s">
        <v>1619</v>
      </c>
      <c r="D733" t="s">
        <v>3847</v>
      </c>
      <c r="E733" t="s">
        <v>4149</v>
      </c>
      <c r="F733" t="s">
        <v>4114</v>
      </c>
      <c r="G733" t="s">
        <v>4133</v>
      </c>
      <c r="H733" t="s">
        <v>2494</v>
      </c>
      <c r="I733">
        <v>2001</v>
      </c>
      <c r="J733" t="s">
        <v>4147</v>
      </c>
    </row>
    <row r="734" spans="1:10" x14ac:dyDescent="0.25">
      <c r="A734">
        <v>733</v>
      </c>
      <c r="B734" t="s">
        <v>2884</v>
      </c>
      <c r="C734" t="s">
        <v>1628</v>
      </c>
      <c r="D734" t="s">
        <v>3848</v>
      </c>
      <c r="E734" t="s">
        <v>4149</v>
      </c>
      <c r="F734" t="s">
        <v>4114</v>
      </c>
      <c r="G734" t="s">
        <v>4121</v>
      </c>
      <c r="H734" t="s">
        <v>2603</v>
      </c>
      <c r="I734">
        <v>2004</v>
      </c>
      <c r="J734" t="s">
        <v>4125</v>
      </c>
    </row>
    <row r="735" spans="1:10" x14ac:dyDescent="0.25">
      <c r="A735">
        <v>734</v>
      </c>
      <c r="B735" t="s">
        <v>1630</v>
      </c>
      <c r="C735" t="s">
        <v>1619</v>
      </c>
      <c r="D735" t="s">
        <v>3849</v>
      </c>
      <c r="E735" t="s">
        <v>4149</v>
      </c>
      <c r="F735" t="s">
        <v>4114</v>
      </c>
      <c r="G735" t="s">
        <v>4133</v>
      </c>
      <c r="H735" t="s">
        <v>2494</v>
      </c>
      <c r="I735">
        <v>2005</v>
      </c>
      <c r="J735" t="s">
        <v>4147</v>
      </c>
    </row>
    <row r="736" spans="1:10" x14ac:dyDescent="0.25">
      <c r="A736">
        <v>735</v>
      </c>
      <c r="B736" t="s">
        <v>2877</v>
      </c>
      <c r="C736" t="s">
        <v>1427</v>
      </c>
      <c r="D736" t="s">
        <v>3850</v>
      </c>
      <c r="E736" t="s">
        <v>4120</v>
      </c>
      <c r="F736" t="s">
        <v>4114</v>
      </c>
      <c r="G736" t="s">
        <v>4115</v>
      </c>
      <c r="H736" t="s">
        <v>2603</v>
      </c>
      <c r="I736">
        <v>2005</v>
      </c>
      <c r="J736" t="s">
        <v>4125</v>
      </c>
    </row>
    <row r="737" spans="1:10" x14ac:dyDescent="0.25">
      <c r="A737">
        <v>736</v>
      </c>
      <c r="B737" t="s">
        <v>2885</v>
      </c>
      <c r="C737" t="s">
        <v>1632</v>
      </c>
      <c r="D737" t="s">
        <v>3851</v>
      </c>
      <c r="E737" t="s">
        <v>4149</v>
      </c>
      <c r="F737" t="s">
        <v>4114</v>
      </c>
      <c r="G737" t="s">
        <v>4121</v>
      </c>
      <c r="H737" t="s">
        <v>2603</v>
      </c>
      <c r="I737">
        <v>2003</v>
      </c>
      <c r="J737" t="s">
        <v>4125</v>
      </c>
    </row>
    <row r="738" spans="1:10" x14ac:dyDescent="0.25">
      <c r="A738">
        <v>737</v>
      </c>
      <c r="B738" t="s">
        <v>1634</v>
      </c>
      <c r="C738" t="s">
        <v>1619</v>
      </c>
      <c r="D738" t="s">
        <v>3852</v>
      </c>
      <c r="E738" t="s">
        <v>4149</v>
      </c>
      <c r="F738" t="s">
        <v>4114</v>
      </c>
      <c r="G738" t="s">
        <v>4133</v>
      </c>
      <c r="H738" t="s">
        <v>2494</v>
      </c>
      <c r="I738">
        <v>2004</v>
      </c>
      <c r="J738" t="s">
        <v>4147</v>
      </c>
    </row>
    <row r="739" spans="1:10" x14ac:dyDescent="0.25">
      <c r="A739">
        <v>738</v>
      </c>
      <c r="B739" t="s">
        <v>2878</v>
      </c>
      <c r="C739" t="s">
        <v>1427</v>
      </c>
      <c r="D739" t="s">
        <v>3853</v>
      </c>
      <c r="E739" t="s">
        <v>4120</v>
      </c>
      <c r="F739" t="s">
        <v>4114</v>
      </c>
      <c r="G739" t="s">
        <v>4115</v>
      </c>
      <c r="H739" t="s">
        <v>2603</v>
      </c>
      <c r="I739">
        <v>2003</v>
      </c>
      <c r="J739" t="s">
        <v>4125</v>
      </c>
    </row>
    <row r="740" spans="1:10" x14ac:dyDescent="0.25">
      <c r="A740">
        <v>739</v>
      </c>
      <c r="B740" t="s">
        <v>1636</v>
      </c>
      <c r="C740" t="s">
        <v>1637</v>
      </c>
      <c r="D740" t="s">
        <v>3854</v>
      </c>
      <c r="E740" t="s">
        <v>4126</v>
      </c>
      <c r="F740" t="s">
        <v>4114</v>
      </c>
      <c r="G740" t="s">
        <v>4133</v>
      </c>
      <c r="H740" t="s">
        <v>2494</v>
      </c>
      <c r="I740">
        <v>1927</v>
      </c>
      <c r="J740" t="s">
        <v>4116</v>
      </c>
    </row>
    <row r="741" spans="1:10" x14ac:dyDescent="0.25">
      <c r="A741">
        <v>740</v>
      </c>
      <c r="B741" t="s">
        <v>1639</v>
      </c>
      <c r="C741" t="s">
        <v>1628</v>
      </c>
      <c r="D741" t="s">
        <v>3855</v>
      </c>
      <c r="E741" t="s">
        <v>4149</v>
      </c>
      <c r="F741" t="s">
        <v>4114</v>
      </c>
      <c r="G741" t="s">
        <v>4121</v>
      </c>
      <c r="H741" t="s">
        <v>2603</v>
      </c>
      <c r="I741">
        <v>1983</v>
      </c>
      <c r="J741" t="s">
        <v>4125</v>
      </c>
    </row>
    <row r="742" spans="1:10" x14ac:dyDescent="0.25">
      <c r="A742">
        <v>741</v>
      </c>
      <c r="B742" t="s">
        <v>2886</v>
      </c>
      <c r="C742" t="s">
        <v>1640</v>
      </c>
      <c r="D742" t="s">
        <v>3856</v>
      </c>
      <c r="E742" t="s">
        <v>4126</v>
      </c>
      <c r="F742" t="s">
        <v>4114</v>
      </c>
      <c r="G742" t="s">
        <v>4121</v>
      </c>
      <c r="H742" t="s">
        <v>2603</v>
      </c>
      <c r="I742">
        <v>1952</v>
      </c>
      <c r="J742" t="s">
        <v>4116</v>
      </c>
    </row>
    <row r="743" spans="1:10" x14ac:dyDescent="0.25">
      <c r="A743">
        <v>742</v>
      </c>
      <c r="B743" t="s">
        <v>2862</v>
      </c>
      <c r="C743" t="s">
        <v>125</v>
      </c>
      <c r="D743" t="s">
        <v>3857</v>
      </c>
      <c r="E743" t="s">
        <v>4129</v>
      </c>
      <c r="F743" t="s">
        <v>4114</v>
      </c>
      <c r="G743" t="s">
        <v>4121</v>
      </c>
      <c r="H743" t="s">
        <v>2603</v>
      </c>
      <c r="I743">
        <v>2001</v>
      </c>
      <c r="J743" t="s">
        <v>4116</v>
      </c>
    </row>
    <row r="744" spans="1:10" x14ac:dyDescent="0.25">
      <c r="A744">
        <v>743</v>
      </c>
      <c r="B744" t="s">
        <v>2863</v>
      </c>
      <c r="C744" t="s">
        <v>125</v>
      </c>
      <c r="D744" t="s">
        <v>3858</v>
      </c>
      <c r="E744" t="s">
        <v>4129</v>
      </c>
      <c r="F744" t="s">
        <v>4114</v>
      </c>
      <c r="G744" t="s">
        <v>4121</v>
      </c>
      <c r="H744" t="s">
        <v>2603</v>
      </c>
      <c r="I744">
        <v>1998</v>
      </c>
      <c r="J744" t="s">
        <v>4116</v>
      </c>
    </row>
    <row r="745" spans="1:10" x14ac:dyDescent="0.25">
      <c r="A745">
        <v>744</v>
      </c>
      <c r="B745" t="s">
        <v>3859</v>
      </c>
      <c r="C745" t="s">
        <v>125</v>
      </c>
      <c r="D745" t="s">
        <v>3860</v>
      </c>
      <c r="E745" t="s">
        <v>4129</v>
      </c>
      <c r="F745" t="s">
        <v>4114</v>
      </c>
      <c r="G745" t="s">
        <v>4121</v>
      </c>
      <c r="H745" t="s">
        <v>2603</v>
      </c>
      <c r="I745">
        <v>2013</v>
      </c>
      <c r="J745" t="s">
        <v>4116</v>
      </c>
    </row>
    <row r="746" spans="1:10" x14ac:dyDescent="0.25">
      <c r="A746">
        <v>745</v>
      </c>
      <c r="B746" t="s">
        <v>2864</v>
      </c>
      <c r="C746" t="s">
        <v>125</v>
      </c>
      <c r="D746" t="s">
        <v>3861</v>
      </c>
      <c r="E746" t="s">
        <v>4129</v>
      </c>
      <c r="F746" t="s">
        <v>4114</v>
      </c>
      <c r="G746" t="s">
        <v>4121</v>
      </c>
      <c r="H746" t="s">
        <v>2603</v>
      </c>
      <c r="I746">
        <v>2003</v>
      </c>
      <c r="J746" t="s">
        <v>4116</v>
      </c>
    </row>
    <row r="747" spans="1:10" x14ac:dyDescent="0.25">
      <c r="A747">
        <v>746</v>
      </c>
      <c r="B747" t="s">
        <v>1645</v>
      </c>
      <c r="C747" t="s">
        <v>1646</v>
      </c>
      <c r="D747" t="s">
        <v>3862</v>
      </c>
      <c r="E747" t="s">
        <v>4126</v>
      </c>
      <c r="F747" t="s">
        <v>4114</v>
      </c>
      <c r="G747" t="s">
        <v>4115</v>
      </c>
      <c r="H747" t="s">
        <v>2603</v>
      </c>
      <c r="I747">
        <v>1948</v>
      </c>
      <c r="J747" t="s">
        <v>4116</v>
      </c>
    </row>
    <row r="748" spans="1:10" x14ac:dyDescent="0.25">
      <c r="A748">
        <v>747</v>
      </c>
      <c r="B748" t="s">
        <v>2887</v>
      </c>
      <c r="C748" t="s">
        <v>1455</v>
      </c>
      <c r="D748" t="s">
        <v>3863</v>
      </c>
      <c r="E748" t="s">
        <v>4136</v>
      </c>
      <c r="F748" t="s">
        <v>4114</v>
      </c>
      <c r="G748" t="s">
        <v>4121</v>
      </c>
      <c r="H748" t="s">
        <v>2603</v>
      </c>
      <c r="I748">
        <v>2009</v>
      </c>
      <c r="J748" t="s">
        <v>4116</v>
      </c>
    </row>
    <row r="749" spans="1:10" x14ac:dyDescent="0.25">
      <c r="A749">
        <v>748</v>
      </c>
      <c r="B749" t="s">
        <v>2866</v>
      </c>
      <c r="C749" t="s">
        <v>1649</v>
      </c>
      <c r="D749" t="s">
        <v>3864</v>
      </c>
      <c r="E749" t="s">
        <v>4146</v>
      </c>
      <c r="F749" t="s">
        <v>4114</v>
      </c>
      <c r="G749" t="s">
        <v>4121</v>
      </c>
      <c r="H749" t="s">
        <v>2603</v>
      </c>
      <c r="I749">
        <v>2009</v>
      </c>
      <c r="J749" t="s">
        <v>4116</v>
      </c>
    </row>
    <row r="750" spans="1:10" x14ac:dyDescent="0.25">
      <c r="A750">
        <v>749</v>
      </c>
      <c r="B750" t="s">
        <v>2829</v>
      </c>
      <c r="C750" t="s">
        <v>1520</v>
      </c>
      <c r="D750" t="s">
        <v>3865</v>
      </c>
      <c r="E750" t="s">
        <v>4149</v>
      </c>
      <c r="F750" t="s">
        <v>4114</v>
      </c>
      <c r="G750" t="s">
        <v>4115</v>
      </c>
      <c r="H750" t="s">
        <v>2603</v>
      </c>
      <c r="I750">
        <v>2011</v>
      </c>
      <c r="J750" t="s">
        <v>4125</v>
      </c>
    </row>
    <row r="751" spans="1:10" x14ac:dyDescent="0.25">
      <c r="A751">
        <v>750</v>
      </c>
      <c r="B751" t="s">
        <v>3866</v>
      </c>
      <c r="C751" t="s">
        <v>269</v>
      </c>
      <c r="D751" t="s">
        <v>3867</v>
      </c>
      <c r="E751" t="s">
        <v>4120</v>
      </c>
      <c r="F751" t="s">
        <v>4114</v>
      </c>
      <c r="G751" t="s">
        <v>4121</v>
      </c>
      <c r="H751" t="s">
        <v>2603</v>
      </c>
      <c r="I751">
        <v>2002</v>
      </c>
      <c r="J751" t="s">
        <v>4116</v>
      </c>
    </row>
    <row r="752" spans="1:10" x14ac:dyDescent="0.25">
      <c r="A752">
        <v>751</v>
      </c>
      <c r="B752" t="s">
        <v>2879</v>
      </c>
      <c r="C752" t="s">
        <v>1427</v>
      </c>
      <c r="D752" t="s">
        <v>3868</v>
      </c>
      <c r="E752" t="s">
        <v>4120</v>
      </c>
      <c r="F752" t="s">
        <v>4114</v>
      </c>
      <c r="G752" t="s">
        <v>4115</v>
      </c>
      <c r="H752" t="s">
        <v>2603</v>
      </c>
      <c r="I752">
        <v>2000</v>
      </c>
      <c r="J752" t="s">
        <v>4125</v>
      </c>
    </row>
    <row r="753" spans="1:10" x14ac:dyDescent="0.25">
      <c r="A753">
        <v>752</v>
      </c>
      <c r="B753" t="s">
        <v>2880</v>
      </c>
      <c r="C753" t="s">
        <v>1427</v>
      </c>
      <c r="D753" t="s">
        <v>3869</v>
      </c>
      <c r="E753" t="s">
        <v>4120</v>
      </c>
      <c r="F753" t="s">
        <v>4114</v>
      </c>
      <c r="G753" t="s">
        <v>4115</v>
      </c>
      <c r="H753" t="s">
        <v>2603</v>
      </c>
      <c r="I753">
        <v>1999</v>
      </c>
      <c r="J753" t="s">
        <v>4125</v>
      </c>
    </row>
    <row r="754" spans="1:10" x14ac:dyDescent="0.25">
      <c r="A754">
        <v>753</v>
      </c>
      <c r="B754" t="s">
        <v>2881</v>
      </c>
      <c r="C754" t="s">
        <v>1427</v>
      </c>
      <c r="D754" t="s">
        <v>3870</v>
      </c>
      <c r="E754" t="s">
        <v>4120</v>
      </c>
      <c r="F754" t="s">
        <v>4114</v>
      </c>
      <c r="G754" t="s">
        <v>4115</v>
      </c>
      <c r="H754" t="s">
        <v>2603</v>
      </c>
      <c r="I754">
        <v>1998</v>
      </c>
      <c r="J754" t="s">
        <v>4125</v>
      </c>
    </row>
    <row r="755" spans="1:10" x14ac:dyDescent="0.25">
      <c r="A755">
        <v>754</v>
      </c>
      <c r="B755" t="s">
        <v>2865</v>
      </c>
      <c r="C755" t="s">
        <v>125</v>
      </c>
      <c r="D755" t="s">
        <v>3871</v>
      </c>
      <c r="E755" t="s">
        <v>4129</v>
      </c>
      <c r="F755" t="s">
        <v>4114</v>
      </c>
      <c r="G755" t="s">
        <v>4121</v>
      </c>
      <c r="H755" t="s">
        <v>2603</v>
      </c>
      <c r="I755">
        <v>2000</v>
      </c>
      <c r="J755" t="s">
        <v>4116</v>
      </c>
    </row>
    <row r="756" spans="1:10" x14ac:dyDescent="0.25">
      <c r="A756">
        <v>755</v>
      </c>
      <c r="B756" t="s">
        <v>2867</v>
      </c>
      <c r="C756" t="s">
        <v>1601</v>
      </c>
      <c r="D756" t="s">
        <v>3872</v>
      </c>
      <c r="E756" t="s">
        <v>4136</v>
      </c>
      <c r="F756" t="s">
        <v>4114</v>
      </c>
      <c r="G756" t="s">
        <v>4121</v>
      </c>
      <c r="H756" t="s">
        <v>2603</v>
      </c>
      <c r="I756">
        <v>2005</v>
      </c>
      <c r="J756" t="s">
        <v>4125</v>
      </c>
    </row>
    <row r="757" spans="1:10" x14ac:dyDescent="0.25">
      <c r="A757">
        <v>756</v>
      </c>
      <c r="B757" t="s">
        <v>2810</v>
      </c>
      <c r="C757" t="s">
        <v>813</v>
      </c>
      <c r="D757" t="s">
        <v>3873</v>
      </c>
      <c r="E757" t="s">
        <v>4136</v>
      </c>
      <c r="F757" t="s">
        <v>4114</v>
      </c>
      <c r="G757" t="s">
        <v>4121</v>
      </c>
      <c r="H757" t="s">
        <v>2603</v>
      </c>
      <c r="I757">
        <v>2011</v>
      </c>
      <c r="J757" t="s">
        <v>4125</v>
      </c>
    </row>
    <row r="758" spans="1:10" x14ac:dyDescent="0.25">
      <c r="A758">
        <v>757</v>
      </c>
      <c r="B758" t="s">
        <v>2840</v>
      </c>
      <c r="C758" t="s">
        <v>668</v>
      </c>
      <c r="D758" t="s">
        <v>3874</v>
      </c>
      <c r="E758" t="s">
        <v>4136</v>
      </c>
      <c r="F758" t="s">
        <v>4114</v>
      </c>
      <c r="G758" t="s">
        <v>4121</v>
      </c>
      <c r="H758" t="s">
        <v>2603</v>
      </c>
      <c r="I758">
        <v>2008</v>
      </c>
      <c r="J758" t="s">
        <v>4125</v>
      </c>
    </row>
    <row r="759" spans="1:10" x14ac:dyDescent="0.25">
      <c r="A759">
        <v>758</v>
      </c>
      <c r="B759" t="s">
        <v>2882</v>
      </c>
      <c r="C759" t="s">
        <v>1427</v>
      </c>
      <c r="D759" t="s">
        <v>3875</v>
      </c>
      <c r="E759" t="s">
        <v>4120</v>
      </c>
      <c r="F759" t="s">
        <v>4114</v>
      </c>
      <c r="G759" t="s">
        <v>4115</v>
      </c>
      <c r="H759" t="s">
        <v>2603</v>
      </c>
      <c r="I759">
        <v>1997</v>
      </c>
      <c r="J759" t="s">
        <v>4125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E6EC0-F007-4E95-87E8-5A4709192036}">
  <dimension ref="A1:D759"/>
  <sheetViews>
    <sheetView workbookViewId="0"/>
  </sheetViews>
  <sheetFormatPr defaultRowHeight="15" x14ac:dyDescent="0.25"/>
  <cols>
    <col min="1" max="1" width="6.5703125" bestFit="1" customWidth="1"/>
    <col min="2" max="2" width="81.140625" bestFit="1" customWidth="1"/>
    <col min="3" max="3" width="35.28515625" bestFit="1" customWidth="1"/>
    <col min="4" max="4" width="14.140625" bestFit="1" customWidth="1"/>
  </cols>
  <sheetData>
    <row r="1" spans="1:4" x14ac:dyDescent="0.25">
      <c r="A1" t="s">
        <v>2503</v>
      </c>
      <c r="B1" t="s">
        <v>1</v>
      </c>
      <c r="C1" t="s">
        <v>3</v>
      </c>
      <c r="D1" t="s">
        <v>1662</v>
      </c>
    </row>
    <row r="2" spans="1:4" x14ac:dyDescent="0.25">
      <c r="A2">
        <v>1</v>
      </c>
      <c r="B2" t="s">
        <v>2888</v>
      </c>
      <c r="C2" t="s">
        <v>13</v>
      </c>
      <c r="D2" t="s">
        <v>2889</v>
      </c>
    </row>
    <row r="3" spans="1:4" x14ac:dyDescent="0.25">
      <c r="A3">
        <v>2</v>
      </c>
      <c r="B3" t="s">
        <v>2891</v>
      </c>
      <c r="C3" t="s">
        <v>23</v>
      </c>
      <c r="D3" t="s">
        <v>2892</v>
      </c>
    </row>
    <row r="4" spans="1:4" x14ac:dyDescent="0.25">
      <c r="A4">
        <v>3</v>
      </c>
      <c r="B4" t="s">
        <v>2893</v>
      </c>
      <c r="C4" t="s">
        <v>27</v>
      </c>
      <c r="D4" t="s">
        <v>2894</v>
      </c>
    </row>
    <row r="5" spans="1:4" x14ac:dyDescent="0.25">
      <c r="A5">
        <v>4</v>
      </c>
      <c r="B5" t="s">
        <v>2497</v>
      </c>
      <c r="C5" t="s">
        <v>30</v>
      </c>
      <c r="D5" t="s">
        <v>2895</v>
      </c>
    </row>
    <row r="6" spans="1:4" x14ac:dyDescent="0.25">
      <c r="A6">
        <v>5</v>
      </c>
      <c r="B6" t="s">
        <v>32</v>
      </c>
      <c r="C6" t="s">
        <v>23</v>
      </c>
      <c r="D6" t="s">
        <v>2896</v>
      </c>
    </row>
    <row r="7" spans="1:4" x14ac:dyDescent="0.25">
      <c r="A7">
        <v>6</v>
      </c>
      <c r="B7" t="s">
        <v>2897</v>
      </c>
      <c r="C7" t="s">
        <v>35</v>
      </c>
      <c r="D7" t="s">
        <v>2898</v>
      </c>
    </row>
    <row r="8" spans="1:4" x14ac:dyDescent="0.25">
      <c r="A8">
        <v>7</v>
      </c>
      <c r="B8" t="s">
        <v>2899</v>
      </c>
      <c r="C8" t="s">
        <v>23</v>
      </c>
      <c r="D8" t="s">
        <v>2900</v>
      </c>
    </row>
    <row r="9" spans="1:4" x14ac:dyDescent="0.25">
      <c r="A9">
        <v>8</v>
      </c>
      <c r="B9" t="s">
        <v>2902</v>
      </c>
      <c r="C9" t="s">
        <v>35</v>
      </c>
      <c r="D9" t="s">
        <v>2903</v>
      </c>
    </row>
    <row r="10" spans="1:4" x14ac:dyDescent="0.25">
      <c r="A10">
        <v>9</v>
      </c>
      <c r="B10" t="s">
        <v>2904</v>
      </c>
      <c r="C10" t="s">
        <v>35</v>
      </c>
      <c r="D10" t="s">
        <v>2905</v>
      </c>
    </row>
    <row r="11" spans="1:4" x14ac:dyDescent="0.25">
      <c r="A11">
        <v>10</v>
      </c>
      <c r="B11" t="s">
        <v>2906</v>
      </c>
      <c r="C11" t="s">
        <v>30</v>
      </c>
      <c r="D11" t="s">
        <v>2907</v>
      </c>
    </row>
    <row r="12" spans="1:4" x14ac:dyDescent="0.25">
      <c r="A12">
        <v>11</v>
      </c>
      <c r="B12" t="s">
        <v>2908</v>
      </c>
      <c r="C12" t="s">
        <v>35</v>
      </c>
      <c r="D12" t="s">
        <v>2909</v>
      </c>
    </row>
    <row r="13" spans="1:4" x14ac:dyDescent="0.25">
      <c r="A13">
        <v>12</v>
      </c>
      <c r="B13" t="s">
        <v>48</v>
      </c>
      <c r="C13" t="s">
        <v>49</v>
      </c>
      <c r="D13" t="s">
        <v>2910</v>
      </c>
    </row>
    <row r="14" spans="1:4" x14ac:dyDescent="0.25">
      <c r="A14">
        <v>13</v>
      </c>
      <c r="B14" t="s">
        <v>51</v>
      </c>
      <c r="C14" t="s">
        <v>52</v>
      </c>
      <c r="D14" t="s">
        <v>2911</v>
      </c>
    </row>
    <row r="15" spans="1:4" x14ac:dyDescent="0.25">
      <c r="A15">
        <v>14</v>
      </c>
      <c r="B15" t="s">
        <v>54</v>
      </c>
      <c r="C15" t="s">
        <v>55</v>
      </c>
      <c r="D15" t="s">
        <v>2912</v>
      </c>
    </row>
    <row r="16" spans="1:4" x14ac:dyDescent="0.25">
      <c r="A16">
        <v>15</v>
      </c>
      <c r="B16" t="s">
        <v>58</v>
      </c>
      <c r="C16" t="s">
        <v>35</v>
      </c>
      <c r="D16" t="s">
        <v>2913</v>
      </c>
    </row>
    <row r="17" spans="1:4" x14ac:dyDescent="0.25">
      <c r="A17">
        <v>16</v>
      </c>
      <c r="B17" t="s">
        <v>2914</v>
      </c>
      <c r="C17" t="s">
        <v>35</v>
      </c>
      <c r="D17" t="s">
        <v>2915</v>
      </c>
    </row>
    <row r="18" spans="1:4" x14ac:dyDescent="0.25">
      <c r="A18">
        <v>17</v>
      </c>
      <c r="B18" t="s">
        <v>61</v>
      </c>
      <c r="C18" t="s">
        <v>62</v>
      </c>
      <c r="D18" t="s">
        <v>2916</v>
      </c>
    </row>
    <row r="19" spans="1:4" x14ac:dyDescent="0.25">
      <c r="A19">
        <v>18</v>
      </c>
      <c r="B19" t="s">
        <v>64</v>
      </c>
      <c r="C19" t="s">
        <v>35</v>
      </c>
      <c r="D19" t="s">
        <v>2918</v>
      </c>
    </row>
    <row r="20" spans="1:4" x14ac:dyDescent="0.25">
      <c r="A20">
        <v>19</v>
      </c>
      <c r="B20" t="s">
        <v>2919</v>
      </c>
      <c r="C20" t="s">
        <v>35</v>
      </c>
      <c r="D20" t="s">
        <v>2920</v>
      </c>
    </row>
    <row r="21" spans="1:4" x14ac:dyDescent="0.25">
      <c r="A21">
        <v>20</v>
      </c>
      <c r="B21" t="s">
        <v>2921</v>
      </c>
      <c r="C21" t="s">
        <v>30</v>
      </c>
      <c r="D21" t="s">
        <v>2922</v>
      </c>
    </row>
    <row r="22" spans="1:4" x14ac:dyDescent="0.25">
      <c r="A22">
        <v>21</v>
      </c>
      <c r="B22" t="s">
        <v>69</v>
      </c>
      <c r="C22" t="s">
        <v>70</v>
      </c>
      <c r="D22" t="s">
        <v>2923</v>
      </c>
    </row>
    <row r="23" spans="1:4" x14ac:dyDescent="0.25">
      <c r="A23">
        <v>22</v>
      </c>
      <c r="B23" t="s">
        <v>2924</v>
      </c>
      <c r="C23" t="s">
        <v>35</v>
      </c>
      <c r="D23" t="s">
        <v>2925</v>
      </c>
    </row>
    <row r="24" spans="1:4" x14ac:dyDescent="0.25">
      <c r="A24">
        <v>23</v>
      </c>
      <c r="B24" t="s">
        <v>74</v>
      </c>
      <c r="C24" t="s">
        <v>75</v>
      </c>
      <c r="D24" t="s">
        <v>2926</v>
      </c>
    </row>
    <row r="25" spans="1:4" x14ac:dyDescent="0.25">
      <c r="A25">
        <v>24</v>
      </c>
      <c r="B25" t="s">
        <v>2927</v>
      </c>
      <c r="C25" t="s">
        <v>35</v>
      </c>
      <c r="D25" t="s">
        <v>2928</v>
      </c>
    </row>
    <row r="26" spans="1:4" x14ac:dyDescent="0.25">
      <c r="A26">
        <v>25</v>
      </c>
      <c r="B26" t="s">
        <v>2504</v>
      </c>
      <c r="C26" t="s">
        <v>80</v>
      </c>
      <c r="D26" t="s">
        <v>2929</v>
      </c>
    </row>
    <row r="27" spans="1:4" x14ac:dyDescent="0.25">
      <c r="A27">
        <v>26</v>
      </c>
      <c r="B27" t="s">
        <v>2505</v>
      </c>
      <c r="C27" t="s">
        <v>82</v>
      </c>
      <c r="D27" t="s">
        <v>2930</v>
      </c>
    </row>
    <row r="28" spans="1:4" x14ac:dyDescent="0.25">
      <c r="A28">
        <v>27</v>
      </c>
      <c r="B28" t="s">
        <v>2507</v>
      </c>
      <c r="C28" t="s">
        <v>84</v>
      </c>
      <c r="D28" t="s">
        <v>2931</v>
      </c>
    </row>
    <row r="29" spans="1:4" x14ac:dyDescent="0.25">
      <c r="A29">
        <v>28</v>
      </c>
      <c r="B29" t="s">
        <v>86</v>
      </c>
      <c r="C29" t="s">
        <v>87</v>
      </c>
      <c r="D29" t="s">
        <v>2932</v>
      </c>
    </row>
    <row r="30" spans="1:4" x14ac:dyDescent="0.25">
      <c r="A30">
        <v>29</v>
      </c>
      <c r="B30" t="s">
        <v>2509</v>
      </c>
      <c r="C30" t="s">
        <v>90</v>
      </c>
      <c r="D30" t="s">
        <v>2934</v>
      </c>
    </row>
    <row r="31" spans="1:4" x14ac:dyDescent="0.25">
      <c r="A31">
        <v>30</v>
      </c>
      <c r="B31" t="s">
        <v>2935</v>
      </c>
      <c r="C31" t="s">
        <v>94</v>
      </c>
      <c r="D31" t="s">
        <v>2936</v>
      </c>
    </row>
    <row r="32" spans="1:4" x14ac:dyDescent="0.25">
      <c r="A32">
        <v>31</v>
      </c>
      <c r="B32" t="s">
        <v>96</v>
      </c>
      <c r="C32" t="s">
        <v>97</v>
      </c>
      <c r="D32" t="s">
        <v>2937</v>
      </c>
    </row>
    <row r="33" spans="1:4" x14ac:dyDescent="0.25">
      <c r="A33">
        <v>32</v>
      </c>
      <c r="B33" t="s">
        <v>2512</v>
      </c>
      <c r="C33" t="s">
        <v>90</v>
      </c>
      <c r="D33" t="s">
        <v>2938</v>
      </c>
    </row>
    <row r="34" spans="1:4" x14ac:dyDescent="0.25">
      <c r="A34">
        <v>33</v>
      </c>
      <c r="B34" t="s">
        <v>2513</v>
      </c>
      <c r="C34" t="s">
        <v>90</v>
      </c>
      <c r="D34" t="s">
        <v>2939</v>
      </c>
    </row>
    <row r="35" spans="1:4" x14ac:dyDescent="0.25">
      <c r="A35">
        <v>34</v>
      </c>
      <c r="B35" t="s">
        <v>101</v>
      </c>
      <c r="C35" t="s">
        <v>102</v>
      </c>
      <c r="D35" t="s">
        <v>2940</v>
      </c>
    </row>
    <row r="36" spans="1:4" x14ac:dyDescent="0.25">
      <c r="A36">
        <v>35</v>
      </c>
      <c r="B36" t="s">
        <v>2514</v>
      </c>
      <c r="C36" t="s">
        <v>90</v>
      </c>
      <c r="D36" t="s">
        <v>2941</v>
      </c>
    </row>
    <row r="37" spans="1:4" x14ac:dyDescent="0.25">
      <c r="A37">
        <v>36</v>
      </c>
      <c r="B37" t="s">
        <v>2516</v>
      </c>
      <c r="C37" t="s">
        <v>90</v>
      </c>
      <c r="D37" t="s">
        <v>2942</v>
      </c>
    </row>
    <row r="38" spans="1:4" x14ac:dyDescent="0.25">
      <c r="A38">
        <v>37</v>
      </c>
      <c r="B38" t="s">
        <v>108</v>
      </c>
      <c r="C38" t="s">
        <v>94</v>
      </c>
      <c r="D38" t="s">
        <v>2943</v>
      </c>
    </row>
    <row r="39" spans="1:4" x14ac:dyDescent="0.25">
      <c r="A39">
        <v>38</v>
      </c>
      <c r="B39" t="s">
        <v>2517</v>
      </c>
      <c r="C39" t="s">
        <v>90</v>
      </c>
      <c r="D39" t="s">
        <v>2944</v>
      </c>
    </row>
    <row r="40" spans="1:4" x14ac:dyDescent="0.25">
      <c r="A40">
        <v>39</v>
      </c>
      <c r="B40" t="s">
        <v>2945</v>
      </c>
      <c r="C40" t="s">
        <v>90</v>
      </c>
      <c r="D40" t="s">
        <v>2946</v>
      </c>
    </row>
    <row r="41" spans="1:4" x14ac:dyDescent="0.25">
      <c r="A41">
        <v>40</v>
      </c>
      <c r="B41" t="s">
        <v>113</v>
      </c>
      <c r="C41" t="s">
        <v>114</v>
      </c>
      <c r="D41" t="s">
        <v>2947</v>
      </c>
    </row>
    <row r="42" spans="1:4" x14ac:dyDescent="0.25">
      <c r="A42">
        <v>41</v>
      </c>
      <c r="B42" t="s">
        <v>2948</v>
      </c>
      <c r="C42" t="s">
        <v>90</v>
      </c>
      <c r="D42" t="s">
        <v>2949</v>
      </c>
    </row>
    <row r="43" spans="1:4" x14ac:dyDescent="0.25">
      <c r="A43">
        <v>42</v>
      </c>
      <c r="B43" t="s">
        <v>2950</v>
      </c>
      <c r="C43" t="s">
        <v>39</v>
      </c>
      <c r="D43" t="s">
        <v>2951</v>
      </c>
    </row>
    <row r="44" spans="1:4" x14ac:dyDescent="0.25">
      <c r="A44">
        <v>43</v>
      </c>
      <c r="B44" t="s">
        <v>2952</v>
      </c>
      <c r="C44" t="s">
        <v>125</v>
      </c>
      <c r="D44" t="s">
        <v>2953</v>
      </c>
    </row>
    <row r="45" spans="1:4" x14ac:dyDescent="0.25">
      <c r="A45">
        <v>44</v>
      </c>
      <c r="B45" t="s">
        <v>2954</v>
      </c>
      <c r="C45" t="s">
        <v>127</v>
      </c>
      <c r="D45" t="s">
        <v>2955</v>
      </c>
    </row>
    <row r="46" spans="1:4" x14ac:dyDescent="0.25">
      <c r="A46">
        <v>45</v>
      </c>
      <c r="B46" t="s">
        <v>2956</v>
      </c>
      <c r="C46" t="s">
        <v>133</v>
      </c>
      <c r="D46" t="s">
        <v>2957</v>
      </c>
    </row>
    <row r="47" spans="1:4" x14ac:dyDescent="0.25">
      <c r="A47">
        <v>46</v>
      </c>
      <c r="B47" t="s">
        <v>2958</v>
      </c>
      <c r="C47" t="s">
        <v>80</v>
      </c>
      <c r="D47" t="s">
        <v>2959</v>
      </c>
    </row>
    <row r="48" spans="1:4" x14ac:dyDescent="0.25">
      <c r="A48">
        <v>47</v>
      </c>
      <c r="B48" t="s">
        <v>137</v>
      </c>
      <c r="C48" t="s">
        <v>138</v>
      </c>
      <c r="D48" t="s">
        <v>2960</v>
      </c>
    </row>
    <row r="49" spans="1:4" x14ac:dyDescent="0.25">
      <c r="A49">
        <v>48</v>
      </c>
      <c r="B49" t="s">
        <v>140</v>
      </c>
      <c r="C49" t="s">
        <v>141</v>
      </c>
      <c r="D49" t="s">
        <v>2961</v>
      </c>
    </row>
    <row r="50" spans="1:4" x14ac:dyDescent="0.25">
      <c r="A50">
        <v>49</v>
      </c>
      <c r="B50" t="s">
        <v>143</v>
      </c>
      <c r="C50" t="s">
        <v>144</v>
      </c>
      <c r="D50" t="s">
        <v>2962</v>
      </c>
    </row>
    <row r="51" spans="1:4" x14ac:dyDescent="0.25">
      <c r="A51">
        <v>50</v>
      </c>
      <c r="B51" t="s">
        <v>2963</v>
      </c>
      <c r="C51" t="s">
        <v>90</v>
      </c>
      <c r="D51" t="s">
        <v>2964</v>
      </c>
    </row>
    <row r="52" spans="1:4" x14ac:dyDescent="0.25">
      <c r="A52">
        <v>51</v>
      </c>
      <c r="B52" t="s">
        <v>148</v>
      </c>
      <c r="C52" t="s">
        <v>149</v>
      </c>
      <c r="D52" t="s">
        <v>2965</v>
      </c>
    </row>
    <row r="53" spans="1:4" x14ac:dyDescent="0.25">
      <c r="A53">
        <v>52</v>
      </c>
      <c r="B53" t="s">
        <v>2966</v>
      </c>
      <c r="C53" t="s">
        <v>90</v>
      </c>
      <c r="D53" t="s">
        <v>2967</v>
      </c>
    </row>
    <row r="54" spans="1:4" x14ac:dyDescent="0.25">
      <c r="A54">
        <v>53</v>
      </c>
      <c r="B54" t="s">
        <v>2968</v>
      </c>
      <c r="C54" t="s">
        <v>133</v>
      </c>
      <c r="D54" t="s">
        <v>2969</v>
      </c>
    </row>
    <row r="55" spans="1:4" x14ac:dyDescent="0.25">
      <c r="A55">
        <v>54</v>
      </c>
      <c r="B55" t="s">
        <v>2522</v>
      </c>
      <c r="C55" t="s">
        <v>157</v>
      </c>
      <c r="D55" t="s">
        <v>2970</v>
      </c>
    </row>
    <row r="56" spans="1:4" x14ac:dyDescent="0.25">
      <c r="A56">
        <v>55</v>
      </c>
      <c r="B56" t="s">
        <v>2971</v>
      </c>
      <c r="C56" t="s">
        <v>163</v>
      </c>
      <c r="D56" t="s">
        <v>2972</v>
      </c>
    </row>
    <row r="57" spans="1:4" x14ac:dyDescent="0.25">
      <c r="A57">
        <v>56</v>
      </c>
      <c r="B57" t="s">
        <v>2973</v>
      </c>
      <c r="C57" t="s">
        <v>167</v>
      </c>
      <c r="D57" t="s">
        <v>2974</v>
      </c>
    </row>
    <row r="58" spans="1:4" x14ac:dyDescent="0.25">
      <c r="A58">
        <v>57</v>
      </c>
      <c r="B58" t="s">
        <v>169</v>
      </c>
      <c r="C58" t="s">
        <v>170</v>
      </c>
      <c r="D58" t="s">
        <v>2975</v>
      </c>
    </row>
    <row r="59" spans="1:4" x14ac:dyDescent="0.25">
      <c r="A59">
        <v>58</v>
      </c>
      <c r="B59" t="s">
        <v>2977</v>
      </c>
      <c r="C59" t="s">
        <v>174</v>
      </c>
      <c r="D59" t="s">
        <v>2978</v>
      </c>
    </row>
    <row r="60" spans="1:4" x14ac:dyDescent="0.25">
      <c r="A60">
        <v>59</v>
      </c>
      <c r="B60" t="s">
        <v>176</v>
      </c>
      <c r="C60" t="s">
        <v>177</v>
      </c>
      <c r="D60" t="s">
        <v>2979</v>
      </c>
    </row>
    <row r="61" spans="1:4" x14ac:dyDescent="0.25">
      <c r="A61">
        <v>60</v>
      </c>
      <c r="B61" t="s">
        <v>179</v>
      </c>
      <c r="C61" t="s">
        <v>180</v>
      </c>
      <c r="D61" t="s">
        <v>2980</v>
      </c>
    </row>
    <row r="62" spans="1:4" x14ac:dyDescent="0.25">
      <c r="A62">
        <v>61</v>
      </c>
      <c r="B62" t="s">
        <v>2981</v>
      </c>
      <c r="C62" t="s">
        <v>184</v>
      </c>
      <c r="D62" t="s">
        <v>2982</v>
      </c>
    </row>
    <row r="63" spans="1:4" x14ac:dyDescent="0.25">
      <c r="A63">
        <v>62</v>
      </c>
      <c r="B63" t="s">
        <v>186</v>
      </c>
      <c r="C63" t="s">
        <v>20</v>
      </c>
      <c r="D63" t="s">
        <v>2983</v>
      </c>
    </row>
    <row r="64" spans="1:4" x14ac:dyDescent="0.25">
      <c r="A64">
        <v>63</v>
      </c>
      <c r="B64" t="s">
        <v>188</v>
      </c>
      <c r="C64" t="s">
        <v>159</v>
      </c>
      <c r="D64" t="s">
        <v>2984</v>
      </c>
    </row>
    <row r="65" spans="1:4" x14ac:dyDescent="0.25">
      <c r="A65">
        <v>64</v>
      </c>
      <c r="B65" t="s">
        <v>189</v>
      </c>
      <c r="C65" t="s">
        <v>190</v>
      </c>
      <c r="D65" t="s">
        <v>2985</v>
      </c>
    </row>
    <row r="66" spans="1:4" x14ac:dyDescent="0.25">
      <c r="A66">
        <v>65</v>
      </c>
      <c r="B66" t="s">
        <v>2986</v>
      </c>
      <c r="C66" t="s">
        <v>174</v>
      </c>
      <c r="D66" t="s">
        <v>2987</v>
      </c>
    </row>
    <row r="67" spans="1:4" x14ac:dyDescent="0.25">
      <c r="A67">
        <v>66</v>
      </c>
      <c r="B67" t="s">
        <v>194</v>
      </c>
      <c r="C67" t="s">
        <v>195</v>
      </c>
      <c r="D67" t="s">
        <v>2988</v>
      </c>
    </row>
    <row r="68" spans="1:4" x14ac:dyDescent="0.25">
      <c r="A68">
        <v>67</v>
      </c>
      <c r="B68" t="s">
        <v>2989</v>
      </c>
      <c r="C68" t="s">
        <v>39</v>
      </c>
      <c r="D68" t="s">
        <v>2990</v>
      </c>
    </row>
    <row r="69" spans="1:4" x14ac:dyDescent="0.25">
      <c r="A69">
        <v>68</v>
      </c>
      <c r="B69" t="s">
        <v>2991</v>
      </c>
      <c r="C69" t="s">
        <v>203</v>
      </c>
      <c r="D69" t="s">
        <v>2992</v>
      </c>
    </row>
    <row r="70" spans="1:4" x14ac:dyDescent="0.25">
      <c r="A70">
        <v>69</v>
      </c>
      <c r="B70" t="s">
        <v>2993</v>
      </c>
      <c r="C70" t="s">
        <v>207</v>
      </c>
      <c r="D70" t="s">
        <v>2994</v>
      </c>
    </row>
    <row r="71" spans="1:4" x14ac:dyDescent="0.25">
      <c r="A71">
        <v>70</v>
      </c>
      <c r="B71" t="s">
        <v>209</v>
      </c>
      <c r="C71" t="s">
        <v>210</v>
      </c>
      <c r="D71" t="s">
        <v>2995</v>
      </c>
    </row>
    <row r="72" spans="1:4" x14ac:dyDescent="0.25">
      <c r="A72">
        <v>71</v>
      </c>
      <c r="B72" t="s">
        <v>2996</v>
      </c>
      <c r="C72" t="s">
        <v>39</v>
      </c>
      <c r="D72" t="s">
        <v>2997</v>
      </c>
    </row>
    <row r="73" spans="1:4" x14ac:dyDescent="0.25">
      <c r="A73">
        <v>72</v>
      </c>
      <c r="B73" t="s">
        <v>214</v>
      </c>
      <c r="C73" t="s">
        <v>215</v>
      </c>
      <c r="D73" t="s">
        <v>2998</v>
      </c>
    </row>
    <row r="74" spans="1:4" x14ac:dyDescent="0.25">
      <c r="A74">
        <v>73</v>
      </c>
      <c r="B74" t="s">
        <v>217</v>
      </c>
      <c r="C74" t="s">
        <v>215</v>
      </c>
      <c r="D74" t="s">
        <v>2999</v>
      </c>
    </row>
    <row r="75" spans="1:4" x14ac:dyDescent="0.25">
      <c r="A75">
        <v>74</v>
      </c>
      <c r="B75" t="s">
        <v>3000</v>
      </c>
      <c r="C75" t="s">
        <v>220</v>
      </c>
      <c r="D75" t="s">
        <v>3001</v>
      </c>
    </row>
    <row r="76" spans="1:4" x14ac:dyDescent="0.25">
      <c r="A76">
        <v>75</v>
      </c>
      <c r="B76" t="s">
        <v>222</v>
      </c>
      <c r="C76" t="s">
        <v>215</v>
      </c>
      <c r="D76" t="s">
        <v>3002</v>
      </c>
    </row>
    <row r="77" spans="1:4" x14ac:dyDescent="0.25">
      <c r="A77">
        <v>76</v>
      </c>
      <c r="B77" t="s">
        <v>223</v>
      </c>
      <c r="C77" t="s">
        <v>224</v>
      </c>
      <c r="D77" t="s">
        <v>3003</v>
      </c>
    </row>
    <row r="78" spans="1:4" x14ac:dyDescent="0.25">
      <c r="A78">
        <v>77</v>
      </c>
      <c r="B78" t="s">
        <v>3004</v>
      </c>
      <c r="C78" t="s">
        <v>174</v>
      </c>
      <c r="D78" t="s">
        <v>3005</v>
      </c>
    </row>
    <row r="79" spans="1:4" x14ac:dyDescent="0.25">
      <c r="A79">
        <v>78</v>
      </c>
      <c r="B79" t="s">
        <v>230</v>
      </c>
      <c r="C79" t="s">
        <v>231</v>
      </c>
      <c r="D79" t="s">
        <v>3007</v>
      </c>
    </row>
    <row r="80" spans="1:4" x14ac:dyDescent="0.25">
      <c r="A80">
        <v>79</v>
      </c>
      <c r="B80" t="s">
        <v>233</v>
      </c>
      <c r="C80" t="s">
        <v>215</v>
      </c>
      <c r="D80" t="s">
        <v>3008</v>
      </c>
    </row>
    <row r="81" spans="1:4" x14ac:dyDescent="0.25">
      <c r="A81">
        <v>80</v>
      </c>
      <c r="B81" t="s">
        <v>3009</v>
      </c>
      <c r="C81" t="s">
        <v>127</v>
      </c>
      <c r="D81" t="s">
        <v>3010</v>
      </c>
    </row>
    <row r="82" spans="1:4" x14ac:dyDescent="0.25">
      <c r="A82">
        <v>81</v>
      </c>
      <c r="B82" t="s">
        <v>236</v>
      </c>
      <c r="C82" t="s">
        <v>237</v>
      </c>
      <c r="D82" t="s">
        <v>3011</v>
      </c>
    </row>
    <row r="83" spans="1:4" x14ac:dyDescent="0.25">
      <c r="A83">
        <v>82</v>
      </c>
      <c r="B83" t="s">
        <v>3012</v>
      </c>
      <c r="C83" t="s">
        <v>241</v>
      </c>
      <c r="D83" t="s">
        <v>3013</v>
      </c>
    </row>
    <row r="84" spans="1:4" x14ac:dyDescent="0.25">
      <c r="A84">
        <v>83</v>
      </c>
      <c r="B84" t="s">
        <v>243</v>
      </c>
      <c r="C84" t="s">
        <v>215</v>
      </c>
      <c r="D84" t="s">
        <v>3014</v>
      </c>
    </row>
    <row r="85" spans="1:4" x14ac:dyDescent="0.25">
      <c r="A85">
        <v>84</v>
      </c>
      <c r="B85" t="s">
        <v>3015</v>
      </c>
      <c r="C85" t="s">
        <v>163</v>
      </c>
      <c r="D85" t="s">
        <v>3016</v>
      </c>
    </row>
    <row r="86" spans="1:4" x14ac:dyDescent="0.25">
      <c r="A86">
        <v>85</v>
      </c>
      <c r="B86" t="s">
        <v>3017</v>
      </c>
      <c r="C86" t="s">
        <v>163</v>
      </c>
      <c r="D86" t="s">
        <v>3018</v>
      </c>
    </row>
    <row r="87" spans="1:4" x14ac:dyDescent="0.25">
      <c r="A87">
        <v>86</v>
      </c>
      <c r="B87" t="s">
        <v>2543</v>
      </c>
      <c r="C87" t="s">
        <v>125</v>
      </c>
      <c r="D87" t="s">
        <v>3019</v>
      </c>
    </row>
    <row r="88" spans="1:4" x14ac:dyDescent="0.25">
      <c r="A88">
        <v>87</v>
      </c>
      <c r="B88" t="s">
        <v>249</v>
      </c>
      <c r="C88" t="s">
        <v>250</v>
      </c>
      <c r="D88" t="s">
        <v>3020</v>
      </c>
    </row>
    <row r="89" spans="1:4" x14ac:dyDescent="0.25">
      <c r="A89">
        <v>88</v>
      </c>
      <c r="B89" t="s">
        <v>3021</v>
      </c>
      <c r="C89" t="s">
        <v>163</v>
      </c>
      <c r="D89" t="s">
        <v>3022</v>
      </c>
    </row>
    <row r="90" spans="1:4" x14ac:dyDescent="0.25">
      <c r="A90">
        <v>89</v>
      </c>
      <c r="B90" t="s">
        <v>254</v>
      </c>
      <c r="C90" t="s">
        <v>255</v>
      </c>
      <c r="D90" t="s">
        <v>3023</v>
      </c>
    </row>
    <row r="91" spans="1:4" x14ac:dyDescent="0.25">
      <c r="A91">
        <v>90</v>
      </c>
      <c r="B91" t="s">
        <v>3024</v>
      </c>
      <c r="C91" t="s">
        <v>163</v>
      </c>
      <c r="D91" t="s">
        <v>3025</v>
      </c>
    </row>
    <row r="92" spans="1:4" x14ac:dyDescent="0.25">
      <c r="A92">
        <v>91</v>
      </c>
      <c r="B92" t="s">
        <v>3026</v>
      </c>
      <c r="C92" t="s">
        <v>261</v>
      </c>
      <c r="D92" t="s">
        <v>3027</v>
      </c>
    </row>
    <row r="93" spans="1:4" x14ac:dyDescent="0.25">
      <c r="A93">
        <v>92</v>
      </c>
      <c r="B93" t="s">
        <v>3028</v>
      </c>
      <c r="C93" t="s">
        <v>163</v>
      </c>
      <c r="D93" t="s">
        <v>3029</v>
      </c>
    </row>
    <row r="94" spans="1:4" x14ac:dyDescent="0.25">
      <c r="A94">
        <v>93</v>
      </c>
      <c r="B94" t="s">
        <v>3030</v>
      </c>
      <c r="C94" t="s">
        <v>269</v>
      </c>
      <c r="D94" t="s">
        <v>3031</v>
      </c>
    </row>
    <row r="95" spans="1:4" x14ac:dyDescent="0.25">
      <c r="A95">
        <v>94</v>
      </c>
      <c r="B95" t="s">
        <v>2546</v>
      </c>
      <c r="C95" t="s">
        <v>174</v>
      </c>
      <c r="D95" t="s">
        <v>3032</v>
      </c>
    </row>
    <row r="96" spans="1:4" x14ac:dyDescent="0.25">
      <c r="A96">
        <v>95</v>
      </c>
      <c r="B96" t="s">
        <v>3033</v>
      </c>
      <c r="C96" t="s">
        <v>203</v>
      </c>
      <c r="D96" t="s">
        <v>3034</v>
      </c>
    </row>
    <row r="97" spans="1:4" x14ac:dyDescent="0.25">
      <c r="A97">
        <v>96</v>
      </c>
      <c r="B97" t="s">
        <v>3035</v>
      </c>
      <c r="C97" t="s">
        <v>174</v>
      </c>
      <c r="D97" t="s">
        <v>3036</v>
      </c>
    </row>
    <row r="98" spans="1:4" x14ac:dyDescent="0.25">
      <c r="A98">
        <v>97</v>
      </c>
      <c r="B98" t="s">
        <v>275</v>
      </c>
      <c r="C98" t="s">
        <v>276</v>
      </c>
      <c r="D98" t="s">
        <v>3037</v>
      </c>
    </row>
    <row r="99" spans="1:4" x14ac:dyDescent="0.25">
      <c r="A99">
        <v>98</v>
      </c>
      <c r="B99" t="s">
        <v>3038</v>
      </c>
      <c r="C99" t="s">
        <v>280</v>
      </c>
      <c r="D99" t="s">
        <v>3039</v>
      </c>
    </row>
    <row r="100" spans="1:4" x14ac:dyDescent="0.25">
      <c r="A100">
        <v>99</v>
      </c>
      <c r="B100" t="s">
        <v>3040</v>
      </c>
      <c r="C100" t="s">
        <v>203</v>
      </c>
      <c r="D100" t="s">
        <v>3041</v>
      </c>
    </row>
    <row r="101" spans="1:4" x14ac:dyDescent="0.25">
      <c r="A101">
        <v>100</v>
      </c>
      <c r="B101" t="s">
        <v>3042</v>
      </c>
      <c r="C101" t="s">
        <v>220</v>
      </c>
      <c r="D101" t="s">
        <v>3043</v>
      </c>
    </row>
    <row r="102" spans="1:4" x14ac:dyDescent="0.25">
      <c r="A102">
        <v>101</v>
      </c>
      <c r="B102" t="s">
        <v>286</v>
      </c>
      <c r="C102" t="s">
        <v>287</v>
      </c>
      <c r="D102" t="s">
        <v>3044</v>
      </c>
    </row>
    <row r="103" spans="1:4" x14ac:dyDescent="0.25">
      <c r="A103">
        <v>102</v>
      </c>
      <c r="B103" t="s">
        <v>289</v>
      </c>
      <c r="C103" t="s">
        <v>290</v>
      </c>
      <c r="D103" t="s">
        <v>3045</v>
      </c>
    </row>
    <row r="104" spans="1:4" x14ac:dyDescent="0.25">
      <c r="A104">
        <v>103</v>
      </c>
      <c r="B104" t="s">
        <v>292</v>
      </c>
      <c r="C104" t="s">
        <v>149</v>
      </c>
      <c r="D104" t="s">
        <v>3046</v>
      </c>
    </row>
    <row r="105" spans="1:4" x14ac:dyDescent="0.25">
      <c r="A105">
        <v>104</v>
      </c>
      <c r="B105" t="s">
        <v>3047</v>
      </c>
      <c r="C105" t="s">
        <v>149</v>
      </c>
      <c r="D105" t="s">
        <v>3048</v>
      </c>
    </row>
    <row r="106" spans="1:4" x14ac:dyDescent="0.25">
      <c r="A106">
        <v>105</v>
      </c>
      <c r="B106" t="s">
        <v>3049</v>
      </c>
      <c r="C106" t="s">
        <v>220</v>
      </c>
      <c r="D106" t="s">
        <v>3050</v>
      </c>
    </row>
    <row r="107" spans="1:4" x14ac:dyDescent="0.25">
      <c r="A107">
        <v>106</v>
      </c>
      <c r="B107" t="s">
        <v>297</v>
      </c>
      <c r="C107" t="s">
        <v>298</v>
      </c>
      <c r="D107" t="s">
        <v>3051</v>
      </c>
    </row>
    <row r="108" spans="1:4" x14ac:dyDescent="0.25">
      <c r="A108">
        <v>107</v>
      </c>
      <c r="B108" t="s">
        <v>3052</v>
      </c>
      <c r="C108" t="s">
        <v>302</v>
      </c>
      <c r="D108" t="s">
        <v>3053</v>
      </c>
    </row>
    <row r="109" spans="1:4" x14ac:dyDescent="0.25">
      <c r="A109">
        <v>108</v>
      </c>
      <c r="B109" t="s">
        <v>2557</v>
      </c>
      <c r="C109" t="s">
        <v>304</v>
      </c>
      <c r="D109" t="s">
        <v>3054</v>
      </c>
    </row>
    <row r="110" spans="1:4" x14ac:dyDescent="0.25">
      <c r="A110">
        <v>109</v>
      </c>
      <c r="B110" t="s">
        <v>3055</v>
      </c>
      <c r="C110" t="s">
        <v>127</v>
      </c>
      <c r="D110" t="s">
        <v>3056</v>
      </c>
    </row>
    <row r="111" spans="1:4" x14ac:dyDescent="0.25">
      <c r="A111">
        <v>110</v>
      </c>
      <c r="B111" t="s">
        <v>3057</v>
      </c>
      <c r="C111" t="s">
        <v>27</v>
      </c>
      <c r="D111" t="s">
        <v>3058</v>
      </c>
    </row>
    <row r="112" spans="1:4" x14ac:dyDescent="0.25">
      <c r="A112">
        <v>111</v>
      </c>
      <c r="B112" t="s">
        <v>3059</v>
      </c>
      <c r="C112" t="s">
        <v>27</v>
      </c>
      <c r="D112" t="s">
        <v>3060</v>
      </c>
    </row>
    <row r="113" spans="1:4" x14ac:dyDescent="0.25">
      <c r="A113">
        <v>112</v>
      </c>
      <c r="B113" t="s">
        <v>312</v>
      </c>
      <c r="C113" t="s">
        <v>302</v>
      </c>
      <c r="D113" t="s">
        <v>3061</v>
      </c>
    </row>
    <row r="114" spans="1:4" x14ac:dyDescent="0.25">
      <c r="A114">
        <v>113</v>
      </c>
      <c r="B114" t="s">
        <v>3062</v>
      </c>
      <c r="C114" t="s">
        <v>315</v>
      </c>
      <c r="D114" t="s">
        <v>3063</v>
      </c>
    </row>
    <row r="115" spans="1:4" x14ac:dyDescent="0.25">
      <c r="A115">
        <v>114</v>
      </c>
      <c r="B115" t="s">
        <v>317</v>
      </c>
      <c r="C115" t="s">
        <v>197</v>
      </c>
      <c r="D115" t="s">
        <v>3064</v>
      </c>
    </row>
    <row r="116" spans="1:4" x14ac:dyDescent="0.25">
      <c r="A116">
        <v>115</v>
      </c>
      <c r="B116" t="s">
        <v>318</v>
      </c>
      <c r="C116" t="s">
        <v>319</v>
      </c>
      <c r="D116" t="s">
        <v>3065</v>
      </c>
    </row>
    <row r="117" spans="1:4" x14ac:dyDescent="0.25">
      <c r="A117">
        <v>116</v>
      </c>
      <c r="B117" t="s">
        <v>321</v>
      </c>
      <c r="C117" t="s">
        <v>322</v>
      </c>
      <c r="D117" t="s">
        <v>3066</v>
      </c>
    </row>
    <row r="118" spans="1:4" x14ac:dyDescent="0.25">
      <c r="A118">
        <v>117</v>
      </c>
      <c r="B118" t="s">
        <v>324</v>
      </c>
      <c r="C118" t="s">
        <v>163</v>
      </c>
      <c r="D118" t="s">
        <v>3067</v>
      </c>
    </row>
    <row r="119" spans="1:4" x14ac:dyDescent="0.25">
      <c r="A119">
        <v>118</v>
      </c>
      <c r="B119" t="s">
        <v>325</v>
      </c>
      <c r="C119" t="s">
        <v>326</v>
      </c>
      <c r="D119" t="s">
        <v>3068</v>
      </c>
    </row>
    <row r="120" spans="1:4" x14ac:dyDescent="0.25">
      <c r="A120">
        <v>119</v>
      </c>
      <c r="B120" t="s">
        <v>328</v>
      </c>
      <c r="C120" t="s">
        <v>329</v>
      </c>
      <c r="D120" t="s">
        <v>3069</v>
      </c>
    </row>
    <row r="121" spans="1:4" x14ac:dyDescent="0.25">
      <c r="A121">
        <v>120</v>
      </c>
      <c r="B121" t="s">
        <v>331</v>
      </c>
      <c r="C121" t="s">
        <v>332</v>
      </c>
      <c r="D121" t="s">
        <v>3070</v>
      </c>
    </row>
    <row r="122" spans="1:4" x14ac:dyDescent="0.25">
      <c r="A122">
        <v>121</v>
      </c>
      <c r="B122" t="s">
        <v>334</v>
      </c>
      <c r="C122" t="s">
        <v>335</v>
      </c>
      <c r="D122" t="s">
        <v>3071</v>
      </c>
    </row>
    <row r="123" spans="1:4" x14ac:dyDescent="0.25">
      <c r="A123">
        <v>122</v>
      </c>
      <c r="B123" t="s">
        <v>336</v>
      </c>
      <c r="C123" t="s">
        <v>337</v>
      </c>
      <c r="D123" t="s">
        <v>3072</v>
      </c>
    </row>
    <row r="124" spans="1:4" x14ac:dyDescent="0.25">
      <c r="A124">
        <v>123</v>
      </c>
      <c r="B124" t="s">
        <v>339</v>
      </c>
      <c r="C124" t="s">
        <v>163</v>
      </c>
      <c r="D124" t="s">
        <v>3073</v>
      </c>
    </row>
    <row r="125" spans="1:4" x14ac:dyDescent="0.25">
      <c r="A125">
        <v>124</v>
      </c>
      <c r="B125" t="s">
        <v>340</v>
      </c>
      <c r="C125" t="s">
        <v>341</v>
      </c>
      <c r="D125" t="s">
        <v>3074</v>
      </c>
    </row>
    <row r="126" spans="1:4" x14ac:dyDescent="0.25">
      <c r="A126">
        <v>125</v>
      </c>
      <c r="B126" t="s">
        <v>343</v>
      </c>
      <c r="C126" t="s">
        <v>344</v>
      </c>
      <c r="D126" t="s">
        <v>3075</v>
      </c>
    </row>
    <row r="127" spans="1:4" x14ac:dyDescent="0.25">
      <c r="A127">
        <v>126</v>
      </c>
      <c r="B127" t="s">
        <v>3076</v>
      </c>
      <c r="C127" t="s">
        <v>241</v>
      </c>
      <c r="D127" t="s">
        <v>3077</v>
      </c>
    </row>
    <row r="128" spans="1:4" x14ac:dyDescent="0.25">
      <c r="A128">
        <v>127</v>
      </c>
      <c r="B128" t="s">
        <v>348</v>
      </c>
      <c r="C128" t="s">
        <v>349</v>
      </c>
      <c r="D128" t="s">
        <v>3078</v>
      </c>
    </row>
    <row r="129" spans="1:4" x14ac:dyDescent="0.25">
      <c r="A129">
        <v>128</v>
      </c>
      <c r="B129" t="s">
        <v>351</v>
      </c>
      <c r="C129" t="s">
        <v>352</v>
      </c>
      <c r="D129" t="s">
        <v>3079</v>
      </c>
    </row>
    <row r="130" spans="1:4" x14ac:dyDescent="0.25">
      <c r="A130">
        <v>129</v>
      </c>
      <c r="B130" t="s">
        <v>354</v>
      </c>
      <c r="C130" t="s">
        <v>62</v>
      </c>
      <c r="D130" t="s">
        <v>3080</v>
      </c>
    </row>
    <row r="131" spans="1:4" x14ac:dyDescent="0.25">
      <c r="A131">
        <v>130</v>
      </c>
      <c r="B131" t="s">
        <v>355</v>
      </c>
      <c r="C131" t="s">
        <v>356</v>
      </c>
      <c r="D131" t="s">
        <v>3081</v>
      </c>
    </row>
    <row r="132" spans="1:4" x14ac:dyDescent="0.25">
      <c r="A132">
        <v>131</v>
      </c>
      <c r="B132" t="s">
        <v>358</v>
      </c>
      <c r="C132" t="s">
        <v>359</v>
      </c>
      <c r="D132" t="s">
        <v>3082</v>
      </c>
    </row>
    <row r="133" spans="1:4" x14ac:dyDescent="0.25">
      <c r="A133">
        <v>132</v>
      </c>
      <c r="B133" t="s">
        <v>2569</v>
      </c>
      <c r="C133" t="s">
        <v>361</v>
      </c>
      <c r="D133" t="s">
        <v>3083</v>
      </c>
    </row>
    <row r="134" spans="1:4" x14ac:dyDescent="0.25">
      <c r="A134">
        <v>133</v>
      </c>
      <c r="B134" t="s">
        <v>363</v>
      </c>
      <c r="C134" t="s">
        <v>364</v>
      </c>
      <c r="D134" t="s">
        <v>3084</v>
      </c>
    </row>
    <row r="135" spans="1:4" x14ac:dyDescent="0.25">
      <c r="A135">
        <v>134</v>
      </c>
      <c r="B135" t="s">
        <v>366</v>
      </c>
      <c r="C135" t="s">
        <v>367</v>
      </c>
      <c r="D135" t="s">
        <v>3085</v>
      </c>
    </row>
    <row r="136" spans="1:4" x14ac:dyDescent="0.25">
      <c r="A136">
        <v>135</v>
      </c>
      <c r="B136" t="s">
        <v>369</v>
      </c>
      <c r="C136" t="s">
        <v>370</v>
      </c>
      <c r="D136" t="s">
        <v>3086</v>
      </c>
    </row>
    <row r="137" spans="1:4" x14ac:dyDescent="0.25">
      <c r="A137">
        <v>136</v>
      </c>
      <c r="B137" t="s">
        <v>372</v>
      </c>
      <c r="C137" t="s">
        <v>373</v>
      </c>
      <c r="D137" t="s">
        <v>3087</v>
      </c>
    </row>
    <row r="138" spans="1:4" x14ac:dyDescent="0.25">
      <c r="A138">
        <v>137</v>
      </c>
      <c r="B138" t="s">
        <v>375</v>
      </c>
      <c r="C138" t="s">
        <v>376</v>
      </c>
      <c r="D138" t="s">
        <v>3088</v>
      </c>
    </row>
    <row r="139" spans="1:4" x14ac:dyDescent="0.25">
      <c r="A139">
        <v>138</v>
      </c>
      <c r="B139" t="s">
        <v>378</v>
      </c>
      <c r="C139" t="s">
        <v>379</v>
      </c>
      <c r="D139" t="s">
        <v>3089</v>
      </c>
    </row>
    <row r="140" spans="1:4" x14ac:dyDescent="0.25">
      <c r="A140">
        <v>139</v>
      </c>
      <c r="B140" t="s">
        <v>381</v>
      </c>
      <c r="C140" t="s">
        <v>382</v>
      </c>
      <c r="D140" t="s">
        <v>3090</v>
      </c>
    </row>
    <row r="141" spans="1:4" x14ac:dyDescent="0.25">
      <c r="A141">
        <v>140</v>
      </c>
      <c r="B141" t="s">
        <v>2574</v>
      </c>
      <c r="C141" t="s">
        <v>384</v>
      </c>
      <c r="D141" t="s">
        <v>3091</v>
      </c>
    </row>
    <row r="142" spans="1:4" x14ac:dyDescent="0.25">
      <c r="A142">
        <v>141</v>
      </c>
      <c r="B142" t="s">
        <v>386</v>
      </c>
      <c r="C142" t="s">
        <v>215</v>
      </c>
      <c r="D142" t="s">
        <v>3092</v>
      </c>
    </row>
    <row r="143" spans="1:4" x14ac:dyDescent="0.25">
      <c r="A143">
        <v>142</v>
      </c>
      <c r="B143" t="s">
        <v>387</v>
      </c>
      <c r="C143" t="s">
        <v>215</v>
      </c>
      <c r="D143" t="s">
        <v>3093</v>
      </c>
    </row>
    <row r="144" spans="1:4" x14ac:dyDescent="0.25">
      <c r="A144">
        <v>143</v>
      </c>
      <c r="B144" t="s">
        <v>388</v>
      </c>
      <c r="C144" t="s">
        <v>215</v>
      </c>
      <c r="D144" t="s">
        <v>3094</v>
      </c>
    </row>
    <row r="145" spans="1:4" x14ac:dyDescent="0.25">
      <c r="A145">
        <v>144</v>
      </c>
      <c r="B145" t="s">
        <v>389</v>
      </c>
      <c r="C145" t="s">
        <v>215</v>
      </c>
      <c r="D145" t="s">
        <v>3095</v>
      </c>
    </row>
    <row r="146" spans="1:4" x14ac:dyDescent="0.25">
      <c r="A146">
        <v>145</v>
      </c>
      <c r="B146" t="s">
        <v>390</v>
      </c>
      <c r="C146" t="s">
        <v>302</v>
      </c>
      <c r="D146" t="s">
        <v>3096</v>
      </c>
    </row>
    <row r="147" spans="1:4" x14ac:dyDescent="0.25">
      <c r="A147">
        <v>146</v>
      </c>
      <c r="B147" t="s">
        <v>391</v>
      </c>
      <c r="C147" t="s">
        <v>215</v>
      </c>
      <c r="D147" t="s">
        <v>3097</v>
      </c>
    </row>
    <row r="148" spans="1:4" x14ac:dyDescent="0.25">
      <c r="A148">
        <v>147</v>
      </c>
      <c r="B148" t="s">
        <v>392</v>
      </c>
      <c r="C148" t="s">
        <v>215</v>
      </c>
      <c r="D148" t="s">
        <v>3098</v>
      </c>
    </row>
    <row r="149" spans="1:4" x14ac:dyDescent="0.25">
      <c r="A149">
        <v>148</v>
      </c>
      <c r="B149" t="s">
        <v>393</v>
      </c>
      <c r="C149" t="s">
        <v>394</v>
      </c>
      <c r="D149" t="s">
        <v>3099</v>
      </c>
    </row>
    <row r="150" spans="1:4" x14ac:dyDescent="0.25">
      <c r="A150">
        <v>149</v>
      </c>
      <c r="B150" t="s">
        <v>396</v>
      </c>
      <c r="C150" t="s">
        <v>215</v>
      </c>
      <c r="D150" t="s">
        <v>3100</v>
      </c>
    </row>
    <row r="151" spans="1:4" x14ac:dyDescent="0.25">
      <c r="A151">
        <v>150</v>
      </c>
      <c r="B151" t="s">
        <v>397</v>
      </c>
      <c r="C151" t="s">
        <v>215</v>
      </c>
      <c r="D151" t="s">
        <v>3101</v>
      </c>
    </row>
    <row r="152" spans="1:4" x14ac:dyDescent="0.25">
      <c r="A152">
        <v>151</v>
      </c>
      <c r="B152" t="s">
        <v>398</v>
      </c>
      <c r="C152" t="s">
        <v>399</v>
      </c>
      <c r="D152" t="s">
        <v>3102</v>
      </c>
    </row>
    <row r="153" spans="1:4" x14ac:dyDescent="0.25">
      <c r="A153">
        <v>152</v>
      </c>
      <c r="B153" t="s">
        <v>401</v>
      </c>
      <c r="C153" t="s">
        <v>215</v>
      </c>
      <c r="D153" t="s">
        <v>3103</v>
      </c>
    </row>
    <row r="154" spans="1:4" x14ac:dyDescent="0.25">
      <c r="A154">
        <v>153</v>
      </c>
      <c r="B154" t="s">
        <v>402</v>
      </c>
      <c r="C154" t="s">
        <v>403</v>
      </c>
      <c r="D154" t="s">
        <v>3104</v>
      </c>
    </row>
    <row r="155" spans="1:4" x14ac:dyDescent="0.25">
      <c r="A155">
        <v>154</v>
      </c>
      <c r="B155" t="s">
        <v>405</v>
      </c>
      <c r="C155" t="s">
        <v>215</v>
      </c>
      <c r="D155" t="s">
        <v>3105</v>
      </c>
    </row>
    <row r="156" spans="1:4" x14ac:dyDescent="0.25">
      <c r="A156">
        <v>155</v>
      </c>
      <c r="B156" t="s">
        <v>406</v>
      </c>
      <c r="C156" t="s">
        <v>215</v>
      </c>
      <c r="D156" t="s">
        <v>3106</v>
      </c>
    </row>
    <row r="157" spans="1:4" x14ac:dyDescent="0.25">
      <c r="A157">
        <v>156</v>
      </c>
      <c r="B157" t="s">
        <v>407</v>
      </c>
      <c r="C157" t="s">
        <v>408</v>
      </c>
      <c r="D157" t="s">
        <v>3107</v>
      </c>
    </row>
    <row r="158" spans="1:4" x14ac:dyDescent="0.25">
      <c r="A158">
        <v>157</v>
      </c>
      <c r="B158" t="s">
        <v>410</v>
      </c>
      <c r="C158" t="s">
        <v>215</v>
      </c>
      <c r="D158" t="s">
        <v>3108</v>
      </c>
    </row>
    <row r="159" spans="1:4" x14ac:dyDescent="0.25">
      <c r="A159">
        <v>158</v>
      </c>
      <c r="B159" t="s">
        <v>411</v>
      </c>
      <c r="C159" t="s">
        <v>412</v>
      </c>
      <c r="D159" t="s">
        <v>3109</v>
      </c>
    </row>
    <row r="160" spans="1:4" x14ac:dyDescent="0.25">
      <c r="A160">
        <v>159</v>
      </c>
      <c r="B160" t="s">
        <v>414</v>
      </c>
      <c r="C160" t="s">
        <v>415</v>
      </c>
      <c r="D160" t="s">
        <v>3110</v>
      </c>
    </row>
    <row r="161" spans="1:4" x14ac:dyDescent="0.25">
      <c r="A161">
        <v>160</v>
      </c>
      <c r="B161" t="s">
        <v>417</v>
      </c>
      <c r="C161" t="s">
        <v>418</v>
      </c>
      <c r="D161" t="s">
        <v>3111</v>
      </c>
    </row>
    <row r="162" spans="1:4" x14ac:dyDescent="0.25">
      <c r="A162">
        <v>161</v>
      </c>
      <c r="B162" t="s">
        <v>3112</v>
      </c>
      <c r="C162" t="s">
        <v>422</v>
      </c>
      <c r="D162" t="s">
        <v>3113</v>
      </c>
    </row>
    <row r="163" spans="1:4" x14ac:dyDescent="0.25">
      <c r="A163">
        <v>162</v>
      </c>
      <c r="B163" t="s">
        <v>3114</v>
      </c>
      <c r="C163" t="s">
        <v>203</v>
      </c>
      <c r="D163" t="s">
        <v>3115</v>
      </c>
    </row>
    <row r="164" spans="1:4" x14ac:dyDescent="0.25">
      <c r="A164">
        <v>163</v>
      </c>
      <c r="B164" t="s">
        <v>426</v>
      </c>
      <c r="C164" t="s">
        <v>121</v>
      </c>
      <c r="D164" t="s">
        <v>3116</v>
      </c>
    </row>
    <row r="165" spans="1:4" x14ac:dyDescent="0.25">
      <c r="A165">
        <v>164</v>
      </c>
      <c r="B165" t="s">
        <v>3117</v>
      </c>
      <c r="C165" t="s">
        <v>429</v>
      </c>
      <c r="D165" t="s">
        <v>3118</v>
      </c>
    </row>
    <row r="166" spans="1:4" x14ac:dyDescent="0.25">
      <c r="A166">
        <v>165</v>
      </c>
      <c r="B166" t="s">
        <v>431</v>
      </c>
      <c r="C166" t="s">
        <v>215</v>
      </c>
      <c r="D166" t="s">
        <v>3119</v>
      </c>
    </row>
    <row r="167" spans="1:4" x14ac:dyDescent="0.25">
      <c r="A167">
        <v>166</v>
      </c>
      <c r="B167" t="s">
        <v>432</v>
      </c>
      <c r="C167" t="s">
        <v>215</v>
      </c>
      <c r="D167" t="s">
        <v>3120</v>
      </c>
    </row>
    <row r="168" spans="1:4" x14ac:dyDescent="0.25">
      <c r="A168">
        <v>167</v>
      </c>
      <c r="B168" t="s">
        <v>3121</v>
      </c>
      <c r="C168" t="s">
        <v>422</v>
      </c>
      <c r="D168" t="s">
        <v>3122</v>
      </c>
    </row>
    <row r="169" spans="1:4" x14ac:dyDescent="0.25">
      <c r="A169">
        <v>168</v>
      </c>
      <c r="B169" t="s">
        <v>435</v>
      </c>
      <c r="C169" t="s">
        <v>436</v>
      </c>
      <c r="D169" t="s">
        <v>3123</v>
      </c>
    </row>
    <row r="170" spans="1:4" x14ac:dyDescent="0.25">
      <c r="A170">
        <v>169</v>
      </c>
      <c r="B170" t="s">
        <v>438</v>
      </c>
      <c r="C170" t="s">
        <v>215</v>
      </c>
      <c r="D170" t="s">
        <v>3124</v>
      </c>
    </row>
    <row r="171" spans="1:4" x14ac:dyDescent="0.25">
      <c r="A171">
        <v>170</v>
      </c>
      <c r="B171" t="s">
        <v>3125</v>
      </c>
      <c r="C171" t="s">
        <v>441</v>
      </c>
      <c r="D171" t="s">
        <v>3126</v>
      </c>
    </row>
    <row r="172" spans="1:4" x14ac:dyDescent="0.25">
      <c r="A172">
        <v>171</v>
      </c>
      <c r="B172" t="s">
        <v>3127</v>
      </c>
      <c r="C172" t="s">
        <v>445</v>
      </c>
      <c r="D172" t="s">
        <v>3128</v>
      </c>
    </row>
    <row r="173" spans="1:4" x14ac:dyDescent="0.25">
      <c r="A173">
        <v>172</v>
      </c>
      <c r="B173" t="s">
        <v>447</v>
      </c>
      <c r="C173" t="s">
        <v>215</v>
      </c>
      <c r="D173" t="s">
        <v>3129</v>
      </c>
    </row>
    <row r="174" spans="1:4" x14ac:dyDescent="0.25">
      <c r="A174">
        <v>173</v>
      </c>
      <c r="B174" t="s">
        <v>448</v>
      </c>
      <c r="C174" t="s">
        <v>215</v>
      </c>
      <c r="D174" t="s">
        <v>3130</v>
      </c>
    </row>
    <row r="175" spans="1:4" x14ac:dyDescent="0.25">
      <c r="A175">
        <v>174</v>
      </c>
      <c r="B175" t="s">
        <v>449</v>
      </c>
      <c r="C175" t="s">
        <v>450</v>
      </c>
      <c r="D175" t="s">
        <v>3131</v>
      </c>
    </row>
    <row r="176" spans="1:4" x14ac:dyDescent="0.25">
      <c r="A176">
        <v>175</v>
      </c>
      <c r="B176" t="s">
        <v>452</v>
      </c>
      <c r="C176" t="s">
        <v>215</v>
      </c>
      <c r="D176" t="s">
        <v>3132</v>
      </c>
    </row>
    <row r="177" spans="1:4" x14ac:dyDescent="0.25">
      <c r="A177">
        <v>176</v>
      </c>
      <c r="B177" t="s">
        <v>3133</v>
      </c>
      <c r="C177" t="s">
        <v>455</v>
      </c>
      <c r="D177" t="s">
        <v>3134</v>
      </c>
    </row>
    <row r="178" spans="1:4" x14ac:dyDescent="0.25">
      <c r="A178">
        <v>177</v>
      </c>
      <c r="B178" t="s">
        <v>3135</v>
      </c>
      <c r="C178" t="s">
        <v>459</v>
      </c>
      <c r="D178" t="s">
        <v>3136</v>
      </c>
    </row>
    <row r="179" spans="1:4" x14ac:dyDescent="0.25">
      <c r="A179">
        <v>178</v>
      </c>
      <c r="B179" t="s">
        <v>461</v>
      </c>
      <c r="C179" t="s">
        <v>215</v>
      </c>
      <c r="D179" t="s">
        <v>3137</v>
      </c>
    </row>
    <row r="180" spans="1:4" x14ac:dyDescent="0.25">
      <c r="A180">
        <v>179</v>
      </c>
      <c r="B180" t="s">
        <v>462</v>
      </c>
      <c r="C180" t="s">
        <v>215</v>
      </c>
      <c r="D180" t="s">
        <v>3138</v>
      </c>
    </row>
    <row r="181" spans="1:4" x14ac:dyDescent="0.25">
      <c r="A181">
        <v>180</v>
      </c>
      <c r="B181" t="s">
        <v>463</v>
      </c>
      <c r="C181" t="s">
        <v>215</v>
      </c>
      <c r="D181" t="s">
        <v>3139</v>
      </c>
    </row>
    <row r="182" spans="1:4" x14ac:dyDescent="0.25">
      <c r="A182">
        <v>181</v>
      </c>
      <c r="B182" t="s">
        <v>464</v>
      </c>
      <c r="C182" t="s">
        <v>215</v>
      </c>
      <c r="D182" t="s">
        <v>3140</v>
      </c>
    </row>
    <row r="183" spans="1:4" x14ac:dyDescent="0.25">
      <c r="A183">
        <v>182</v>
      </c>
      <c r="B183" t="s">
        <v>3141</v>
      </c>
      <c r="C183" t="s">
        <v>467</v>
      </c>
      <c r="D183" t="s">
        <v>3142</v>
      </c>
    </row>
    <row r="184" spans="1:4" x14ac:dyDescent="0.25">
      <c r="A184">
        <v>183</v>
      </c>
      <c r="B184" t="s">
        <v>3143</v>
      </c>
      <c r="C184" t="s">
        <v>471</v>
      </c>
      <c r="D184" t="s">
        <v>3144</v>
      </c>
    </row>
    <row r="185" spans="1:4" x14ac:dyDescent="0.25">
      <c r="A185">
        <v>184</v>
      </c>
      <c r="B185" t="s">
        <v>3145</v>
      </c>
      <c r="C185" t="s">
        <v>422</v>
      </c>
      <c r="D185" t="s">
        <v>3146</v>
      </c>
    </row>
    <row r="186" spans="1:4" x14ac:dyDescent="0.25">
      <c r="A186">
        <v>185</v>
      </c>
      <c r="B186" t="s">
        <v>3147</v>
      </c>
      <c r="C186" t="s">
        <v>174</v>
      </c>
      <c r="D186" t="s">
        <v>3148</v>
      </c>
    </row>
    <row r="187" spans="1:4" x14ac:dyDescent="0.25">
      <c r="A187">
        <v>186</v>
      </c>
      <c r="B187" t="s">
        <v>3149</v>
      </c>
      <c r="C187" t="s">
        <v>467</v>
      </c>
      <c r="D187" t="s">
        <v>3150</v>
      </c>
    </row>
    <row r="188" spans="1:4" x14ac:dyDescent="0.25">
      <c r="A188">
        <v>187</v>
      </c>
      <c r="B188" t="s">
        <v>3151</v>
      </c>
      <c r="C188" t="s">
        <v>422</v>
      </c>
      <c r="D188" t="s">
        <v>3152</v>
      </c>
    </row>
    <row r="189" spans="1:4" x14ac:dyDescent="0.25">
      <c r="A189">
        <v>188</v>
      </c>
      <c r="B189" t="s">
        <v>481</v>
      </c>
      <c r="C189" t="s">
        <v>482</v>
      </c>
      <c r="D189" t="s">
        <v>3153</v>
      </c>
    </row>
    <row r="190" spans="1:4" x14ac:dyDescent="0.25">
      <c r="A190">
        <v>189</v>
      </c>
      <c r="B190" t="s">
        <v>3154</v>
      </c>
      <c r="C190" t="s">
        <v>422</v>
      </c>
      <c r="D190" t="s">
        <v>3155</v>
      </c>
    </row>
    <row r="191" spans="1:4" x14ac:dyDescent="0.25">
      <c r="A191">
        <v>190</v>
      </c>
      <c r="B191" t="s">
        <v>486</v>
      </c>
      <c r="C191" t="s">
        <v>487</v>
      </c>
      <c r="D191" t="s">
        <v>3156</v>
      </c>
    </row>
    <row r="192" spans="1:4" x14ac:dyDescent="0.25">
      <c r="A192">
        <v>191</v>
      </c>
      <c r="B192" t="s">
        <v>489</v>
      </c>
      <c r="C192" t="s">
        <v>418</v>
      </c>
      <c r="D192" t="s">
        <v>3157</v>
      </c>
    </row>
    <row r="193" spans="1:4" x14ac:dyDescent="0.25">
      <c r="A193">
        <v>192</v>
      </c>
      <c r="B193" t="s">
        <v>3158</v>
      </c>
      <c r="C193" t="s">
        <v>459</v>
      </c>
      <c r="D193" t="s">
        <v>3159</v>
      </c>
    </row>
    <row r="194" spans="1:4" x14ac:dyDescent="0.25">
      <c r="A194">
        <v>193</v>
      </c>
      <c r="B194" t="s">
        <v>492</v>
      </c>
      <c r="C194" t="s">
        <v>493</v>
      </c>
      <c r="D194" t="s">
        <v>3160</v>
      </c>
    </row>
    <row r="195" spans="1:4" x14ac:dyDescent="0.25">
      <c r="A195">
        <v>194</v>
      </c>
      <c r="B195" t="s">
        <v>495</v>
      </c>
      <c r="C195" t="s">
        <v>215</v>
      </c>
      <c r="D195" t="s">
        <v>3161</v>
      </c>
    </row>
    <row r="196" spans="1:4" x14ac:dyDescent="0.25">
      <c r="A196">
        <v>195</v>
      </c>
      <c r="B196" t="s">
        <v>3162</v>
      </c>
      <c r="C196" t="s">
        <v>459</v>
      </c>
      <c r="D196" t="s">
        <v>3163</v>
      </c>
    </row>
    <row r="197" spans="1:4" x14ac:dyDescent="0.25">
      <c r="A197">
        <v>196</v>
      </c>
      <c r="B197" t="s">
        <v>498</v>
      </c>
      <c r="C197" t="s">
        <v>215</v>
      </c>
      <c r="D197" t="s">
        <v>3164</v>
      </c>
    </row>
    <row r="198" spans="1:4" x14ac:dyDescent="0.25">
      <c r="A198">
        <v>197</v>
      </c>
      <c r="B198" t="s">
        <v>499</v>
      </c>
      <c r="C198" t="s">
        <v>500</v>
      </c>
      <c r="D198" t="s">
        <v>3165</v>
      </c>
    </row>
    <row r="199" spans="1:4" x14ac:dyDescent="0.25">
      <c r="A199">
        <v>198</v>
      </c>
      <c r="B199" t="s">
        <v>502</v>
      </c>
      <c r="C199" t="s">
        <v>503</v>
      </c>
      <c r="D199" t="s">
        <v>3166</v>
      </c>
    </row>
    <row r="200" spans="1:4" x14ac:dyDescent="0.25">
      <c r="A200">
        <v>199</v>
      </c>
      <c r="B200" t="s">
        <v>505</v>
      </c>
      <c r="C200" t="s">
        <v>506</v>
      </c>
      <c r="D200" t="s">
        <v>3167</v>
      </c>
    </row>
    <row r="201" spans="1:4" x14ac:dyDescent="0.25">
      <c r="A201">
        <v>200</v>
      </c>
      <c r="B201" t="s">
        <v>508</v>
      </c>
      <c r="C201" t="s">
        <v>509</v>
      </c>
      <c r="D201" t="s">
        <v>3168</v>
      </c>
    </row>
    <row r="202" spans="1:4" x14ac:dyDescent="0.25">
      <c r="A202">
        <v>201</v>
      </c>
      <c r="B202" t="s">
        <v>511</v>
      </c>
      <c r="C202" t="s">
        <v>512</v>
      </c>
      <c r="D202" t="s">
        <v>3169</v>
      </c>
    </row>
    <row r="203" spans="1:4" x14ac:dyDescent="0.25">
      <c r="A203">
        <v>202</v>
      </c>
      <c r="B203" t="s">
        <v>514</v>
      </c>
      <c r="C203" t="s">
        <v>287</v>
      </c>
      <c r="D203" t="s">
        <v>3170</v>
      </c>
    </row>
    <row r="204" spans="1:4" x14ac:dyDescent="0.25">
      <c r="A204">
        <v>203</v>
      </c>
      <c r="B204" t="s">
        <v>2619</v>
      </c>
      <c r="C204" t="s">
        <v>516</v>
      </c>
      <c r="D204" t="s">
        <v>3171</v>
      </c>
    </row>
    <row r="205" spans="1:4" x14ac:dyDescent="0.25">
      <c r="A205">
        <v>204</v>
      </c>
      <c r="B205" t="s">
        <v>3172</v>
      </c>
      <c r="C205" t="s">
        <v>280</v>
      </c>
      <c r="D205" t="s">
        <v>3173</v>
      </c>
    </row>
    <row r="206" spans="1:4" x14ac:dyDescent="0.25">
      <c r="A206">
        <v>205</v>
      </c>
      <c r="B206" t="s">
        <v>3174</v>
      </c>
      <c r="C206" t="s">
        <v>522</v>
      </c>
      <c r="D206" t="s">
        <v>3175</v>
      </c>
    </row>
    <row r="207" spans="1:4" x14ac:dyDescent="0.25">
      <c r="A207">
        <v>206</v>
      </c>
      <c r="B207" t="s">
        <v>524</v>
      </c>
      <c r="C207" t="s">
        <v>335</v>
      </c>
      <c r="D207" t="s">
        <v>3176</v>
      </c>
    </row>
    <row r="208" spans="1:4" x14ac:dyDescent="0.25">
      <c r="A208">
        <v>207</v>
      </c>
      <c r="B208" t="s">
        <v>525</v>
      </c>
      <c r="C208" t="s">
        <v>526</v>
      </c>
      <c r="D208" t="s">
        <v>3177</v>
      </c>
    </row>
    <row r="209" spans="1:4" x14ac:dyDescent="0.25">
      <c r="A209">
        <v>208</v>
      </c>
      <c r="B209" t="s">
        <v>3178</v>
      </c>
      <c r="C209" t="s">
        <v>530</v>
      </c>
      <c r="D209" t="s">
        <v>3179</v>
      </c>
    </row>
    <row r="210" spans="1:4" x14ac:dyDescent="0.25">
      <c r="A210">
        <v>209</v>
      </c>
      <c r="B210" t="s">
        <v>3180</v>
      </c>
      <c r="C210" t="s">
        <v>269</v>
      </c>
      <c r="D210" t="s">
        <v>3181</v>
      </c>
    </row>
    <row r="211" spans="1:4" x14ac:dyDescent="0.25">
      <c r="A211">
        <v>210</v>
      </c>
      <c r="B211" t="s">
        <v>3182</v>
      </c>
      <c r="C211" t="s">
        <v>536</v>
      </c>
      <c r="D211" t="s">
        <v>3183</v>
      </c>
    </row>
    <row r="212" spans="1:4" x14ac:dyDescent="0.25">
      <c r="A212">
        <v>211</v>
      </c>
      <c r="B212" t="s">
        <v>3184</v>
      </c>
      <c r="C212" t="s">
        <v>184</v>
      </c>
      <c r="D212" t="s">
        <v>3185</v>
      </c>
    </row>
    <row r="213" spans="1:4" x14ac:dyDescent="0.25">
      <c r="A213">
        <v>212</v>
      </c>
      <c r="B213" t="s">
        <v>540</v>
      </c>
      <c r="C213" t="s">
        <v>541</v>
      </c>
      <c r="D213" t="s">
        <v>3186</v>
      </c>
    </row>
    <row r="214" spans="1:4" x14ac:dyDescent="0.25">
      <c r="A214">
        <v>213</v>
      </c>
      <c r="B214" t="s">
        <v>543</v>
      </c>
      <c r="C214" t="s">
        <v>163</v>
      </c>
      <c r="D214" t="s">
        <v>3187</v>
      </c>
    </row>
    <row r="215" spans="1:4" x14ac:dyDescent="0.25">
      <c r="A215">
        <v>214</v>
      </c>
      <c r="B215" t="s">
        <v>544</v>
      </c>
      <c r="C215" t="s">
        <v>2624</v>
      </c>
      <c r="D215" t="s">
        <v>3188</v>
      </c>
    </row>
    <row r="216" spans="1:4" x14ac:dyDescent="0.25">
      <c r="A216">
        <v>215</v>
      </c>
      <c r="B216" t="s">
        <v>3189</v>
      </c>
      <c r="C216" t="s">
        <v>184</v>
      </c>
      <c r="D216" t="s">
        <v>3190</v>
      </c>
    </row>
    <row r="217" spans="1:4" x14ac:dyDescent="0.25">
      <c r="A217">
        <v>216</v>
      </c>
      <c r="B217" t="s">
        <v>2543</v>
      </c>
      <c r="C217" t="s">
        <v>2626</v>
      </c>
      <c r="D217" t="s">
        <v>3191</v>
      </c>
    </row>
    <row r="218" spans="1:4" x14ac:dyDescent="0.25">
      <c r="A218">
        <v>217</v>
      </c>
      <c r="B218" t="s">
        <v>3192</v>
      </c>
      <c r="C218" t="s">
        <v>184</v>
      </c>
      <c r="D218" t="s">
        <v>3193</v>
      </c>
    </row>
    <row r="219" spans="1:4" x14ac:dyDescent="0.25">
      <c r="A219">
        <v>218</v>
      </c>
      <c r="B219" t="s">
        <v>551</v>
      </c>
      <c r="C219" t="s">
        <v>552</v>
      </c>
      <c r="D219" t="s">
        <v>3194</v>
      </c>
    </row>
    <row r="220" spans="1:4" x14ac:dyDescent="0.25">
      <c r="A220">
        <v>219</v>
      </c>
      <c r="B220" t="s">
        <v>3195</v>
      </c>
      <c r="C220" t="s">
        <v>556</v>
      </c>
      <c r="D220" t="s">
        <v>3196</v>
      </c>
    </row>
    <row r="221" spans="1:4" x14ac:dyDescent="0.25">
      <c r="A221">
        <v>220</v>
      </c>
      <c r="B221" t="s">
        <v>3197</v>
      </c>
      <c r="C221" t="s">
        <v>133</v>
      </c>
      <c r="D221" t="s">
        <v>3198</v>
      </c>
    </row>
    <row r="222" spans="1:4" x14ac:dyDescent="0.25">
      <c r="A222">
        <v>221</v>
      </c>
      <c r="B222" t="s">
        <v>3199</v>
      </c>
      <c r="C222" t="s">
        <v>556</v>
      </c>
      <c r="D222" t="s">
        <v>3200</v>
      </c>
    </row>
    <row r="223" spans="1:4" x14ac:dyDescent="0.25">
      <c r="A223">
        <v>222</v>
      </c>
      <c r="B223" t="s">
        <v>562</v>
      </c>
      <c r="C223" t="s">
        <v>563</v>
      </c>
      <c r="D223" t="s">
        <v>3201</v>
      </c>
    </row>
    <row r="224" spans="1:4" x14ac:dyDescent="0.25">
      <c r="A224">
        <v>223</v>
      </c>
      <c r="B224" t="s">
        <v>3202</v>
      </c>
      <c r="C224" t="s">
        <v>556</v>
      </c>
      <c r="D224" t="s">
        <v>3203</v>
      </c>
    </row>
    <row r="225" spans="1:4" x14ac:dyDescent="0.25">
      <c r="A225">
        <v>224</v>
      </c>
      <c r="B225" t="s">
        <v>567</v>
      </c>
      <c r="C225" t="s">
        <v>568</v>
      </c>
      <c r="D225" t="s">
        <v>3204</v>
      </c>
    </row>
    <row r="226" spans="1:4" x14ac:dyDescent="0.25">
      <c r="A226">
        <v>225</v>
      </c>
      <c r="B226" t="s">
        <v>3205</v>
      </c>
      <c r="C226" t="s">
        <v>184</v>
      </c>
      <c r="D226" t="s">
        <v>3206</v>
      </c>
    </row>
    <row r="227" spans="1:4" x14ac:dyDescent="0.25">
      <c r="A227">
        <v>226</v>
      </c>
      <c r="B227" t="s">
        <v>572</v>
      </c>
      <c r="C227" t="s">
        <v>573</v>
      </c>
      <c r="D227" t="s">
        <v>3207</v>
      </c>
    </row>
    <row r="228" spans="1:4" x14ac:dyDescent="0.25">
      <c r="A228">
        <v>227</v>
      </c>
      <c r="B228" t="s">
        <v>2631</v>
      </c>
      <c r="C228" t="s">
        <v>184</v>
      </c>
      <c r="D228" t="s">
        <v>3208</v>
      </c>
    </row>
    <row r="229" spans="1:4" x14ac:dyDescent="0.25">
      <c r="A229">
        <v>228</v>
      </c>
      <c r="B229" t="s">
        <v>576</v>
      </c>
      <c r="C229" t="s">
        <v>577</v>
      </c>
      <c r="D229" t="s">
        <v>3209</v>
      </c>
    </row>
    <row r="230" spans="1:4" x14ac:dyDescent="0.25">
      <c r="A230">
        <v>229</v>
      </c>
      <c r="B230" t="s">
        <v>3210</v>
      </c>
      <c r="C230" t="s">
        <v>184</v>
      </c>
      <c r="D230" t="s">
        <v>3211</v>
      </c>
    </row>
    <row r="231" spans="1:4" x14ac:dyDescent="0.25">
      <c r="A231">
        <v>230</v>
      </c>
      <c r="B231" t="s">
        <v>581</v>
      </c>
      <c r="C231" t="s">
        <v>582</v>
      </c>
      <c r="D231" t="s">
        <v>3212</v>
      </c>
    </row>
    <row r="232" spans="1:4" x14ac:dyDescent="0.25">
      <c r="A232">
        <v>231</v>
      </c>
      <c r="B232" t="s">
        <v>584</v>
      </c>
      <c r="C232" t="s">
        <v>585</v>
      </c>
      <c r="D232" t="s">
        <v>3213</v>
      </c>
    </row>
    <row r="233" spans="1:4" x14ac:dyDescent="0.25">
      <c r="A233">
        <v>232</v>
      </c>
      <c r="B233" t="s">
        <v>587</v>
      </c>
      <c r="C233" t="s">
        <v>588</v>
      </c>
      <c r="D233" t="s">
        <v>3214</v>
      </c>
    </row>
    <row r="234" spans="1:4" x14ac:dyDescent="0.25">
      <c r="A234">
        <v>233</v>
      </c>
      <c r="B234" t="s">
        <v>590</v>
      </c>
      <c r="C234" t="s">
        <v>591</v>
      </c>
      <c r="D234" t="s">
        <v>3215</v>
      </c>
    </row>
    <row r="235" spans="1:4" x14ac:dyDescent="0.25">
      <c r="A235">
        <v>234</v>
      </c>
      <c r="B235" t="s">
        <v>593</v>
      </c>
      <c r="C235" t="s">
        <v>329</v>
      </c>
      <c r="D235" t="s">
        <v>3216</v>
      </c>
    </row>
    <row r="236" spans="1:4" x14ac:dyDescent="0.25">
      <c r="A236">
        <v>235</v>
      </c>
      <c r="B236" t="s">
        <v>594</v>
      </c>
      <c r="C236" t="s">
        <v>595</v>
      </c>
      <c r="D236" t="s">
        <v>3217</v>
      </c>
    </row>
    <row r="237" spans="1:4" x14ac:dyDescent="0.25">
      <c r="A237">
        <v>236</v>
      </c>
      <c r="B237" t="s">
        <v>3218</v>
      </c>
      <c r="C237" t="s">
        <v>599</v>
      </c>
      <c r="D237" t="s">
        <v>3219</v>
      </c>
    </row>
    <row r="238" spans="1:4" x14ac:dyDescent="0.25">
      <c r="A238">
        <v>237</v>
      </c>
      <c r="B238" t="s">
        <v>601</v>
      </c>
      <c r="C238" t="s">
        <v>602</v>
      </c>
      <c r="D238" t="s">
        <v>3220</v>
      </c>
    </row>
    <row r="239" spans="1:4" x14ac:dyDescent="0.25">
      <c r="A239">
        <v>238</v>
      </c>
      <c r="B239" t="s">
        <v>604</v>
      </c>
      <c r="C239" t="s">
        <v>605</v>
      </c>
      <c r="D239" t="s">
        <v>3221</v>
      </c>
    </row>
    <row r="240" spans="1:4" x14ac:dyDescent="0.25">
      <c r="A240">
        <v>239</v>
      </c>
      <c r="B240" t="s">
        <v>607</v>
      </c>
      <c r="C240" t="s">
        <v>608</v>
      </c>
      <c r="D240" t="s">
        <v>3222</v>
      </c>
    </row>
    <row r="241" spans="1:4" x14ac:dyDescent="0.25">
      <c r="A241">
        <v>240</v>
      </c>
      <c r="B241" t="s">
        <v>3223</v>
      </c>
      <c r="C241" t="s">
        <v>612</v>
      </c>
      <c r="D241" t="s">
        <v>3224</v>
      </c>
    </row>
    <row r="242" spans="1:4" x14ac:dyDescent="0.25">
      <c r="A242">
        <v>241</v>
      </c>
      <c r="B242" t="s">
        <v>3225</v>
      </c>
      <c r="C242" t="s">
        <v>616</v>
      </c>
      <c r="D242" t="s">
        <v>3226</v>
      </c>
    </row>
    <row r="243" spans="1:4" x14ac:dyDescent="0.25">
      <c r="A243">
        <v>242</v>
      </c>
      <c r="B243" t="s">
        <v>618</v>
      </c>
      <c r="C243" t="s">
        <v>155</v>
      </c>
      <c r="D243" t="s">
        <v>3227</v>
      </c>
    </row>
    <row r="244" spans="1:4" x14ac:dyDescent="0.25">
      <c r="A244">
        <v>243</v>
      </c>
      <c r="B244" t="s">
        <v>3228</v>
      </c>
      <c r="C244" t="s">
        <v>621</v>
      </c>
      <c r="D244" t="s">
        <v>3229</v>
      </c>
    </row>
    <row r="245" spans="1:4" x14ac:dyDescent="0.25">
      <c r="A245">
        <v>244</v>
      </c>
      <c r="B245" t="s">
        <v>623</v>
      </c>
      <c r="C245" t="s">
        <v>624</v>
      </c>
      <c r="D245" t="s">
        <v>3230</v>
      </c>
    </row>
    <row r="246" spans="1:4" x14ac:dyDescent="0.25">
      <c r="A246">
        <v>245</v>
      </c>
      <c r="B246" t="s">
        <v>626</v>
      </c>
      <c r="C246" t="s">
        <v>106</v>
      </c>
      <c r="D246" t="s">
        <v>3231</v>
      </c>
    </row>
    <row r="247" spans="1:4" x14ac:dyDescent="0.25">
      <c r="A247">
        <v>246</v>
      </c>
      <c r="B247" t="s">
        <v>627</v>
      </c>
      <c r="C247" t="s">
        <v>628</v>
      </c>
      <c r="D247" t="s">
        <v>3232</v>
      </c>
    </row>
    <row r="248" spans="1:4" x14ac:dyDescent="0.25">
      <c r="A248">
        <v>247</v>
      </c>
      <c r="B248" t="s">
        <v>3233</v>
      </c>
      <c r="C248" t="s">
        <v>632</v>
      </c>
      <c r="D248" t="s">
        <v>3234</v>
      </c>
    </row>
    <row r="249" spans="1:4" x14ac:dyDescent="0.25">
      <c r="A249">
        <v>248</v>
      </c>
      <c r="B249" t="s">
        <v>2643</v>
      </c>
      <c r="C249" t="s">
        <v>634</v>
      </c>
      <c r="D249" t="s">
        <v>3235</v>
      </c>
    </row>
    <row r="250" spans="1:4" x14ac:dyDescent="0.25">
      <c r="A250">
        <v>249</v>
      </c>
      <c r="B250" t="s">
        <v>3236</v>
      </c>
      <c r="C250" t="s">
        <v>467</v>
      </c>
      <c r="D250" t="s">
        <v>3237</v>
      </c>
    </row>
    <row r="251" spans="1:4" x14ac:dyDescent="0.25">
      <c r="A251">
        <v>250</v>
      </c>
      <c r="B251" t="s">
        <v>3238</v>
      </c>
      <c r="C251" t="s">
        <v>632</v>
      </c>
      <c r="D251" t="s">
        <v>3239</v>
      </c>
    </row>
    <row r="252" spans="1:4" x14ac:dyDescent="0.25">
      <c r="A252">
        <v>251</v>
      </c>
      <c r="B252" t="s">
        <v>3240</v>
      </c>
      <c r="C252" t="s">
        <v>642</v>
      </c>
      <c r="D252" t="s">
        <v>3241</v>
      </c>
    </row>
    <row r="253" spans="1:4" x14ac:dyDescent="0.25">
      <c r="A253">
        <v>252</v>
      </c>
      <c r="B253" t="s">
        <v>644</v>
      </c>
      <c r="C253" t="s">
        <v>645</v>
      </c>
      <c r="D253" t="s">
        <v>15</v>
      </c>
    </row>
    <row r="254" spans="1:4" x14ac:dyDescent="0.25">
      <c r="A254">
        <v>253</v>
      </c>
      <c r="B254" t="s">
        <v>647</v>
      </c>
      <c r="C254" t="s">
        <v>648</v>
      </c>
      <c r="D254" t="s">
        <v>3242</v>
      </c>
    </row>
    <row r="255" spans="1:4" x14ac:dyDescent="0.25">
      <c r="A255">
        <v>254</v>
      </c>
      <c r="B255" t="s">
        <v>650</v>
      </c>
      <c r="C255" t="s">
        <v>651</v>
      </c>
      <c r="D255" t="s">
        <v>3243</v>
      </c>
    </row>
    <row r="256" spans="1:4" x14ac:dyDescent="0.25">
      <c r="A256">
        <v>255</v>
      </c>
      <c r="B256" t="s">
        <v>653</v>
      </c>
      <c r="C256" t="s">
        <v>654</v>
      </c>
      <c r="D256" t="s">
        <v>3244</v>
      </c>
    </row>
    <row r="257" spans="1:4" x14ac:dyDescent="0.25">
      <c r="A257">
        <v>256</v>
      </c>
      <c r="B257" t="s">
        <v>656</v>
      </c>
      <c r="C257" t="s">
        <v>651</v>
      </c>
      <c r="D257" t="s">
        <v>3245</v>
      </c>
    </row>
    <row r="258" spans="1:4" x14ac:dyDescent="0.25">
      <c r="A258">
        <v>257</v>
      </c>
      <c r="B258" t="s">
        <v>657</v>
      </c>
      <c r="C258" t="s">
        <v>658</v>
      </c>
      <c r="D258" t="s">
        <v>3246</v>
      </c>
    </row>
    <row r="259" spans="1:4" x14ac:dyDescent="0.25">
      <c r="A259">
        <v>258</v>
      </c>
      <c r="B259" t="s">
        <v>3247</v>
      </c>
      <c r="C259" t="s">
        <v>662</v>
      </c>
      <c r="D259" t="s">
        <v>3248</v>
      </c>
    </row>
    <row r="260" spans="1:4" x14ac:dyDescent="0.25">
      <c r="A260">
        <v>259</v>
      </c>
      <c r="B260" t="s">
        <v>3249</v>
      </c>
      <c r="C260" t="s">
        <v>662</v>
      </c>
      <c r="D260" t="s">
        <v>3250</v>
      </c>
    </row>
    <row r="261" spans="1:4" x14ac:dyDescent="0.25">
      <c r="A261">
        <v>260</v>
      </c>
      <c r="B261" t="s">
        <v>3251</v>
      </c>
      <c r="C261" t="s">
        <v>668</v>
      </c>
      <c r="D261" t="s">
        <v>3252</v>
      </c>
    </row>
    <row r="262" spans="1:4" x14ac:dyDescent="0.25">
      <c r="A262">
        <v>261</v>
      </c>
      <c r="B262" t="s">
        <v>3253</v>
      </c>
      <c r="C262" t="s">
        <v>662</v>
      </c>
      <c r="D262" t="s">
        <v>3254</v>
      </c>
    </row>
    <row r="263" spans="1:4" x14ac:dyDescent="0.25">
      <c r="A263">
        <v>262</v>
      </c>
      <c r="B263" t="s">
        <v>3255</v>
      </c>
      <c r="C263" t="s">
        <v>536</v>
      </c>
      <c r="D263" t="s">
        <v>3256</v>
      </c>
    </row>
    <row r="264" spans="1:4" x14ac:dyDescent="0.25">
      <c r="A264">
        <v>263</v>
      </c>
      <c r="B264" t="s">
        <v>674</v>
      </c>
      <c r="C264" t="s">
        <v>675</v>
      </c>
      <c r="D264" t="s">
        <v>3257</v>
      </c>
    </row>
    <row r="265" spans="1:4" x14ac:dyDescent="0.25">
      <c r="A265">
        <v>264</v>
      </c>
      <c r="B265" t="s">
        <v>677</v>
      </c>
      <c r="C265" t="s">
        <v>678</v>
      </c>
      <c r="D265" t="s">
        <v>3258</v>
      </c>
    </row>
    <row r="266" spans="1:4" x14ac:dyDescent="0.25">
      <c r="A266">
        <v>265</v>
      </c>
      <c r="B266" t="s">
        <v>680</v>
      </c>
      <c r="C266" t="s">
        <v>681</v>
      </c>
      <c r="D266" t="s">
        <v>3259</v>
      </c>
    </row>
    <row r="267" spans="1:4" x14ac:dyDescent="0.25">
      <c r="A267">
        <v>266</v>
      </c>
      <c r="B267" t="s">
        <v>683</v>
      </c>
      <c r="C267" t="s">
        <v>684</v>
      </c>
      <c r="D267" t="s">
        <v>3260</v>
      </c>
    </row>
    <row r="268" spans="1:4" x14ac:dyDescent="0.25">
      <c r="A268">
        <v>267</v>
      </c>
      <c r="B268" t="s">
        <v>686</v>
      </c>
      <c r="C268" t="s">
        <v>681</v>
      </c>
      <c r="D268" t="s">
        <v>3261</v>
      </c>
    </row>
    <row r="269" spans="1:4" x14ac:dyDescent="0.25">
      <c r="A269">
        <v>268</v>
      </c>
      <c r="B269" t="s">
        <v>687</v>
      </c>
      <c r="C269" t="s">
        <v>18</v>
      </c>
      <c r="D269" t="s">
        <v>3262</v>
      </c>
    </row>
    <row r="270" spans="1:4" x14ac:dyDescent="0.25">
      <c r="A270">
        <v>269</v>
      </c>
      <c r="B270" t="s">
        <v>2652</v>
      </c>
      <c r="C270" t="s">
        <v>688</v>
      </c>
      <c r="D270" t="s">
        <v>3263</v>
      </c>
    </row>
    <row r="271" spans="1:4" x14ac:dyDescent="0.25">
      <c r="A271">
        <v>270</v>
      </c>
      <c r="B271" t="s">
        <v>690</v>
      </c>
      <c r="C271" t="s">
        <v>691</v>
      </c>
      <c r="D271" t="s">
        <v>3264</v>
      </c>
    </row>
    <row r="272" spans="1:4" x14ac:dyDescent="0.25">
      <c r="A272">
        <v>271</v>
      </c>
      <c r="B272" t="s">
        <v>3265</v>
      </c>
      <c r="C272" t="s">
        <v>197</v>
      </c>
      <c r="D272" t="s">
        <v>3266</v>
      </c>
    </row>
    <row r="273" spans="1:4" x14ac:dyDescent="0.25">
      <c r="A273">
        <v>272</v>
      </c>
      <c r="B273" t="s">
        <v>695</v>
      </c>
      <c r="C273" t="s">
        <v>568</v>
      </c>
      <c r="D273" t="s">
        <v>3267</v>
      </c>
    </row>
    <row r="274" spans="1:4" x14ac:dyDescent="0.25">
      <c r="A274">
        <v>273</v>
      </c>
      <c r="B274" t="s">
        <v>696</v>
      </c>
      <c r="C274" t="s">
        <v>573</v>
      </c>
      <c r="D274" t="s">
        <v>3268</v>
      </c>
    </row>
    <row r="275" spans="1:4" x14ac:dyDescent="0.25">
      <c r="A275">
        <v>274</v>
      </c>
      <c r="B275" t="s">
        <v>3269</v>
      </c>
      <c r="C275" t="s">
        <v>197</v>
      </c>
      <c r="D275" t="s">
        <v>3270</v>
      </c>
    </row>
    <row r="276" spans="1:4" x14ac:dyDescent="0.25">
      <c r="A276">
        <v>275</v>
      </c>
      <c r="B276" t="s">
        <v>699</v>
      </c>
      <c r="C276" t="s">
        <v>700</v>
      </c>
      <c r="D276" t="s">
        <v>3271</v>
      </c>
    </row>
    <row r="277" spans="1:4" x14ac:dyDescent="0.25">
      <c r="A277">
        <v>276</v>
      </c>
      <c r="B277" t="s">
        <v>3272</v>
      </c>
      <c r="C277" t="s">
        <v>359</v>
      </c>
      <c r="D277" t="s">
        <v>3273</v>
      </c>
    </row>
    <row r="278" spans="1:4" x14ac:dyDescent="0.25">
      <c r="A278">
        <v>277</v>
      </c>
      <c r="B278" t="s">
        <v>704</v>
      </c>
      <c r="C278" t="s">
        <v>705</v>
      </c>
      <c r="D278" t="s">
        <v>3274</v>
      </c>
    </row>
    <row r="279" spans="1:4" x14ac:dyDescent="0.25">
      <c r="A279">
        <v>278</v>
      </c>
      <c r="B279" t="s">
        <v>3275</v>
      </c>
      <c r="C279" t="s">
        <v>90</v>
      </c>
      <c r="D279" t="s">
        <v>3276</v>
      </c>
    </row>
    <row r="280" spans="1:4" x14ac:dyDescent="0.25">
      <c r="A280">
        <v>279</v>
      </c>
      <c r="B280" t="s">
        <v>709</v>
      </c>
      <c r="C280" t="s">
        <v>710</v>
      </c>
      <c r="D280" t="s">
        <v>3277</v>
      </c>
    </row>
    <row r="281" spans="1:4" x14ac:dyDescent="0.25">
      <c r="A281">
        <v>280</v>
      </c>
      <c r="B281" t="s">
        <v>712</v>
      </c>
      <c r="C281" t="s">
        <v>713</v>
      </c>
      <c r="D281" t="s">
        <v>3278</v>
      </c>
    </row>
    <row r="282" spans="1:4" x14ac:dyDescent="0.25">
      <c r="A282">
        <v>281</v>
      </c>
      <c r="B282" t="s">
        <v>715</v>
      </c>
      <c r="C282" t="s">
        <v>716</v>
      </c>
      <c r="D282" t="s">
        <v>3279</v>
      </c>
    </row>
    <row r="283" spans="1:4" x14ac:dyDescent="0.25">
      <c r="A283">
        <v>282</v>
      </c>
      <c r="B283" t="s">
        <v>718</v>
      </c>
      <c r="C283" t="s">
        <v>332</v>
      </c>
      <c r="D283" t="s">
        <v>3280</v>
      </c>
    </row>
    <row r="284" spans="1:4" x14ac:dyDescent="0.25">
      <c r="A284">
        <v>283</v>
      </c>
      <c r="B284" t="s">
        <v>3281</v>
      </c>
      <c r="C284" t="s">
        <v>422</v>
      </c>
      <c r="D284" t="s">
        <v>3282</v>
      </c>
    </row>
    <row r="285" spans="1:4" x14ac:dyDescent="0.25">
      <c r="A285">
        <v>284</v>
      </c>
      <c r="B285" t="s">
        <v>721</v>
      </c>
      <c r="C285" t="s">
        <v>722</v>
      </c>
      <c r="D285" t="s">
        <v>3283</v>
      </c>
    </row>
    <row r="286" spans="1:4" x14ac:dyDescent="0.25">
      <c r="A286">
        <v>285</v>
      </c>
      <c r="B286" t="s">
        <v>724</v>
      </c>
      <c r="C286" t="s">
        <v>163</v>
      </c>
      <c r="D286" t="s">
        <v>3284</v>
      </c>
    </row>
    <row r="287" spans="1:4" x14ac:dyDescent="0.25">
      <c r="A287">
        <v>286</v>
      </c>
      <c r="B287" t="s">
        <v>725</v>
      </c>
      <c r="C287" t="s">
        <v>726</v>
      </c>
      <c r="D287" t="s">
        <v>3285</v>
      </c>
    </row>
    <row r="288" spans="1:4" x14ac:dyDescent="0.25">
      <c r="A288">
        <v>287</v>
      </c>
      <c r="B288" t="s">
        <v>3286</v>
      </c>
      <c r="C288" t="s">
        <v>730</v>
      </c>
      <c r="D288" t="s">
        <v>3287</v>
      </c>
    </row>
    <row r="289" spans="1:4" x14ac:dyDescent="0.25">
      <c r="A289">
        <v>288</v>
      </c>
      <c r="B289" t="s">
        <v>732</v>
      </c>
      <c r="C289" t="s">
        <v>733</v>
      </c>
      <c r="D289" t="s">
        <v>3288</v>
      </c>
    </row>
    <row r="290" spans="1:4" x14ac:dyDescent="0.25">
      <c r="A290">
        <v>289</v>
      </c>
      <c r="B290" t="s">
        <v>735</v>
      </c>
      <c r="C290" t="s">
        <v>736</v>
      </c>
      <c r="D290" t="s">
        <v>3289</v>
      </c>
    </row>
    <row r="291" spans="1:4" x14ac:dyDescent="0.25">
      <c r="A291">
        <v>290</v>
      </c>
      <c r="B291" t="s">
        <v>3290</v>
      </c>
      <c r="C291" t="s">
        <v>133</v>
      </c>
      <c r="D291" t="s">
        <v>3291</v>
      </c>
    </row>
    <row r="292" spans="1:4" x14ac:dyDescent="0.25">
      <c r="A292">
        <v>291</v>
      </c>
      <c r="B292" t="s">
        <v>740</v>
      </c>
      <c r="C292" t="s">
        <v>741</v>
      </c>
      <c r="D292" t="s">
        <v>3292</v>
      </c>
    </row>
    <row r="293" spans="1:4" x14ac:dyDescent="0.25">
      <c r="A293">
        <v>292</v>
      </c>
      <c r="B293" t="s">
        <v>743</v>
      </c>
      <c r="C293" t="s">
        <v>744</v>
      </c>
      <c r="D293" t="s">
        <v>3293</v>
      </c>
    </row>
    <row r="294" spans="1:4" x14ac:dyDescent="0.25">
      <c r="A294">
        <v>293</v>
      </c>
      <c r="B294" t="s">
        <v>746</v>
      </c>
      <c r="C294" t="s">
        <v>747</v>
      </c>
      <c r="D294" t="s">
        <v>3294</v>
      </c>
    </row>
    <row r="295" spans="1:4" x14ac:dyDescent="0.25">
      <c r="A295">
        <v>294</v>
      </c>
      <c r="B295" t="s">
        <v>749</v>
      </c>
      <c r="C295" t="s">
        <v>750</v>
      </c>
      <c r="D295" t="s">
        <v>3295</v>
      </c>
    </row>
    <row r="296" spans="1:4" x14ac:dyDescent="0.25">
      <c r="A296">
        <v>295</v>
      </c>
      <c r="B296" t="s">
        <v>752</v>
      </c>
      <c r="C296" t="s">
        <v>359</v>
      </c>
      <c r="D296" t="s">
        <v>3296</v>
      </c>
    </row>
    <row r="297" spans="1:4" x14ac:dyDescent="0.25">
      <c r="A297">
        <v>296</v>
      </c>
      <c r="B297" t="s">
        <v>753</v>
      </c>
      <c r="C297" t="s">
        <v>754</v>
      </c>
      <c r="D297" t="s">
        <v>3297</v>
      </c>
    </row>
    <row r="298" spans="1:4" x14ac:dyDescent="0.25">
      <c r="A298">
        <v>297</v>
      </c>
      <c r="B298" t="s">
        <v>756</v>
      </c>
      <c r="C298" t="s">
        <v>757</v>
      </c>
      <c r="D298" t="s">
        <v>3298</v>
      </c>
    </row>
    <row r="299" spans="1:4" x14ac:dyDescent="0.25">
      <c r="A299">
        <v>298</v>
      </c>
      <c r="B299" t="s">
        <v>759</v>
      </c>
      <c r="C299" t="s">
        <v>760</v>
      </c>
      <c r="D299" t="s">
        <v>3299</v>
      </c>
    </row>
    <row r="300" spans="1:4" x14ac:dyDescent="0.25">
      <c r="A300">
        <v>299</v>
      </c>
      <c r="B300" t="s">
        <v>762</v>
      </c>
      <c r="C300" t="s">
        <v>763</v>
      </c>
      <c r="D300" t="s">
        <v>3300</v>
      </c>
    </row>
    <row r="301" spans="1:4" x14ac:dyDescent="0.25">
      <c r="A301">
        <v>300</v>
      </c>
      <c r="B301" t="s">
        <v>765</v>
      </c>
      <c r="C301" t="s">
        <v>250</v>
      </c>
      <c r="D301" t="s">
        <v>3301</v>
      </c>
    </row>
    <row r="302" spans="1:4" x14ac:dyDescent="0.25">
      <c r="A302">
        <v>301</v>
      </c>
      <c r="B302" t="s">
        <v>766</v>
      </c>
      <c r="C302" t="s">
        <v>767</v>
      </c>
      <c r="D302" t="s">
        <v>3302</v>
      </c>
    </row>
    <row r="303" spans="1:4" x14ac:dyDescent="0.25">
      <c r="A303">
        <v>302</v>
      </c>
      <c r="B303" t="s">
        <v>769</v>
      </c>
      <c r="C303" t="s">
        <v>770</v>
      </c>
      <c r="D303" t="s">
        <v>3303</v>
      </c>
    </row>
    <row r="304" spans="1:4" x14ac:dyDescent="0.25">
      <c r="A304">
        <v>303</v>
      </c>
      <c r="B304" t="s">
        <v>772</v>
      </c>
      <c r="C304" t="s">
        <v>35</v>
      </c>
      <c r="D304" t="s">
        <v>3304</v>
      </c>
    </row>
    <row r="305" spans="1:4" x14ac:dyDescent="0.25">
      <c r="A305">
        <v>304</v>
      </c>
      <c r="B305" t="s">
        <v>773</v>
      </c>
      <c r="C305" t="s">
        <v>774</v>
      </c>
      <c r="D305" t="s">
        <v>3305</v>
      </c>
    </row>
    <row r="306" spans="1:4" x14ac:dyDescent="0.25">
      <c r="A306">
        <v>305</v>
      </c>
      <c r="B306" t="s">
        <v>3306</v>
      </c>
      <c r="C306" t="s">
        <v>777</v>
      </c>
      <c r="D306" t="s">
        <v>3307</v>
      </c>
    </row>
    <row r="307" spans="1:4" x14ac:dyDescent="0.25">
      <c r="A307">
        <v>306</v>
      </c>
      <c r="B307" t="s">
        <v>779</v>
      </c>
      <c r="C307" t="s">
        <v>302</v>
      </c>
      <c r="D307" t="s">
        <v>3308</v>
      </c>
    </row>
    <row r="308" spans="1:4" x14ac:dyDescent="0.25">
      <c r="A308">
        <v>307</v>
      </c>
      <c r="B308" t="s">
        <v>3309</v>
      </c>
      <c r="C308" t="s">
        <v>777</v>
      </c>
      <c r="D308" t="s">
        <v>3310</v>
      </c>
    </row>
    <row r="309" spans="1:4" x14ac:dyDescent="0.25">
      <c r="A309">
        <v>308</v>
      </c>
      <c r="B309" t="s">
        <v>781</v>
      </c>
      <c r="C309" t="s">
        <v>782</v>
      </c>
      <c r="D309" t="s">
        <v>3311</v>
      </c>
    </row>
    <row r="310" spans="1:4" x14ac:dyDescent="0.25">
      <c r="A310">
        <v>309</v>
      </c>
      <c r="B310" t="s">
        <v>784</v>
      </c>
      <c r="C310" t="s">
        <v>785</v>
      </c>
      <c r="D310" t="s">
        <v>3312</v>
      </c>
    </row>
    <row r="311" spans="1:4" x14ac:dyDescent="0.25">
      <c r="A311">
        <v>310</v>
      </c>
      <c r="B311" t="s">
        <v>787</v>
      </c>
      <c r="C311" t="s">
        <v>215</v>
      </c>
      <c r="D311" t="s">
        <v>3313</v>
      </c>
    </row>
    <row r="312" spans="1:4" x14ac:dyDescent="0.25">
      <c r="A312">
        <v>311</v>
      </c>
      <c r="B312" t="s">
        <v>788</v>
      </c>
      <c r="C312" t="s">
        <v>789</v>
      </c>
      <c r="D312" t="s">
        <v>3314</v>
      </c>
    </row>
    <row r="313" spans="1:4" x14ac:dyDescent="0.25">
      <c r="A313">
        <v>312</v>
      </c>
      <c r="B313" t="s">
        <v>791</v>
      </c>
      <c r="C313" t="s">
        <v>224</v>
      </c>
      <c r="D313" t="s">
        <v>3315</v>
      </c>
    </row>
    <row r="314" spans="1:4" x14ac:dyDescent="0.25">
      <c r="A314">
        <v>313</v>
      </c>
      <c r="B314" t="s">
        <v>792</v>
      </c>
      <c r="C314" t="s">
        <v>793</v>
      </c>
      <c r="D314" t="s">
        <v>3316</v>
      </c>
    </row>
    <row r="315" spans="1:4" x14ac:dyDescent="0.25">
      <c r="A315">
        <v>314</v>
      </c>
      <c r="B315" t="s">
        <v>3317</v>
      </c>
      <c r="C315" t="s">
        <v>608</v>
      </c>
      <c r="D315" t="s">
        <v>3318</v>
      </c>
    </row>
    <row r="316" spans="1:4" x14ac:dyDescent="0.25">
      <c r="A316">
        <v>315</v>
      </c>
      <c r="B316" t="s">
        <v>797</v>
      </c>
      <c r="C316" t="s">
        <v>798</v>
      </c>
      <c r="D316" t="s">
        <v>3319</v>
      </c>
    </row>
    <row r="317" spans="1:4" x14ac:dyDescent="0.25">
      <c r="A317">
        <v>316</v>
      </c>
      <c r="B317" t="s">
        <v>800</v>
      </c>
      <c r="C317" t="s">
        <v>215</v>
      </c>
      <c r="D317" t="s">
        <v>3320</v>
      </c>
    </row>
    <row r="318" spans="1:4" x14ac:dyDescent="0.25">
      <c r="A318">
        <v>317</v>
      </c>
      <c r="B318" t="s">
        <v>2673</v>
      </c>
      <c r="C318" t="s">
        <v>803</v>
      </c>
      <c r="D318" t="s">
        <v>3321</v>
      </c>
    </row>
    <row r="319" spans="1:4" x14ac:dyDescent="0.25">
      <c r="A319">
        <v>318</v>
      </c>
      <c r="B319" t="s">
        <v>805</v>
      </c>
      <c r="C319" t="s">
        <v>806</v>
      </c>
      <c r="D319" t="s">
        <v>3322</v>
      </c>
    </row>
    <row r="320" spans="1:4" x14ac:dyDescent="0.25">
      <c r="A320">
        <v>319</v>
      </c>
      <c r="B320" t="s">
        <v>2674</v>
      </c>
      <c r="C320" t="s">
        <v>808</v>
      </c>
      <c r="D320" t="s">
        <v>3323</v>
      </c>
    </row>
    <row r="321" spans="1:4" x14ac:dyDescent="0.25">
      <c r="A321">
        <v>320</v>
      </c>
      <c r="B321" t="s">
        <v>810</v>
      </c>
      <c r="C321" t="s">
        <v>70</v>
      </c>
      <c r="D321" t="s">
        <v>3324</v>
      </c>
    </row>
    <row r="322" spans="1:4" x14ac:dyDescent="0.25">
      <c r="A322">
        <v>321</v>
      </c>
      <c r="B322" t="s">
        <v>811</v>
      </c>
      <c r="C322" t="s">
        <v>785</v>
      </c>
      <c r="D322" t="s">
        <v>3325</v>
      </c>
    </row>
    <row r="323" spans="1:4" x14ac:dyDescent="0.25">
      <c r="A323">
        <v>322</v>
      </c>
      <c r="B323" t="s">
        <v>812</v>
      </c>
      <c r="C323" t="s">
        <v>215</v>
      </c>
      <c r="D323" t="s">
        <v>3326</v>
      </c>
    </row>
    <row r="324" spans="1:4" x14ac:dyDescent="0.25">
      <c r="A324">
        <v>323</v>
      </c>
      <c r="B324" t="s">
        <v>815</v>
      </c>
      <c r="C324" t="s">
        <v>816</v>
      </c>
      <c r="D324" t="s">
        <v>3327</v>
      </c>
    </row>
    <row r="325" spans="1:4" x14ac:dyDescent="0.25">
      <c r="A325">
        <v>324</v>
      </c>
      <c r="B325" t="s">
        <v>818</v>
      </c>
      <c r="C325" t="s">
        <v>819</v>
      </c>
      <c r="D325" t="s">
        <v>3328</v>
      </c>
    </row>
    <row r="326" spans="1:4" x14ac:dyDescent="0.25">
      <c r="A326">
        <v>325</v>
      </c>
      <c r="B326" t="s">
        <v>821</v>
      </c>
      <c r="C326" t="s">
        <v>822</v>
      </c>
      <c r="D326" t="s">
        <v>3329</v>
      </c>
    </row>
    <row r="327" spans="1:4" x14ac:dyDescent="0.25">
      <c r="A327">
        <v>326</v>
      </c>
      <c r="B327" t="s">
        <v>824</v>
      </c>
      <c r="C327" t="s">
        <v>825</v>
      </c>
      <c r="D327" t="s">
        <v>3330</v>
      </c>
    </row>
    <row r="328" spans="1:4" x14ac:dyDescent="0.25">
      <c r="A328">
        <v>327</v>
      </c>
      <c r="B328" t="s">
        <v>827</v>
      </c>
      <c r="C328" t="s">
        <v>70</v>
      </c>
      <c r="D328" t="s">
        <v>3331</v>
      </c>
    </row>
    <row r="329" spans="1:4" x14ac:dyDescent="0.25">
      <c r="A329">
        <v>328</v>
      </c>
      <c r="B329" t="s">
        <v>828</v>
      </c>
      <c r="C329" t="s">
        <v>215</v>
      </c>
      <c r="D329" t="s">
        <v>3332</v>
      </c>
    </row>
    <row r="330" spans="1:4" x14ac:dyDescent="0.25">
      <c r="A330">
        <v>329</v>
      </c>
      <c r="B330" t="s">
        <v>829</v>
      </c>
      <c r="C330" t="s">
        <v>830</v>
      </c>
      <c r="D330" t="s">
        <v>3333</v>
      </c>
    </row>
    <row r="331" spans="1:4" x14ac:dyDescent="0.25">
      <c r="A331">
        <v>330</v>
      </c>
      <c r="B331" t="s">
        <v>832</v>
      </c>
      <c r="C331" t="s">
        <v>215</v>
      </c>
      <c r="D331" t="s">
        <v>3334</v>
      </c>
    </row>
    <row r="332" spans="1:4" x14ac:dyDescent="0.25">
      <c r="A332">
        <v>331</v>
      </c>
      <c r="B332" t="s">
        <v>833</v>
      </c>
      <c r="C332" t="s">
        <v>215</v>
      </c>
      <c r="D332" t="s">
        <v>3335</v>
      </c>
    </row>
    <row r="333" spans="1:4" x14ac:dyDescent="0.25">
      <c r="A333">
        <v>332</v>
      </c>
      <c r="B333" t="s">
        <v>3336</v>
      </c>
      <c r="C333" t="s">
        <v>530</v>
      </c>
      <c r="D333" t="s">
        <v>3337</v>
      </c>
    </row>
    <row r="334" spans="1:4" x14ac:dyDescent="0.25">
      <c r="A334">
        <v>333</v>
      </c>
      <c r="B334" t="s">
        <v>836</v>
      </c>
      <c r="C334" t="s">
        <v>837</v>
      </c>
      <c r="D334" t="s">
        <v>3338</v>
      </c>
    </row>
    <row r="335" spans="1:4" x14ac:dyDescent="0.25">
      <c r="A335">
        <v>334</v>
      </c>
      <c r="B335" t="s">
        <v>3339</v>
      </c>
      <c r="C335" t="s">
        <v>530</v>
      </c>
      <c r="D335" t="s">
        <v>3340</v>
      </c>
    </row>
    <row r="336" spans="1:4" x14ac:dyDescent="0.25">
      <c r="A336">
        <v>335</v>
      </c>
      <c r="B336" t="s">
        <v>3341</v>
      </c>
      <c r="C336" t="s">
        <v>843</v>
      </c>
      <c r="D336" t="s">
        <v>3342</v>
      </c>
    </row>
    <row r="337" spans="1:4" x14ac:dyDescent="0.25">
      <c r="A337">
        <v>336</v>
      </c>
      <c r="B337" t="s">
        <v>3343</v>
      </c>
      <c r="C337" t="s">
        <v>608</v>
      </c>
      <c r="D337" t="s">
        <v>3344</v>
      </c>
    </row>
    <row r="338" spans="1:4" x14ac:dyDescent="0.25">
      <c r="A338">
        <v>337</v>
      </c>
      <c r="B338" t="s">
        <v>3345</v>
      </c>
      <c r="C338" t="s">
        <v>849</v>
      </c>
      <c r="D338" t="s">
        <v>3346</v>
      </c>
    </row>
    <row r="339" spans="1:4" x14ac:dyDescent="0.25">
      <c r="A339">
        <v>338</v>
      </c>
      <c r="B339" t="s">
        <v>851</v>
      </c>
      <c r="C339" t="s">
        <v>35</v>
      </c>
      <c r="D339" t="s">
        <v>3347</v>
      </c>
    </row>
    <row r="340" spans="1:4" x14ac:dyDescent="0.25">
      <c r="A340">
        <v>339</v>
      </c>
      <c r="B340" t="s">
        <v>3348</v>
      </c>
      <c r="C340" t="s">
        <v>530</v>
      </c>
      <c r="D340" t="s">
        <v>3349</v>
      </c>
    </row>
    <row r="341" spans="1:4" x14ac:dyDescent="0.25">
      <c r="A341">
        <v>340</v>
      </c>
      <c r="B341" t="s">
        <v>854</v>
      </c>
      <c r="C341" t="s">
        <v>290</v>
      </c>
      <c r="D341" t="s">
        <v>3350</v>
      </c>
    </row>
    <row r="342" spans="1:4" x14ac:dyDescent="0.25">
      <c r="A342">
        <v>341</v>
      </c>
      <c r="B342" t="s">
        <v>855</v>
      </c>
      <c r="C342" t="s">
        <v>856</v>
      </c>
      <c r="D342" t="s">
        <v>3351</v>
      </c>
    </row>
    <row r="343" spans="1:4" x14ac:dyDescent="0.25">
      <c r="A343">
        <v>342</v>
      </c>
      <c r="B343" t="s">
        <v>858</v>
      </c>
      <c r="C343" t="s">
        <v>859</v>
      </c>
      <c r="D343" t="s">
        <v>3352</v>
      </c>
    </row>
    <row r="344" spans="1:4" x14ac:dyDescent="0.25">
      <c r="A344">
        <v>343</v>
      </c>
      <c r="B344" t="s">
        <v>861</v>
      </c>
      <c r="C344" t="s">
        <v>224</v>
      </c>
      <c r="D344" t="s">
        <v>3353</v>
      </c>
    </row>
    <row r="345" spans="1:4" x14ac:dyDescent="0.25">
      <c r="A345">
        <v>344</v>
      </c>
      <c r="B345" t="s">
        <v>862</v>
      </c>
      <c r="C345" t="s">
        <v>302</v>
      </c>
      <c r="D345" t="s">
        <v>3354</v>
      </c>
    </row>
    <row r="346" spans="1:4" x14ac:dyDescent="0.25">
      <c r="A346">
        <v>345</v>
      </c>
      <c r="B346" t="s">
        <v>863</v>
      </c>
      <c r="C346" t="s">
        <v>864</v>
      </c>
      <c r="D346" t="s">
        <v>3355</v>
      </c>
    </row>
    <row r="347" spans="1:4" x14ac:dyDescent="0.25">
      <c r="A347">
        <v>346</v>
      </c>
      <c r="B347" t="s">
        <v>2685</v>
      </c>
      <c r="C347" t="s">
        <v>170</v>
      </c>
      <c r="D347" t="s">
        <v>3356</v>
      </c>
    </row>
    <row r="348" spans="1:4" x14ac:dyDescent="0.25">
      <c r="A348">
        <v>347</v>
      </c>
      <c r="B348" t="s">
        <v>866</v>
      </c>
      <c r="C348" t="s">
        <v>867</v>
      </c>
      <c r="D348" t="s">
        <v>3357</v>
      </c>
    </row>
    <row r="349" spans="1:4" x14ac:dyDescent="0.25">
      <c r="A349">
        <v>348</v>
      </c>
      <c r="B349" t="s">
        <v>873</v>
      </c>
      <c r="C349" t="s">
        <v>869</v>
      </c>
      <c r="D349" t="s">
        <v>3358</v>
      </c>
    </row>
    <row r="350" spans="1:4" x14ac:dyDescent="0.25">
      <c r="A350">
        <v>349</v>
      </c>
      <c r="B350" t="s">
        <v>874</v>
      </c>
      <c r="C350" t="s">
        <v>875</v>
      </c>
      <c r="D350" t="s">
        <v>3359</v>
      </c>
    </row>
    <row r="351" spans="1:4" x14ac:dyDescent="0.25">
      <c r="A351">
        <v>350</v>
      </c>
      <c r="B351" t="s">
        <v>877</v>
      </c>
      <c r="C351" t="s">
        <v>616</v>
      </c>
      <c r="D351" t="s">
        <v>3360</v>
      </c>
    </row>
    <row r="352" spans="1:4" x14ac:dyDescent="0.25">
      <c r="A352">
        <v>351</v>
      </c>
      <c r="B352" t="s">
        <v>3361</v>
      </c>
      <c r="C352" t="s">
        <v>302</v>
      </c>
      <c r="D352" t="s">
        <v>3362</v>
      </c>
    </row>
    <row r="353" spans="1:4" x14ac:dyDescent="0.25">
      <c r="A353">
        <v>352</v>
      </c>
      <c r="B353" t="s">
        <v>880</v>
      </c>
      <c r="C353" t="s">
        <v>881</v>
      </c>
      <c r="D353" t="s">
        <v>3363</v>
      </c>
    </row>
    <row r="354" spans="1:4" x14ac:dyDescent="0.25">
      <c r="A354">
        <v>353</v>
      </c>
      <c r="B354" t="s">
        <v>883</v>
      </c>
      <c r="C354" t="s">
        <v>215</v>
      </c>
      <c r="D354" t="s">
        <v>3364</v>
      </c>
    </row>
    <row r="355" spans="1:4" x14ac:dyDescent="0.25">
      <c r="A355">
        <v>354</v>
      </c>
      <c r="B355" t="s">
        <v>884</v>
      </c>
      <c r="C355" t="s">
        <v>616</v>
      </c>
      <c r="D355" t="s">
        <v>3365</v>
      </c>
    </row>
    <row r="356" spans="1:4" x14ac:dyDescent="0.25">
      <c r="A356">
        <v>355</v>
      </c>
      <c r="B356" t="s">
        <v>885</v>
      </c>
      <c r="C356" t="s">
        <v>886</v>
      </c>
      <c r="D356" t="s">
        <v>3366</v>
      </c>
    </row>
    <row r="357" spans="1:4" x14ac:dyDescent="0.25">
      <c r="A357">
        <v>356</v>
      </c>
      <c r="B357" t="s">
        <v>888</v>
      </c>
      <c r="C357" t="s">
        <v>889</v>
      </c>
      <c r="D357" t="s">
        <v>3367</v>
      </c>
    </row>
    <row r="358" spans="1:4" x14ac:dyDescent="0.25">
      <c r="A358">
        <v>357</v>
      </c>
      <c r="B358" t="s">
        <v>891</v>
      </c>
      <c r="C358" t="s">
        <v>892</v>
      </c>
      <c r="D358" t="s">
        <v>3368</v>
      </c>
    </row>
    <row r="359" spans="1:4" x14ac:dyDescent="0.25">
      <c r="A359">
        <v>358</v>
      </c>
      <c r="B359" t="s">
        <v>894</v>
      </c>
      <c r="C359" t="s">
        <v>215</v>
      </c>
      <c r="D359" t="s">
        <v>3369</v>
      </c>
    </row>
    <row r="360" spans="1:4" x14ac:dyDescent="0.25">
      <c r="A360">
        <v>359</v>
      </c>
      <c r="B360" t="s">
        <v>3370</v>
      </c>
      <c r="C360" t="s">
        <v>287</v>
      </c>
      <c r="D360" t="s">
        <v>3371</v>
      </c>
    </row>
    <row r="361" spans="1:4" x14ac:dyDescent="0.25">
      <c r="A361">
        <v>360</v>
      </c>
      <c r="B361" t="s">
        <v>897</v>
      </c>
      <c r="C361" t="s">
        <v>215</v>
      </c>
      <c r="D361" t="s">
        <v>3372</v>
      </c>
    </row>
    <row r="362" spans="1:4" x14ac:dyDescent="0.25">
      <c r="A362">
        <v>361</v>
      </c>
      <c r="B362" t="s">
        <v>898</v>
      </c>
      <c r="C362" t="s">
        <v>899</v>
      </c>
      <c r="D362" t="s">
        <v>3373</v>
      </c>
    </row>
    <row r="363" spans="1:4" x14ac:dyDescent="0.25">
      <c r="A363">
        <v>362</v>
      </c>
      <c r="B363" t="s">
        <v>2693</v>
      </c>
      <c r="C363" t="s">
        <v>901</v>
      </c>
      <c r="D363" t="s">
        <v>3374</v>
      </c>
    </row>
    <row r="364" spans="1:4" x14ac:dyDescent="0.25">
      <c r="A364">
        <v>363</v>
      </c>
      <c r="B364" t="s">
        <v>3375</v>
      </c>
      <c r="C364" t="s">
        <v>803</v>
      </c>
      <c r="D364" t="s">
        <v>3376</v>
      </c>
    </row>
    <row r="365" spans="1:4" x14ac:dyDescent="0.25">
      <c r="A365">
        <v>364</v>
      </c>
      <c r="B365" t="s">
        <v>905</v>
      </c>
      <c r="C365" t="s">
        <v>803</v>
      </c>
      <c r="D365" t="s">
        <v>3377</v>
      </c>
    </row>
    <row r="366" spans="1:4" x14ac:dyDescent="0.25">
      <c r="A366">
        <v>365</v>
      </c>
      <c r="B366" t="s">
        <v>906</v>
      </c>
      <c r="C366" t="s">
        <v>62</v>
      </c>
      <c r="D366" t="s">
        <v>3378</v>
      </c>
    </row>
    <row r="367" spans="1:4" x14ac:dyDescent="0.25">
      <c r="A367">
        <v>366</v>
      </c>
      <c r="B367" t="s">
        <v>907</v>
      </c>
      <c r="C367" t="s">
        <v>530</v>
      </c>
      <c r="D367" t="s">
        <v>3379</v>
      </c>
    </row>
    <row r="368" spans="1:4" x14ac:dyDescent="0.25">
      <c r="A368">
        <v>367</v>
      </c>
      <c r="B368" t="s">
        <v>908</v>
      </c>
      <c r="C368" t="s">
        <v>803</v>
      </c>
      <c r="D368" t="s">
        <v>3380</v>
      </c>
    </row>
    <row r="369" spans="1:4" x14ac:dyDescent="0.25">
      <c r="A369">
        <v>368</v>
      </c>
      <c r="B369" t="s">
        <v>909</v>
      </c>
      <c r="C369" t="s">
        <v>241</v>
      </c>
      <c r="D369" t="s">
        <v>3381</v>
      </c>
    </row>
    <row r="370" spans="1:4" x14ac:dyDescent="0.25">
      <c r="A370">
        <v>369</v>
      </c>
      <c r="B370" t="s">
        <v>910</v>
      </c>
      <c r="C370" t="s">
        <v>803</v>
      </c>
      <c r="D370" t="s">
        <v>3382</v>
      </c>
    </row>
    <row r="371" spans="1:4" x14ac:dyDescent="0.25">
      <c r="A371">
        <v>370</v>
      </c>
      <c r="B371" t="s">
        <v>911</v>
      </c>
      <c r="C371" t="s">
        <v>912</v>
      </c>
      <c r="D371" t="s">
        <v>3383</v>
      </c>
    </row>
    <row r="372" spans="1:4" x14ac:dyDescent="0.25">
      <c r="A372">
        <v>371</v>
      </c>
      <c r="B372" t="s">
        <v>914</v>
      </c>
      <c r="C372" t="s">
        <v>915</v>
      </c>
      <c r="D372" t="s">
        <v>3384</v>
      </c>
    </row>
    <row r="373" spans="1:4" x14ac:dyDescent="0.25">
      <c r="A373">
        <v>372</v>
      </c>
      <c r="B373" t="s">
        <v>917</v>
      </c>
      <c r="C373" t="s">
        <v>918</v>
      </c>
      <c r="D373" t="s">
        <v>3385</v>
      </c>
    </row>
    <row r="374" spans="1:4" x14ac:dyDescent="0.25">
      <c r="A374">
        <v>373</v>
      </c>
      <c r="B374" t="s">
        <v>920</v>
      </c>
      <c r="C374" t="s">
        <v>921</v>
      </c>
      <c r="D374" t="s">
        <v>3386</v>
      </c>
    </row>
    <row r="375" spans="1:4" x14ac:dyDescent="0.25">
      <c r="A375">
        <v>374</v>
      </c>
      <c r="B375" t="s">
        <v>2695</v>
      </c>
      <c r="C375" t="s">
        <v>923</v>
      </c>
      <c r="D375" t="s">
        <v>3387</v>
      </c>
    </row>
    <row r="376" spans="1:4" x14ac:dyDescent="0.25">
      <c r="A376">
        <v>375</v>
      </c>
      <c r="B376" t="s">
        <v>3388</v>
      </c>
      <c r="C376" t="s">
        <v>228</v>
      </c>
      <c r="D376" t="s">
        <v>3389</v>
      </c>
    </row>
    <row r="377" spans="1:4" x14ac:dyDescent="0.25">
      <c r="A377">
        <v>376</v>
      </c>
      <c r="B377" t="s">
        <v>927</v>
      </c>
      <c r="C377" t="s">
        <v>269</v>
      </c>
      <c r="D377" t="s">
        <v>3390</v>
      </c>
    </row>
    <row r="378" spans="1:4" x14ac:dyDescent="0.25">
      <c r="A378">
        <v>377</v>
      </c>
      <c r="B378" t="s">
        <v>928</v>
      </c>
      <c r="C378" t="s">
        <v>287</v>
      </c>
      <c r="D378" t="s">
        <v>3391</v>
      </c>
    </row>
    <row r="379" spans="1:4" x14ac:dyDescent="0.25">
      <c r="A379">
        <v>378</v>
      </c>
      <c r="B379" t="s">
        <v>929</v>
      </c>
      <c r="C379" t="s">
        <v>921</v>
      </c>
      <c r="D379" t="s">
        <v>3392</v>
      </c>
    </row>
    <row r="380" spans="1:4" x14ac:dyDescent="0.25">
      <c r="A380">
        <v>379</v>
      </c>
      <c r="B380" t="s">
        <v>930</v>
      </c>
      <c r="C380" t="s">
        <v>931</v>
      </c>
      <c r="D380" t="s">
        <v>3393</v>
      </c>
    </row>
    <row r="381" spans="1:4" x14ac:dyDescent="0.25">
      <c r="A381">
        <v>380</v>
      </c>
      <c r="B381" t="s">
        <v>933</v>
      </c>
      <c r="C381" t="s">
        <v>921</v>
      </c>
      <c r="D381" t="s">
        <v>3394</v>
      </c>
    </row>
    <row r="382" spans="1:4" x14ac:dyDescent="0.25">
      <c r="A382">
        <v>381</v>
      </c>
      <c r="B382" t="s">
        <v>3395</v>
      </c>
      <c r="C382" t="s">
        <v>938</v>
      </c>
      <c r="D382" t="s">
        <v>3396</v>
      </c>
    </row>
    <row r="383" spans="1:4" x14ac:dyDescent="0.25">
      <c r="A383">
        <v>382</v>
      </c>
      <c r="B383" t="s">
        <v>940</v>
      </c>
      <c r="C383" t="s">
        <v>941</v>
      </c>
      <c r="D383" t="s">
        <v>3397</v>
      </c>
    </row>
    <row r="384" spans="1:4" x14ac:dyDescent="0.25">
      <c r="A384">
        <v>383</v>
      </c>
      <c r="B384" t="s">
        <v>943</v>
      </c>
      <c r="C384" t="s">
        <v>269</v>
      </c>
      <c r="D384" t="s">
        <v>3398</v>
      </c>
    </row>
    <row r="385" spans="1:4" x14ac:dyDescent="0.25">
      <c r="A385">
        <v>384</v>
      </c>
      <c r="B385" t="s">
        <v>944</v>
      </c>
      <c r="C385" t="s">
        <v>941</v>
      </c>
      <c r="D385" t="s">
        <v>3399</v>
      </c>
    </row>
    <row r="386" spans="1:4" x14ac:dyDescent="0.25">
      <c r="A386">
        <v>385</v>
      </c>
      <c r="B386" t="s">
        <v>945</v>
      </c>
      <c r="C386" t="s">
        <v>215</v>
      </c>
      <c r="D386" t="s">
        <v>3400</v>
      </c>
    </row>
    <row r="387" spans="1:4" x14ac:dyDescent="0.25">
      <c r="A387">
        <v>386</v>
      </c>
      <c r="B387" t="s">
        <v>946</v>
      </c>
      <c r="C387" t="s">
        <v>947</v>
      </c>
      <c r="D387" t="s">
        <v>3401</v>
      </c>
    </row>
    <row r="388" spans="1:4" x14ac:dyDescent="0.25">
      <c r="A388">
        <v>387</v>
      </c>
      <c r="B388" t="s">
        <v>3402</v>
      </c>
      <c r="C388" t="s">
        <v>616</v>
      </c>
      <c r="D388" t="s">
        <v>3403</v>
      </c>
    </row>
    <row r="389" spans="1:4" x14ac:dyDescent="0.25">
      <c r="A389">
        <v>388</v>
      </c>
      <c r="B389" t="s">
        <v>2703</v>
      </c>
      <c r="C389" t="s">
        <v>951</v>
      </c>
      <c r="D389" t="s">
        <v>3404</v>
      </c>
    </row>
    <row r="390" spans="1:4" x14ac:dyDescent="0.25">
      <c r="A390">
        <v>389</v>
      </c>
      <c r="B390" t="s">
        <v>953</v>
      </c>
      <c r="C390" t="s">
        <v>722</v>
      </c>
      <c r="D390" t="s">
        <v>3405</v>
      </c>
    </row>
    <row r="391" spans="1:4" x14ac:dyDescent="0.25">
      <c r="A391">
        <v>390</v>
      </c>
      <c r="B391" t="s">
        <v>2704</v>
      </c>
      <c r="C391" t="s">
        <v>954</v>
      </c>
      <c r="D391" t="s">
        <v>3406</v>
      </c>
    </row>
    <row r="392" spans="1:4" x14ac:dyDescent="0.25">
      <c r="A392">
        <v>391</v>
      </c>
      <c r="B392" t="s">
        <v>956</v>
      </c>
      <c r="C392" t="s">
        <v>849</v>
      </c>
      <c r="D392" t="s">
        <v>3407</v>
      </c>
    </row>
    <row r="393" spans="1:4" x14ac:dyDescent="0.25">
      <c r="A393">
        <v>392</v>
      </c>
      <c r="B393" t="s">
        <v>3408</v>
      </c>
      <c r="C393" t="s">
        <v>552</v>
      </c>
      <c r="D393" t="s">
        <v>3409</v>
      </c>
    </row>
    <row r="394" spans="1:4" x14ac:dyDescent="0.25">
      <c r="A394">
        <v>393</v>
      </c>
      <c r="B394" t="s">
        <v>3410</v>
      </c>
      <c r="C394" t="s">
        <v>174</v>
      </c>
      <c r="D394" t="s">
        <v>3411</v>
      </c>
    </row>
    <row r="395" spans="1:4" x14ac:dyDescent="0.25">
      <c r="A395">
        <v>394</v>
      </c>
      <c r="B395" t="s">
        <v>3412</v>
      </c>
      <c r="C395" t="s">
        <v>280</v>
      </c>
      <c r="D395" t="s">
        <v>3413</v>
      </c>
    </row>
    <row r="396" spans="1:4" x14ac:dyDescent="0.25">
      <c r="A396">
        <v>395</v>
      </c>
      <c r="B396" t="s">
        <v>3414</v>
      </c>
      <c r="C396" t="s">
        <v>280</v>
      </c>
      <c r="D396" t="s">
        <v>3415</v>
      </c>
    </row>
    <row r="397" spans="1:4" x14ac:dyDescent="0.25">
      <c r="A397">
        <v>396</v>
      </c>
      <c r="B397" t="s">
        <v>964</v>
      </c>
      <c r="C397" t="s">
        <v>965</v>
      </c>
      <c r="D397" t="s">
        <v>3416</v>
      </c>
    </row>
    <row r="398" spans="1:4" x14ac:dyDescent="0.25">
      <c r="A398">
        <v>397</v>
      </c>
      <c r="B398" t="s">
        <v>3417</v>
      </c>
      <c r="C398" t="s">
        <v>280</v>
      </c>
      <c r="D398" t="s">
        <v>3418</v>
      </c>
    </row>
    <row r="399" spans="1:4" x14ac:dyDescent="0.25">
      <c r="A399">
        <v>398</v>
      </c>
      <c r="B399" t="s">
        <v>3419</v>
      </c>
      <c r="C399" t="s">
        <v>280</v>
      </c>
      <c r="D399" t="s">
        <v>3420</v>
      </c>
    </row>
    <row r="400" spans="1:4" x14ac:dyDescent="0.25">
      <c r="A400">
        <v>399</v>
      </c>
      <c r="B400" t="s">
        <v>973</v>
      </c>
      <c r="C400" t="s">
        <v>62</v>
      </c>
      <c r="D400" t="s">
        <v>3421</v>
      </c>
    </row>
    <row r="401" spans="1:4" x14ac:dyDescent="0.25">
      <c r="A401">
        <v>400</v>
      </c>
      <c r="B401" t="s">
        <v>974</v>
      </c>
      <c r="C401" t="s">
        <v>62</v>
      </c>
      <c r="D401" t="s">
        <v>3422</v>
      </c>
    </row>
    <row r="402" spans="1:4" x14ac:dyDescent="0.25">
      <c r="A402">
        <v>401</v>
      </c>
      <c r="B402" t="s">
        <v>975</v>
      </c>
      <c r="C402" t="s">
        <v>364</v>
      </c>
      <c r="D402" t="s">
        <v>3423</v>
      </c>
    </row>
    <row r="403" spans="1:4" x14ac:dyDescent="0.25">
      <c r="A403">
        <v>402</v>
      </c>
      <c r="B403" t="s">
        <v>3424</v>
      </c>
      <c r="C403" t="s">
        <v>174</v>
      </c>
      <c r="D403" t="s">
        <v>3425</v>
      </c>
    </row>
    <row r="404" spans="1:4" x14ac:dyDescent="0.25">
      <c r="A404">
        <v>403</v>
      </c>
      <c r="B404" t="s">
        <v>978</v>
      </c>
      <c r="C404" t="s">
        <v>364</v>
      </c>
      <c r="D404" t="s">
        <v>3426</v>
      </c>
    </row>
    <row r="405" spans="1:4" x14ac:dyDescent="0.25">
      <c r="A405">
        <v>404</v>
      </c>
      <c r="B405" t="s">
        <v>3427</v>
      </c>
      <c r="C405" t="s">
        <v>280</v>
      </c>
      <c r="D405" t="s">
        <v>3428</v>
      </c>
    </row>
    <row r="406" spans="1:4" x14ac:dyDescent="0.25">
      <c r="A406">
        <v>405</v>
      </c>
      <c r="B406" t="s">
        <v>981</v>
      </c>
      <c r="C406" t="s">
        <v>62</v>
      </c>
      <c r="D406" t="s">
        <v>3429</v>
      </c>
    </row>
    <row r="407" spans="1:4" x14ac:dyDescent="0.25">
      <c r="A407">
        <v>406</v>
      </c>
      <c r="B407" t="s">
        <v>3430</v>
      </c>
      <c r="C407" t="s">
        <v>280</v>
      </c>
      <c r="D407" t="s">
        <v>3431</v>
      </c>
    </row>
    <row r="408" spans="1:4" x14ac:dyDescent="0.25">
      <c r="A408">
        <v>407</v>
      </c>
      <c r="B408" t="s">
        <v>3432</v>
      </c>
      <c r="C408" t="s">
        <v>280</v>
      </c>
      <c r="D408" t="s">
        <v>3433</v>
      </c>
    </row>
    <row r="409" spans="1:4" x14ac:dyDescent="0.25">
      <c r="A409">
        <v>408</v>
      </c>
      <c r="B409" t="s">
        <v>2713</v>
      </c>
      <c r="C409" t="s">
        <v>986</v>
      </c>
      <c r="D409" t="s">
        <v>3434</v>
      </c>
    </row>
    <row r="410" spans="1:4" x14ac:dyDescent="0.25">
      <c r="A410">
        <v>409</v>
      </c>
      <c r="B410" t="s">
        <v>988</v>
      </c>
      <c r="C410" t="s">
        <v>989</v>
      </c>
      <c r="D410" t="s">
        <v>3435</v>
      </c>
    </row>
    <row r="411" spans="1:4" x14ac:dyDescent="0.25">
      <c r="A411">
        <v>410</v>
      </c>
      <c r="B411" t="s">
        <v>3436</v>
      </c>
      <c r="C411" t="s">
        <v>280</v>
      </c>
      <c r="D411" t="s">
        <v>3437</v>
      </c>
    </row>
    <row r="412" spans="1:4" x14ac:dyDescent="0.25">
      <c r="A412">
        <v>411</v>
      </c>
      <c r="B412" t="s">
        <v>3438</v>
      </c>
      <c r="C412" t="s">
        <v>280</v>
      </c>
      <c r="D412" t="s">
        <v>3439</v>
      </c>
    </row>
    <row r="413" spans="1:4" x14ac:dyDescent="0.25">
      <c r="A413">
        <v>412</v>
      </c>
      <c r="B413" t="s">
        <v>3440</v>
      </c>
      <c r="C413" t="s">
        <v>996</v>
      </c>
      <c r="D413" t="s">
        <v>3441</v>
      </c>
    </row>
    <row r="414" spans="1:4" x14ac:dyDescent="0.25">
      <c r="A414">
        <v>413</v>
      </c>
      <c r="B414" t="s">
        <v>3442</v>
      </c>
      <c r="C414" t="s">
        <v>996</v>
      </c>
      <c r="D414" t="s">
        <v>3443</v>
      </c>
    </row>
    <row r="415" spans="1:4" x14ac:dyDescent="0.25">
      <c r="A415">
        <v>414</v>
      </c>
      <c r="B415" t="s">
        <v>3444</v>
      </c>
      <c r="C415" t="s">
        <v>280</v>
      </c>
      <c r="D415" t="s">
        <v>3445</v>
      </c>
    </row>
    <row r="416" spans="1:4" x14ac:dyDescent="0.25">
      <c r="A416">
        <v>415</v>
      </c>
      <c r="B416" t="s">
        <v>1001</v>
      </c>
      <c r="C416" t="s">
        <v>1002</v>
      </c>
      <c r="D416" t="s">
        <v>3446</v>
      </c>
    </row>
    <row r="417" spans="1:4" x14ac:dyDescent="0.25">
      <c r="A417">
        <v>416</v>
      </c>
      <c r="B417" t="s">
        <v>3447</v>
      </c>
      <c r="C417" t="s">
        <v>1006</v>
      </c>
      <c r="D417" t="s">
        <v>3448</v>
      </c>
    </row>
    <row r="418" spans="1:4" x14ac:dyDescent="0.25">
      <c r="A418">
        <v>417</v>
      </c>
      <c r="B418" t="s">
        <v>3449</v>
      </c>
      <c r="C418" t="s">
        <v>1010</v>
      </c>
      <c r="D418" t="s">
        <v>3450</v>
      </c>
    </row>
    <row r="419" spans="1:4" x14ac:dyDescent="0.25">
      <c r="A419">
        <v>418</v>
      </c>
      <c r="B419" t="s">
        <v>1012</v>
      </c>
      <c r="C419" t="s">
        <v>1013</v>
      </c>
      <c r="D419" t="s">
        <v>3451</v>
      </c>
    </row>
    <row r="420" spans="1:4" x14ac:dyDescent="0.25">
      <c r="A420">
        <v>419</v>
      </c>
      <c r="B420" t="s">
        <v>3452</v>
      </c>
      <c r="C420" t="s">
        <v>1010</v>
      </c>
      <c r="D420" t="s">
        <v>3453</v>
      </c>
    </row>
    <row r="421" spans="1:4" x14ac:dyDescent="0.25">
      <c r="A421">
        <v>420</v>
      </c>
      <c r="B421" t="s">
        <v>3454</v>
      </c>
      <c r="C421" t="s">
        <v>1010</v>
      </c>
      <c r="D421" t="s">
        <v>3455</v>
      </c>
    </row>
    <row r="422" spans="1:4" x14ac:dyDescent="0.25">
      <c r="A422">
        <v>421</v>
      </c>
      <c r="B422" t="s">
        <v>1019</v>
      </c>
      <c r="C422" t="s">
        <v>1020</v>
      </c>
      <c r="D422" t="s">
        <v>3456</v>
      </c>
    </row>
    <row r="423" spans="1:4" x14ac:dyDescent="0.25">
      <c r="A423">
        <v>422</v>
      </c>
      <c r="B423" t="s">
        <v>3457</v>
      </c>
      <c r="C423" t="s">
        <v>174</v>
      </c>
      <c r="D423" t="s">
        <v>3458</v>
      </c>
    </row>
    <row r="424" spans="1:4" x14ac:dyDescent="0.25">
      <c r="A424">
        <v>423</v>
      </c>
      <c r="B424" t="s">
        <v>3459</v>
      </c>
      <c r="C424" t="s">
        <v>174</v>
      </c>
      <c r="D424" t="s">
        <v>3460</v>
      </c>
    </row>
    <row r="425" spans="1:4" x14ac:dyDescent="0.25">
      <c r="A425">
        <v>424</v>
      </c>
      <c r="B425" t="s">
        <v>1026</v>
      </c>
      <c r="C425" t="s">
        <v>280</v>
      </c>
      <c r="D425" t="s">
        <v>3461</v>
      </c>
    </row>
    <row r="426" spans="1:4" x14ac:dyDescent="0.25">
      <c r="A426">
        <v>425</v>
      </c>
      <c r="B426" t="s">
        <v>3462</v>
      </c>
      <c r="C426" t="s">
        <v>359</v>
      </c>
      <c r="D426" t="s">
        <v>3463</v>
      </c>
    </row>
    <row r="427" spans="1:4" x14ac:dyDescent="0.25">
      <c r="A427">
        <v>426</v>
      </c>
      <c r="B427" t="s">
        <v>1143</v>
      </c>
      <c r="C427" t="s">
        <v>359</v>
      </c>
      <c r="D427" t="s">
        <v>3464</v>
      </c>
    </row>
    <row r="428" spans="1:4" x14ac:dyDescent="0.25">
      <c r="A428">
        <v>427</v>
      </c>
      <c r="B428" t="s">
        <v>1031</v>
      </c>
      <c r="C428" t="s">
        <v>954</v>
      </c>
      <c r="D428" t="s">
        <v>3465</v>
      </c>
    </row>
    <row r="429" spans="1:4" x14ac:dyDescent="0.25">
      <c r="A429">
        <v>428</v>
      </c>
      <c r="B429" t="s">
        <v>3466</v>
      </c>
      <c r="C429" t="s">
        <v>359</v>
      </c>
      <c r="D429" t="s">
        <v>3467</v>
      </c>
    </row>
    <row r="430" spans="1:4" x14ac:dyDescent="0.25">
      <c r="A430">
        <v>429</v>
      </c>
      <c r="B430" t="s">
        <v>1034</v>
      </c>
      <c r="C430" t="s">
        <v>18</v>
      </c>
      <c r="D430" t="s">
        <v>3468</v>
      </c>
    </row>
    <row r="431" spans="1:4" x14ac:dyDescent="0.25">
      <c r="A431">
        <v>430</v>
      </c>
      <c r="B431" t="s">
        <v>3469</v>
      </c>
      <c r="C431" t="s">
        <v>359</v>
      </c>
      <c r="D431" t="s">
        <v>3470</v>
      </c>
    </row>
    <row r="432" spans="1:4" x14ac:dyDescent="0.25">
      <c r="A432">
        <v>431</v>
      </c>
      <c r="B432" t="s">
        <v>2721</v>
      </c>
      <c r="C432" t="s">
        <v>1037</v>
      </c>
      <c r="D432" t="s">
        <v>3471</v>
      </c>
    </row>
    <row r="433" spans="1:4" x14ac:dyDescent="0.25">
      <c r="A433">
        <v>432</v>
      </c>
      <c r="B433" t="s">
        <v>1039</v>
      </c>
      <c r="C433" t="s">
        <v>1040</v>
      </c>
      <c r="D433" t="s">
        <v>3472</v>
      </c>
    </row>
    <row r="434" spans="1:4" x14ac:dyDescent="0.25">
      <c r="A434">
        <v>433</v>
      </c>
      <c r="B434" t="s">
        <v>2722</v>
      </c>
      <c r="C434" t="s">
        <v>359</v>
      </c>
      <c r="D434" t="s">
        <v>3473</v>
      </c>
    </row>
    <row r="435" spans="1:4" x14ac:dyDescent="0.25">
      <c r="A435">
        <v>434</v>
      </c>
      <c r="B435" t="s">
        <v>3474</v>
      </c>
      <c r="C435" t="s">
        <v>1006</v>
      </c>
      <c r="D435" t="s">
        <v>3475</v>
      </c>
    </row>
    <row r="436" spans="1:4" x14ac:dyDescent="0.25">
      <c r="A436">
        <v>435</v>
      </c>
      <c r="B436" t="s">
        <v>1045</v>
      </c>
      <c r="C436" t="s">
        <v>359</v>
      </c>
      <c r="D436" t="s">
        <v>3476</v>
      </c>
    </row>
    <row r="437" spans="1:4" x14ac:dyDescent="0.25">
      <c r="A437">
        <v>436</v>
      </c>
      <c r="B437" t="s">
        <v>3477</v>
      </c>
      <c r="C437" t="s">
        <v>1006</v>
      </c>
      <c r="D437" t="s">
        <v>3478</v>
      </c>
    </row>
    <row r="438" spans="1:4" x14ac:dyDescent="0.25">
      <c r="A438">
        <v>437</v>
      </c>
      <c r="B438" t="s">
        <v>3479</v>
      </c>
      <c r="C438" t="s">
        <v>359</v>
      </c>
      <c r="D438" t="s">
        <v>3480</v>
      </c>
    </row>
    <row r="439" spans="1:4" x14ac:dyDescent="0.25">
      <c r="A439">
        <v>438</v>
      </c>
      <c r="B439" t="s">
        <v>3481</v>
      </c>
      <c r="C439" t="s">
        <v>1050</v>
      </c>
      <c r="D439" t="s">
        <v>3482</v>
      </c>
    </row>
    <row r="440" spans="1:4" x14ac:dyDescent="0.25">
      <c r="A440">
        <v>439</v>
      </c>
      <c r="B440" t="s">
        <v>3483</v>
      </c>
      <c r="C440" t="s">
        <v>359</v>
      </c>
      <c r="D440" t="s">
        <v>3484</v>
      </c>
    </row>
    <row r="441" spans="1:4" x14ac:dyDescent="0.25">
      <c r="A441">
        <v>440</v>
      </c>
      <c r="B441" t="s">
        <v>3485</v>
      </c>
      <c r="C441" t="s">
        <v>1006</v>
      </c>
      <c r="D441" t="s">
        <v>3486</v>
      </c>
    </row>
    <row r="442" spans="1:4" x14ac:dyDescent="0.25">
      <c r="A442">
        <v>441</v>
      </c>
      <c r="B442" t="s">
        <v>3487</v>
      </c>
      <c r="C442" t="s">
        <v>359</v>
      </c>
      <c r="D442" t="s">
        <v>3488</v>
      </c>
    </row>
    <row r="443" spans="1:4" x14ac:dyDescent="0.25">
      <c r="A443">
        <v>442</v>
      </c>
      <c r="B443" t="s">
        <v>3489</v>
      </c>
      <c r="C443" t="s">
        <v>359</v>
      </c>
      <c r="D443" t="s">
        <v>3490</v>
      </c>
    </row>
    <row r="444" spans="1:4" x14ac:dyDescent="0.25">
      <c r="A444">
        <v>443</v>
      </c>
      <c r="B444" t="s">
        <v>3491</v>
      </c>
      <c r="C444" t="s">
        <v>359</v>
      </c>
      <c r="D444" t="s">
        <v>3492</v>
      </c>
    </row>
    <row r="445" spans="1:4" x14ac:dyDescent="0.25">
      <c r="A445">
        <v>444</v>
      </c>
      <c r="B445" t="s">
        <v>3493</v>
      </c>
      <c r="C445" t="s">
        <v>359</v>
      </c>
      <c r="D445" t="s">
        <v>3494</v>
      </c>
    </row>
    <row r="446" spans="1:4" x14ac:dyDescent="0.25">
      <c r="A446">
        <v>445</v>
      </c>
      <c r="B446" t="s">
        <v>1064</v>
      </c>
      <c r="C446" t="s">
        <v>1065</v>
      </c>
      <c r="D446" t="s">
        <v>3495</v>
      </c>
    </row>
    <row r="447" spans="1:4" x14ac:dyDescent="0.25">
      <c r="A447">
        <v>446</v>
      </c>
      <c r="B447" t="s">
        <v>1067</v>
      </c>
      <c r="C447" t="s">
        <v>1068</v>
      </c>
      <c r="D447" t="s">
        <v>3496</v>
      </c>
    </row>
    <row r="448" spans="1:4" x14ac:dyDescent="0.25">
      <c r="A448">
        <v>447</v>
      </c>
      <c r="B448" t="s">
        <v>3497</v>
      </c>
      <c r="C448" t="s">
        <v>954</v>
      </c>
      <c r="D448" t="s">
        <v>3498</v>
      </c>
    </row>
    <row r="449" spans="1:4" x14ac:dyDescent="0.25">
      <c r="A449">
        <v>448</v>
      </c>
      <c r="B449" t="s">
        <v>3499</v>
      </c>
      <c r="C449" t="s">
        <v>287</v>
      </c>
      <c r="D449" t="s">
        <v>3500</v>
      </c>
    </row>
    <row r="450" spans="1:4" x14ac:dyDescent="0.25">
      <c r="A450">
        <v>449</v>
      </c>
      <c r="B450" t="s">
        <v>1074</v>
      </c>
      <c r="C450" t="s">
        <v>1050</v>
      </c>
      <c r="D450" t="s">
        <v>3501</v>
      </c>
    </row>
    <row r="451" spans="1:4" x14ac:dyDescent="0.25">
      <c r="A451">
        <v>450</v>
      </c>
      <c r="B451" t="s">
        <v>1075</v>
      </c>
      <c r="C451" t="s">
        <v>1076</v>
      </c>
      <c r="D451" t="s">
        <v>3502</v>
      </c>
    </row>
    <row r="452" spans="1:4" x14ac:dyDescent="0.25">
      <c r="A452">
        <v>451</v>
      </c>
      <c r="B452" t="s">
        <v>3503</v>
      </c>
      <c r="C452" t="s">
        <v>287</v>
      </c>
      <c r="D452" t="s">
        <v>3504</v>
      </c>
    </row>
    <row r="453" spans="1:4" x14ac:dyDescent="0.25">
      <c r="A453">
        <v>452</v>
      </c>
      <c r="B453" t="s">
        <v>1080</v>
      </c>
      <c r="C453" t="s">
        <v>1081</v>
      </c>
      <c r="D453" t="s">
        <v>3505</v>
      </c>
    </row>
    <row r="454" spans="1:4" x14ac:dyDescent="0.25">
      <c r="A454">
        <v>453</v>
      </c>
      <c r="B454" t="s">
        <v>1083</v>
      </c>
      <c r="C454" t="s">
        <v>1084</v>
      </c>
      <c r="D454" t="s">
        <v>3506</v>
      </c>
    </row>
    <row r="455" spans="1:4" x14ac:dyDescent="0.25">
      <c r="A455">
        <v>454</v>
      </c>
      <c r="B455" t="s">
        <v>3507</v>
      </c>
      <c r="C455" t="s">
        <v>287</v>
      </c>
      <c r="D455" t="s">
        <v>3508</v>
      </c>
    </row>
    <row r="456" spans="1:4" x14ac:dyDescent="0.25">
      <c r="A456">
        <v>455</v>
      </c>
      <c r="B456" t="s">
        <v>1090</v>
      </c>
      <c r="C456" t="s">
        <v>1091</v>
      </c>
      <c r="D456" t="s">
        <v>3509</v>
      </c>
    </row>
    <row r="457" spans="1:4" x14ac:dyDescent="0.25">
      <c r="A457">
        <v>456</v>
      </c>
      <c r="B457" t="s">
        <v>1093</v>
      </c>
      <c r="C457" t="s">
        <v>1094</v>
      </c>
      <c r="D457" t="s">
        <v>3510</v>
      </c>
    </row>
    <row r="458" spans="1:4" x14ac:dyDescent="0.25">
      <c r="A458">
        <v>457</v>
      </c>
      <c r="B458" t="s">
        <v>1096</v>
      </c>
      <c r="C458" t="s">
        <v>1097</v>
      </c>
      <c r="D458" t="s">
        <v>3511</v>
      </c>
    </row>
    <row r="459" spans="1:4" x14ac:dyDescent="0.25">
      <c r="A459">
        <v>458</v>
      </c>
      <c r="B459" t="s">
        <v>3512</v>
      </c>
      <c r="C459" t="s">
        <v>287</v>
      </c>
      <c r="D459" t="s">
        <v>3513</v>
      </c>
    </row>
    <row r="460" spans="1:4" x14ac:dyDescent="0.25">
      <c r="A460">
        <v>459</v>
      </c>
      <c r="B460" t="s">
        <v>1101</v>
      </c>
      <c r="C460" t="s">
        <v>1094</v>
      </c>
      <c r="D460" t="s">
        <v>3514</v>
      </c>
    </row>
    <row r="461" spans="1:4" x14ac:dyDescent="0.25">
      <c r="A461">
        <v>460</v>
      </c>
      <c r="B461" t="s">
        <v>1102</v>
      </c>
      <c r="C461" t="s">
        <v>1103</v>
      </c>
      <c r="D461" t="s">
        <v>3515</v>
      </c>
    </row>
    <row r="462" spans="1:4" x14ac:dyDescent="0.25">
      <c r="A462">
        <v>461</v>
      </c>
      <c r="B462" t="s">
        <v>1105</v>
      </c>
      <c r="C462" t="s">
        <v>1106</v>
      </c>
      <c r="D462" t="s">
        <v>3516</v>
      </c>
    </row>
    <row r="463" spans="1:4" x14ac:dyDescent="0.25">
      <c r="A463">
        <v>462</v>
      </c>
      <c r="B463" t="s">
        <v>3517</v>
      </c>
      <c r="C463" t="s">
        <v>1110</v>
      </c>
      <c r="D463" t="s">
        <v>3518</v>
      </c>
    </row>
    <row r="464" spans="1:4" x14ac:dyDescent="0.25">
      <c r="A464">
        <v>463</v>
      </c>
      <c r="B464" t="s">
        <v>3519</v>
      </c>
      <c r="C464" t="s">
        <v>1006</v>
      </c>
      <c r="D464" t="s">
        <v>3520</v>
      </c>
    </row>
    <row r="465" spans="1:4" x14ac:dyDescent="0.25">
      <c r="A465">
        <v>464</v>
      </c>
      <c r="B465" t="s">
        <v>1114</v>
      </c>
      <c r="C465" t="s">
        <v>1115</v>
      </c>
      <c r="D465" t="s">
        <v>3521</v>
      </c>
    </row>
    <row r="466" spans="1:4" x14ac:dyDescent="0.25">
      <c r="A466">
        <v>465</v>
      </c>
      <c r="B466" t="s">
        <v>3522</v>
      </c>
      <c r="C466" t="s">
        <v>287</v>
      </c>
      <c r="D466" t="s">
        <v>3523</v>
      </c>
    </row>
    <row r="467" spans="1:4" x14ac:dyDescent="0.25">
      <c r="A467">
        <v>466</v>
      </c>
      <c r="B467" t="s">
        <v>2727</v>
      </c>
      <c r="C467" t="s">
        <v>1119</v>
      </c>
      <c r="D467" t="s">
        <v>3524</v>
      </c>
    </row>
    <row r="468" spans="1:4" x14ac:dyDescent="0.25">
      <c r="A468">
        <v>467</v>
      </c>
      <c r="B468" t="s">
        <v>3525</v>
      </c>
      <c r="C468" t="s">
        <v>287</v>
      </c>
      <c r="D468" t="s">
        <v>3526</v>
      </c>
    </row>
    <row r="469" spans="1:4" x14ac:dyDescent="0.25">
      <c r="A469">
        <v>468</v>
      </c>
      <c r="B469" t="s">
        <v>1123</v>
      </c>
      <c r="C469" t="s">
        <v>1124</v>
      </c>
      <c r="D469" t="s">
        <v>3527</v>
      </c>
    </row>
    <row r="470" spans="1:4" x14ac:dyDescent="0.25">
      <c r="A470">
        <v>469</v>
      </c>
      <c r="B470" t="s">
        <v>1126</v>
      </c>
      <c r="C470" t="s">
        <v>1127</v>
      </c>
      <c r="D470" t="s">
        <v>3528</v>
      </c>
    </row>
    <row r="471" spans="1:4" x14ac:dyDescent="0.25">
      <c r="A471">
        <v>470</v>
      </c>
      <c r="B471" t="s">
        <v>1129</v>
      </c>
      <c r="C471" t="s">
        <v>1130</v>
      </c>
      <c r="D471" t="s">
        <v>3529</v>
      </c>
    </row>
    <row r="472" spans="1:4" x14ac:dyDescent="0.25">
      <c r="A472">
        <v>471</v>
      </c>
      <c r="B472" t="s">
        <v>3530</v>
      </c>
      <c r="C472" t="s">
        <v>302</v>
      </c>
      <c r="D472" t="s">
        <v>3531</v>
      </c>
    </row>
    <row r="473" spans="1:4" x14ac:dyDescent="0.25">
      <c r="A473">
        <v>472</v>
      </c>
      <c r="B473" t="s">
        <v>1134</v>
      </c>
      <c r="C473" t="s">
        <v>1124</v>
      </c>
      <c r="D473" t="s">
        <v>3532</v>
      </c>
    </row>
    <row r="474" spans="1:4" x14ac:dyDescent="0.25">
      <c r="A474">
        <v>473</v>
      </c>
      <c r="B474" t="s">
        <v>2729</v>
      </c>
      <c r="C474" t="s">
        <v>1135</v>
      </c>
      <c r="D474" t="s">
        <v>3533</v>
      </c>
    </row>
    <row r="475" spans="1:4" x14ac:dyDescent="0.25">
      <c r="A475">
        <v>474</v>
      </c>
      <c r="B475" t="s">
        <v>3534</v>
      </c>
      <c r="C475" t="s">
        <v>287</v>
      </c>
      <c r="D475" t="s">
        <v>3535</v>
      </c>
    </row>
    <row r="476" spans="1:4" x14ac:dyDescent="0.25">
      <c r="A476">
        <v>475</v>
      </c>
      <c r="B476" t="s">
        <v>1139</v>
      </c>
      <c r="C476" t="s">
        <v>552</v>
      </c>
      <c r="D476" t="s">
        <v>3536</v>
      </c>
    </row>
    <row r="477" spans="1:4" x14ac:dyDescent="0.25">
      <c r="A477">
        <v>476</v>
      </c>
      <c r="B477" t="s">
        <v>1140</v>
      </c>
      <c r="C477" t="s">
        <v>287</v>
      </c>
      <c r="D477" t="s">
        <v>3537</v>
      </c>
    </row>
    <row r="478" spans="1:4" x14ac:dyDescent="0.25">
      <c r="A478">
        <v>477</v>
      </c>
      <c r="B478" t="s">
        <v>1141</v>
      </c>
      <c r="C478" t="s">
        <v>552</v>
      </c>
      <c r="D478" t="s">
        <v>3538</v>
      </c>
    </row>
    <row r="479" spans="1:4" x14ac:dyDescent="0.25">
      <c r="A479">
        <v>478</v>
      </c>
      <c r="B479" t="s">
        <v>1143</v>
      </c>
      <c r="C479" t="s">
        <v>62</v>
      </c>
      <c r="D479" t="s">
        <v>3539</v>
      </c>
    </row>
    <row r="480" spans="1:4" x14ac:dyDescent="0.25">
      <c r="A480">
        <v>479</v>
      </c>
      <c r="B480" t="s">
        <v>1144</v>
      </c>
      <c r="C480" t="s">
        <v>62</v>
      </c>
      <c r="D480" t="s">
        <v>3540</v>
      </c>
    </row>
    <row r="481" spans="1:4" x14ac:dyDescent="0.25">
      <c r="A481">
        <v>480</v>
      </c>
      <c r="B481" t="s">
        <v>1145</v>
      </c>
      <c r="C481" t="s">
        <v>1146</v>
      </c>
      <c r="D481" t="s">
        <v>3541</v>
      </c>
    </row>
    <row r="482" spans="1:4" x14ac:dyDescent="0.25">
      <c r="A482">
        <v>481</v>
      </c>
      <c r="B482" t="s">
        <v>3542</v>
      </c>
      <c r="C482" t="s">
        <v>552</v>
      </c>
      <c r="D482" t="s">
        <v>3543</v>
      </c>
    </row>
    <row r="483" spans="1:4" x14ac:dyDescent="0.25">
      <c r="A483">
        <v>482</v>
      </c>
      <c r="B483" t="s">
        <v>3481</v>
      </c>
      <c r="C483" t="s">
        <v>552</v>
      </c>
      <c r="D483" t="s">
        <v>3544</v>
      </c>
    </row>
    <row r="484" spans="1:4" x14ac:dyDescent="0.25">
      <c r="A484">
        <v>483</v>
      </c>
      <c r="B484" t="s">
        <v>3545</v>
      </c>
      <c r="C484" t="s">
        <v>1006</v>
      </c>
      <c r="D484" t="s">
        <v>3546</v>
      </c>
    </row>
    <row r="485" spans="1:4" x14ac:dyDescent="0.25">
      <c r="A485">
        <v>484</v>
      </c>
      <c r="B485" t="s">
        <v>3547</v>
      </c>
      <c r="C485" t="s">
        <v>1156</v>
      </c>
      <c r="D485" t="s">
        <v>3548</v>
      </c>
    </row>
    <row r="486" spans="1:4" x14ac:dyDescent="0.25">
      <c r="A486">
        <v>485</v>
      </c>
      <c r="B486" t="s">
        <v>1158</v>
      </c>
      <c r="C486" t="s">
        <v>62</v>
      </c>
      <c r="D486" t="s">
        <v>3549</v>
      </c>
    </row>
    <row r="487" spans="1:4" x14ac:dyDescent="0.25">
      <c r="A487">
        <v>486</v>
      </c>
      <c r="B487" t="s">
        <v>1159</v>
      </c>
      <c r="C487" t="s">
        <v>1160</v>
      </c>
      <c r="D487" t="s">
        <v>3550</v>
      </c>
    </row>
    <row r="488" spans="1:4" x14ac:dyDescent="0.25">
      <c r="A488">
        <v>487</v>
      </c>
      <c r="B488" t="s">
        <v>1162</v>
      </c>
      <c r="C488" t="s">
        <v>1163</v>
      </c>
      <c r="D488" t="s">
        <v>3551</v>
      </c>
    </row>
    <row r="489" spans="1:4" x14ac:dyDescent="0.25">
      <c r="A489">
        <v>488</v>
      </c>
      <c r="B489" t="s">
        <v>1165</v>
      </c>
      <c r="C489" t="s">
        <v>1166</v>
      </c>
      <c r="D489" t="s">
        <v>3552</v>
      </c>
    </row>
    <row r="490" spans="1:4" x14ac:dyDescent="0.25">
      <c r="A490">
        <v>489</v>
      </c>
      <c r="B490" t="s">
        <v>1168</v>
      </c>
      <c r="C490" t="s">
        <v>1169</v>
      </c>
      <c r="D490" t="s">
        <v>3553</v>
      </c>
    </row>
    <row r="491" spans="1:4" x14ac:dyDescent="0.25">
      <c r="A491">
        <v>490</v>
      </c>
      <c r="B491" t="s">
        <v>1171</v>
      </c>
      <c r="C491" t="s">
        <v>265</v>
      </c>
      <c r="D491" t="s">
        <v>3554</v>
      </c>
    </row>
    <row r="492" spans="1:4" x14ac:dyDescent="0.25">
      <c r="A492">
        <v>491</v>
      </c>
      <c r="B492" t="s">
        <v>1172</v>
      </c>
      <c r="C492" t="s">
        <v>1173</v>
      </c>
      <c r="D492" t="s">
        <v>3555</v>
      </c>
    </row>
    <row r="493" spans="1:4" x14ac:dyDescent="0.25">
      <c r="A493">
        <v>492</v>
      </c>
      <c r="B493" t="s">
        <v>1175</v>
      </c>
      <c r="C493" t="s">
        <v>1176</v>
      </c>
      <c r="D493" t="s">
        <v>3556</v>
      </c>
    </row>
    <row r="494" spans="1:4" x14ac:dyDescent="0.25">
      <c r="A494">
        <v>493</v>
      </c>
      <c r="B494" t="s">
        <v>1178</v>
      </c>
      <c r="C494" t="s">
        <v>1179</v>
      </c>
      <c r="D494" t="s">
        <v>3557</v>
      </c>
    </row>
    <row r="495" spans="1:4" x14ac:dyDescent="0.25">
      <c r="A495">
        <v>494</v>
      </c>
      <c r="B495" t="s">
        <v>1181</v>
      </c>
      <c r="C495" t="s">
        <v>503</v>
      </c>
      <c r="D495" t="s">
        <v>3558</v>
      </c>
    </row>
    <row r="496" spans="1:4" x14ac:dyDescent="0.25">
      <c r="A496">
        <v>495</v>
      </c>
      <c r="B496" t="s">
        <v>1182</v>
      </c>
      <c r="C496" t="s">
        <v>1183</v>
      </c>
      <c r="D496" t="s">
        <v>3559</v>
      </c>
    </row>
    <row r="497" spans="1:4" x14ac:dyDescent="0.25">
      <c r="A497">
        <v>496</v>
      </c>
      <c r="B497" t="s">
        <v>3560</v>
      </c>
      <c r="C497" t="s">
        <v>62</v>
      </c>
      <c r="D497" t="s">
        <v>3561</v>
      </c>
    </row>
    <row r="498" spans="1:4" x14ac:dyDescent="0.25">
      <c r="A498">
        <v>497</v>
      </c>
      <c r="B498" t="s">
        <v>1187</v>
      </c>
      <c r="C498" t="s">
        <v>1188</v>
      </c>
      <c r="D498" t="s">
        <v>3562</v>
      </c>
    </row>
    <row r="499" spans="1:4" x14ac:dyDescent="0.25">
      <c r="A499">
        <v>498</v>
      </c>
      <c r="B499" t="s">
        <v>1190</v>
      </c>
      <c r="C499" t="s">
        <v>1191</v>
      </c>
      <c r="D499" t="s">
        <v>3563</v>
      </c>
    </row>
    <row r="500" spans="1:4" x14ac:dyDescent="0.25">
      <c r="A500">
        <v>499</v>
      </c>
      <c r="B500" t="s">
        <v>1193</v>
      </c>
      <c r="C500" t="s">
        <v>503</v>
      </c>
      <c r="D500" t="s">
        <v>3564</v>
      </c>
    </row>
    <row r="501" spans="1:4" x14ac:dyDescent="0.25">
      <c r="A501">
        <v>500</v>
      </c>
      <c r="B501" t="s">
        <v>1194</v>
      </c>
      <c r="C501" t="s">
        <v>503</v>
      </c>
      <c r="D501" t="s">
        <v>3565</v>
      </c>
    </row>
    <row r="502" spans="1:4" x14ac:dyDescent="0.25">
      <c r="A502">
        <v>501</v>
      </c>
      <c r="B502" t="s">
        <v>1195</v>
      </c>
      <c r="C502" t="s">
        <v>1196</v>
      </c>
      <c r="D502" t="s">
        <v>3566</v>
      </c>
    </row>
    <row r="503" spans="1:4" x14ac:dyDescent="0.25">
      <c r="A503">
        <v>502</v>
      </c>
      <c r="B503" t="s">
        <v>1198</v>
      </c>
      <c r="C503" t="s">
        <v>503</v>
      </c>
      <c r="D503" t="s">
        <v>3567</v>
      </c>
    </row>
    <row r="504" spans="1:4" x14ac:dyDescent="0.25">
      <c r="A504">
        <v>503</v>
      </c>
      <c r="B504" t="s">
        <v>1199</v>
      </c>
      <c r="C504" t="s">
        <v>503</v>
      </c>
      <c r="D504" t="s">
        <v>3568</v>
      </c>
    </row>
    <row r="505" spans="1:4" x14ac:dyDescent="0.25">
      <c r="A505">
        <v>504</v>
      </c>
      <c r="B505" t="s">
        <v>1200</v>
      </c>
      <c r="C505" t="s">
        <v>329</v>
      </c>
      <c r="D505" t="s">
        <v>3569</v>
      </c>
    </row>
    <row r="506" spans="1:4" x14ac:dyDescent="0.25">
      <c r="A506">
        <v>505</v>
      </c>
      <c r="B506" t="s">
        <v>1201</v>
      </c>
      <c r="C506" t="s">
        <v>1202</v>
      </c>
      <c r="D506" t="s">
        <v>3570</v>
      </c>
    </row>
    <row r="507" spans="1:4" x14ac:dyDescent="0.25">
      <c r="A507">
        <v>506</v>
      </c>
      <c r="B507" t="s">
        <v>1204</v>
      </c>
      <c r="C507" t="s">
        <v>1205</v>
      </c>
      <c r="D507" t="s">
        <v>3571</v>
      </c>
    </row>
    <row r="508" spans="1:4" x14ac:dyDescent="0.25">
      <c r="A508">
        <v>507</v>
      </c>
      <c r="B508" t="s">
        <v>3572</v>
      </c>
      <c r="C508" t="s">
        <v>503</v>
      </c>
      <c r="D508" t="s">
        <v>3573</v>
      </c>
    </row>
    <row r="509" spans="1:4" x14ac:dyDescent="0.25">
      <c r="A509">
        <v>508</v>
      </c>
      <c r="B509" t="s">
        <v>1209</v>
      </c>
      <c r="C509" t="s">
        <v>1210</v>
      </c>
      <c r="D509" t="s">
        <v>3574</v>
      </c>
    </row>
    <row r="510" spans="1:4" x14ac:dyDescent="0.25">
      <c r="A510">
        <v>509</v>
      </c>
      <c r="B510" t="s">
        <v>3575</v>
      </c>
      <c r="C510" t="s">
        <v>1156</v>
      </c>
      <c r="D510" t="s">
        <v>3576</v>
      </c>
    </row>
    <row r="511" spans="1:4" x14ac:dyDescent="0.25">
      <c r="A511">
        <v>510</v>
      </c>
      <c r="B511" t="s">
        <v>1214</v>
      </c>
      <c r="C511" t="s">
        <v>1215</v>
      </c>
      <c r="D511" t="s">
        <v>3577</v>
      </c>
    </row>
    <row r="512" spans="1:4" x14ac:dyDescent="0.25">
      <c r="A512">
        <v>511</v>
      </c>
      <c r="B512" t="s">
        <v>3578</v>
      </c>
      <c r="C512" t="s">
        <v>1006</v>
      </c>
      <c r="D512" t="s">
        <v>3579</v>
      </c>
    </row>
    <row r="513" spans="1:4" x14ac:dyDescent="0.25">
      <c r="A513">
        <v>512</v>
      </c>
      <c r="B513" t="s">
        <v>3580</v>
      </c>
      <c r="C513" t="s">
        <v>552</v>
      </c>
      <c r="D513" t="s">
        <v>3581</v>
      </c>
    </row>
    <row r="514" spans="1:4" x14ac:dyDescent="0.25">
      <c r="A514">
        <v>513</v>
      </c>
      <c r="B514" t="s">
        <v>3582</v>
      </c>
      <c r="C514" t="s">
        <v>552</v>
      </c>
      <c r="D514" t="s">
        <v>3583</v>
      </c>
    </row>
    <row r="515" spans="1:4" x14ac:dyDescent="0.25">
      <c r="A515">
        <v>514</v>
      </c>
      <c r="B515" t="s">
        <v>906</v>
      </c>
      <c r="C515" t="s">
        <v>552</v>
      </c>
      <c r="D515" t="s">
        <v>3584</v>
      </c>
    </row>
    <row r="516" spans="1:4" x14ac:dyDescent="0.25">
      <c r="A516">
        <v>515</v>
      </c>
      <c r="B516" t="s">
        <v>3585</v>
      </c>
      <c r="C516" t="s">
        <v>552</v>
      </c>
      <c r="D516" t="s">
        <v>3586</v>
      </c>
    </row>
    <row r="517" spans="1:4" x14ac:dyDescent="0.25">
      <c r="A517">
        <v>516</v>
      </c>
      <c r="B517" t="s">
        <v>1226</v>
      </c>
      <c r="C517" t="s">
        <v>1227</v>
      </c>
      <c r="D517" t="s">
        <v>3587</v>
      </c>
    </row>
    <row r="518" spans="1:4" x14ac:dyDescent="0.25">
      <c r="A518">
        <v>517</v>
      </c>
      <c r="B518" t="s">
        <v>2740</v>
      </c>
      <c r="C518" t="s">
        <v>1229</v>
      </c>
      <c r="D518" t="s">
        <v>3588</v>
      </c>
    </row>
    <row r="519" spans="1:4" x14ac:dyDescent="0.25">
      <c r="A519">
        <v>518</v>
      </c>
      <c r="B519" t="s">
        <v>3589</v>
      </c>
      <c r="C519" t="s">
        <v>1006</v>
      </c>
      <c r="D519" t="s">
        <v>3590</v>
      </c>
    </row>
    <row r="520" spans="1:4" x14ac:dyDescent="0.25">
      <c r="A520">
        <v>519</v>
      </c>
      <c r="B520" t="s">
        <v>2742</v>
      </c>
      <c r="C520" t="s">
        <v>2743</v>
      </c>
      <c r="D520" t="s">
        <v>3591</v>
      </c>
    </row>
    <row r="521" spans="1:4" x14ac:dyDescent="0.25">
      <c r="A521">
        <v>520</v>
      </c>
      <c r="B521" t="s">
        <v>1234</v>
      </c>
      <c r="C521" t="s">
        <v>1006</v>
      </c>
      <c r="D521" t="s">
        <v>3592</v>
      </c>
    </row>
    <row r="522" spans="1:4" x14ac:dyDescent="0.25">
      <c r="A522">
        <v>521</v>
      </c>
      <c r="B522" t="s">
        <v>1235</v>
      </c>
      <c r="C522" t="s">
        <v>1236</v>
      </c>
      <c r="D522" t="s">
        <v>3593</v>
      </c>
    </row>
    <row r="523" spans="1:4" x14ac:dyDescent="0.25">
      <c r="A523">
        <v>522</v>
      </c>
      <c r="B523" t="s">
        <v>3594</v>
      </c>
      <c r="C523" t="s">
        <v>1006</v>
      </c>
      <c r="D523" t="s">
        <v>3595</v>
      </c>
    </row>
    <row r="524" spans="1:4" x14ac:dyDescent="0.25">
      <c r="A524">
        <v>523</v>
      </c>
      <c r="B524" t="s">
        <v>3596</v>
      </c>
      <c r="C524" t="s">
        <v>1156</v>
      </c>
      <c r="D524" t="s">
        <v>3597</v>
      </c>
    </row>
    <row r="525" spans="1:4" x14ac:dyDescent="0.25">
      <c r="A525">
        <v>524</v>
      </c>
      <c r="B525" t="s">
        <v>1241</v>
      </c>
      <c r="C525" t="s">
        <v>1242</v>
      </c>
      <c r="D525" t="s">
        <v>3598</v>
      </c>
    </row>
    <row r="526" spans="1:4" x14ac:dyDescent="0.25">
      <c r="A526">
        <v>525</v>
      </c>
      <c r="B526" t="s">
        <v>1244</v>
      </c>
      <c r="C526" t="s">
        <v>329</v>
      </c>
      <c r="D526" t="s">
        <v>3599</v>
      </c>
    </row>
    <row r="527" spans="1:4" x14ac:dyDescent="0.25">
      <c r="A527">
        <v>526</v>
      </c>
      <c r="B527" t="s">
        <v>2749</v>
      </c>
      <c r="C527" t="s">
        <v>1245</v>
      </c>
      <c r="D527" t="s">
        <v>3600</v>
      </c>
    </row>
    <row r="528" spans="1:4" x14ac:dyDescent="0.25">
      <c r="A528">
        <v>527</v>
      </c>
      <c r="B528" t="s">
        <v>1247</v>
      </c>
      <c r="C528" t="s">
        <v>1248</v>
      </c>
      <c r="D528" t="s">
        <v>3601</v>
      </c>
    </row>
    <row r="529" spans="1:4" x14ac:dyDescent="0.25">
      <c r="A529">
        <v>528</v>
      </c>
      <c r="B529" t="s">
        <v>1250</v>
      </c>
      <c r="C529" t="s">
        <v>1251</v>
      </c>
      <c r="D529" t="s">
        <v>3602</v>
      </c>
    </row>
    <row r="530" spans="1:4" x14ac:dyDescent="0.25">
      <c r="A530">
        <v>529</v>
      </c>
      <c r="B530" t="s">
        <v>1253</v>
      </c>
      <c r="C530" t="s">
        <v>228</v>
      </c>
      <c r="D530" t="s">
        <v>3603</v>
      </c>
    </row>
    <row r="531" spans="1:4" x14ac:dyDescent="0.25">
      <c r="A531">
        <v>530</v>
      </c>
      <c r="B531" t="s">
        <v>3604</v>
      </c>
      <c r="C531" t="s">
        <v>62</v>
      </c>
      <c r="D531" t="s">
        <v>3605</v>
      </c>
    </row>
    <row r="532" spans="1:4" x14ac:dyDescent="0.25">
      <c r="A532">
        <v>531</v>
      </c>
      <c r="B532" t="s">
        <v>3606</v>
      </c>
      <c r="C532" t="s">
        <v>241</v>
      </c>
      <c r="D532" t="s">
        <v>3607</v>
      </c>
    </row>
    <row r="533" spans="1:4" x14ac:dyDescent="0.25">
      <c r="A533">
        <v>532</v>
      </c>
      <c r="B533" t="s">
        <v>3608</v>
      </c>
      <c r="C533" t="s">
        <v>241</v>
      </c>
      <c r="D533" t="s">
        <v>3609</v>
      </c>
    </row>
    <row r="534" spans="1:4" x14ac:dyDescent="0.25">
      <c r="A534">
        <v>533</v>
      </c>
      <c r="B534" t="s">
        <v>1262</v>
      </c>
      <c r="C534" t="s">
        <v>1263</v>
      </c>
      <c r="D534" t="s">
        <v>3610</v>
      </c>
    </row>
    <row r="535" spans="1:4" x14ac:dyDescent="0.25">
      <c r="A535">
        <v>534</v>
      </c>
      <c r="B535" t="s">
        <v>3611</v>
      </c>
      <c r="C535" t="s">
        <v>241</v>
      </c>
      <c r="D535" t="s">
        <v>3612</v>
      </c>
    </row>
    <row r="536" spans="1:4" x14ac:dyDescent="0.25">
      <c r="A536">
        <v>535</v>
      </c>
      <c r="B536" t="s">
        <v>1267</v>
      </c>
      <c r="C536" t="s">
        <v>1251</v>
      </c>
      <c r="D536" t="s">
        <v>3613</v>
      </c>
    </row>
    <row r="537" spans="1:4" x14ac:dyDescent="0.25">
      <c r="A537">
        <v>536</v>
      </c>
      <c r="B537" t="s">
        <v>3614</v>
      </c>
      <c r="C537" t="s">
        <v>241</v>
      </c>
      <c r="D537" t="s">
        <v>3615</v>
      </c>
    </row>
    <row r="538" spans="1:4" x14ac:dyDescent="0.25">
      <c r="A538">
        <v>537</v>
      </c>
      <c r="B538" t="s">
        <v>3616</v>
      </c>
      <c r="C538" t="s">
        <v>798</v>
      </c>
      <c r="D538" t="s">
        <v>3617</v>
      </c>
    </row>
    <row r="539" spans="1:4" x14ac:dyDescent="0.25">
      <c r="A539">
        <v>538</v>
      </c>
      <c r="B539" t="s">
        <v>1272</v>
      </c>
      <c r="C539" t="s">
        <v>1273</v>
      </c>
      <c r="D539" t="s">
        <v>3618</v>
      </c>
    </row>
    <row r="540" spans="1:4" x14ac:dyDescent="0.25">
      <c r="A540">
        <v>539</v>
      </c>
      <c r="B540" t="s">
        <v>1275</v>
      </c>
      <c r="C540" t="s">
        <v>1276</v>
      </c>
      <c r="D540" t="s">
        <v>3619</v>
      </c>
    </row>
    <row r="541" spans="1:4" x14ac:dyDescent="0.25">
      <c r="A541">
        <v>540</v>
      </c>
      <c r="B541" t="s">
        <v>1278</v>
      </c>
      <c r="C541" t="s">
        <v>1279</v>
      </c>
      <c r="D541" t="s">
        <v>3621</v>
      </c>
    </row>
    <row r="542" spans="1:4" x14ac:dyDescent="0.25">
      <c r="A542">
        <v>541</v>
      </c>
      <c r="B542" t="s">
        <v>2753</v>
      </c>
      <c r="C542" t="s">
        <v>1281</v>
      </c>
      <c r="D542" t="s">
        <v>3622</v>
      </c>
    </row>
    <row r="543" spans="1:4" x14ac:dyDescent="0.25">
      <c r="A543">
        <v>542</v>
      </c>
      <c r="B543" t="s">
        <v>1283</v>
      </c>
      <c r="C543" t="s">
        <v>329</v>
      </c>
      <c r="D543" t="s">
        <v>3623</v>
      </c>
    </row>
    <row r="544" spans="1:4" x14ac:dyDescent="0.25">
      <c r="A544">
        <v>543</v>
      </c>
      <c r="B544" t="s">
        <v>1284</v>
      </c>
      <c r="C544" t="s">
        <v>1285</v>
      </c>
      <c r="D544" t="s">
        <v>3624</v>
      </c>
    </row>
    <row r="545" spans="1:4" x14ac:dyDescent="0.25">
      <c r="A545">
        <v>544</v>
      </c>
      <c r="B545" t="s">
        <v>3625</v>
      </c>
      <c r="C545" t="s">
        <v>1285</v>
      </c>
      <c r="D545" t="s">
        <v>3626</v>
      </c>
    </row>
    <row r="546" spans="1:4" x14ac:dyDescent="0.25">
      <c r="A546">
        <v>545</v>
      </c>
      <c r="B546" t="s">
        <v>3627</v>
      </c>
      <c r="C546" t="s">
        <v>1291</v>
      </c>
      <c r="D546" t="s">
        <v>3628</v>
      </c>
    </row>
    <row r="547" spans="1:4" x14ac:dyDescent="0.25">
      <c r="A547">
        <v>546</v>
      </c>
      <c r="B547" t="s">
        <v>1293</v>
      </c>
      <c r="C547" t="s">
        <v>1294</v>
      </c>
      <c r="D547" t="s">
        <v>3629</v>
      </c>
    </row>
    <row r="548" spans="1:4" x14ac:dyDescent="0.25">
      <c r="A548">
        <v>547</v>
      </c>
      <c r="B548" t="s">
        <v>3630</v>
      </c>
      <c r="C548" t="s">
        <v>1285</v>
      </c>
      <c r="D548" t="s">
        <v>3631</v>
      </c>
    </row>
    <row r="549" spans="1:4" x14ac:dyDescent="0.25">
      <c r="A549">
        <v>548</v>
      </c>
      <c r="B549" t="s">
        <v>2756</v>
      </c>
      <c r="C549" t="s">
        <v>1281</v>
      </c>
      <c r="D549" t="s">
        <v>3632</v>
      </c>
    </row>
    <row r="550" spans="1:4" x14ac:dyDescent="0.25">
      <c r="A550">
        <v>549</v>
      </c>
      <c r="B550" t="s">
        <v>3633</v>
      </c>
      <c r="C550" t="s">
        <v>1285</v>
      </c>
      <c r="D550" t="s">
        <v>3634</v>
      </c>
    </row>
    <row r="551" spans="1:4" x14ac:dyDescent="0.25">
      <c r="A551">
        <v>550</v>
      </c>
      <c r="B551" t="s">
        <v>3635</v>
      </c>
      <c r="C551" t="s">
        <v>798</v>
      </c>
      <c r="D551" t="s">
        <v>3636</v>
      </c>
    </row>
    <row r="552" spans="1:4" x14ac:dyDescent="0.25">
      <c r="A552">
        <v>551</v>
      </c>
      <c r="B552" t="s">
        <v>3637</v>
      </c>
      <c r="C552" t="s">
        <v>1285</v>
      </c>
      <c r="D552" t="s">
        <v>3638</v>
      </c>
    </row>
    <row r="553" spans="1:4" x14ac:dyDescent="0.25">
      <c r="A553">
        <v>552</v>
      </c>
      <c r="B553" t="s">
        <v>2757</v>
      </c>
      <c r="C553" t="s">
        <v>1303</v>
      </c>
      <c r="D553" t="s">
        <v>3639</v>
      </c>
    </row>
    <row r="554" spans="1:4" x14ac:dyDescent="0.25">
      <c r="A554">
        <v>553</v>
      </c>
      <c r="B554" t="s">
        <v>3640</v>
      </c>
      <c r="C554" t="s">
        <v>1285</v>
      </c>
      <c r="D554" t="s">
        <v>3641</v>
      </c>
    </row>
    <row r="555" spans="1:4" x14ac:dyDescent="0.25">
      <c r="A555">
        <v>554</v>
      </c>
      <c r="B555" t="s">
        <v>3642</v>
      </c>
      <c r="C555" t="s">
        <v>798</v>
      </c>
      <c r="D555" t="s">
        <v>3643</v>
      </c>
    </row>
    <row r="556" spans="1:4" x14ac:dyDescent="0.25">
      <c r="A556">
        <v>555</v>
      </c>
      <c r="B556" t="s">
        <v>1309</v>
      </c>
      <c r="C556" t="s">
        <v>1310</v>
      </c>
      <c r="D556" t="s">
        <v>3644</v>
      </c>
    </row>
    <row r="557" spans="1:4" x14ac:dyDescent="0.25">
      <c r="A557">
        <v>556</v>
      </c>
      <c r="B557" t="s">
        <v>3645</v>
      </c>
      <c r="C557" t="s">
        <v>1285</v>
      </c>
      <c r="D557" t="s">
        <v>3646</v>
      </c>
    </row>
    <row r="558" spans="1:4" x14ac:dyDescent="0.25">
      <c r="A558">
        <v>557</v>
      </c>
      <c r="B558" t="s">
        <v>3647</v>
      </c>
      <c r="C558" t="s">
        <v>798</v>
      </c>
      <c r="D558" t="s">
        <v>3648</v>
      </c>
    </row>
    <row r="559" spans="1:4" x14ac:dyDescent="0.25">
      <c r="A559">
        <v>558</v>
      </c>
      <c r="B559" t="s">
        <v>1316</v>
      </c>
      <c r="C559" t="s">
        <v>1317</v>
      </c>
      <c r="D559" t="s">
        <v>3649</v>
      </c>
    </row>
    <row r="560" spans="1:4" x14ac:dyDescent="0.25">
      <c r="A560">
        <v>559</v>
      </c>
      <c r="B560" t="s">
        <v>3650</v>
      </c>
      <c r="C560" t="s">
        <v>1285</v>
      </c>
      <c r="D560" t="s">
        <v>3651</v>
      </c>
    </row>
    <row r="561" spans="1:4" x14ac:dyDescent="0.25">
      <c r="A561">
        <v>560</v>
      </c>
      <c r="B561" t="s">
        <v>2760</v>
      </c>
      <c r="C561" t="s">
        <v>1321</v>
      </c>
      <c r="D561" t="s">
        <v>3652</v>
      </c>
    </row>
    <row r="562" spans="1:4" x14ac:dyDescent="0.25">
      <c r="A562">
        <v>561</v>
      </c>
      <c r="B562" t="s">
        <v>3653</v>
      </c>
      <c r="C562" t="s">
        <v>798</v>
      </c>
      <c r="D562" t="s">
        <v>3654</v>
      </c>
    </row>
    <row r="563" spans="1:4" x14ac:dyDescent="0.25">
      <c r="A563">
        <v>562</v>
      </c>
      <c r="B563" t="s">
        <v>1325</v>
      </c>
      <c r="C563" t="s">
        <v>1281</v>
      </c>
      <c r="D563" t="s">
        <v>3655</v>
      </c>
    </row>
    <row r="564" spans="1:4" x14ac:dyDescent="0.25">
      <c r="A564">
        <v>563</v>
      </c>
      <c r="B564" t="s">
        <v>1326</v>
      </c>
      <c r="C564" t="s">
        <v>1115</v>
      </c>
      <c r="D564" t="s">
        <v>3656</v>
      </c>
    </row>
    <row r="565" spans="1:4" x14ac:dyDescent="0.25">
      <c r="A565">
        <v>564</v>
      </c>
      <c r="B565" t="s">
        <v>1327</v>
      </c>
      <c r="C565" t="s">
        <v>1328</v>
      </c>
      <c r="D565" t="s">
        <v>3657</v>
      </c>
    </row>
    <row r="566" spans="1:4" x14ac:dyDescent="0.25">
      <c r="A566">
        <v>565</v>
      </c>
      <c r="B566" t="s">
        <v>1330</v>
      </c>
      <c r="C566" t="s">
        <v>1331</v>
      </c>
      <c r="D566" t="s">
        <v>3658</v>
      </c>
    </row>
    <row r="567" spans="1:4" x14ac:dyDescent="0.25">
      <c r="A567">
        <v>566</v>
      </c>
      <c r="B567" t="s">
        <v>3659</v>
      </c>
      <c r="C567" t="s">
        <v>364</v>
      </c>
      <c r="D567" t="s">
        <v>3660</v>
      </c>
    </row>
    <row r="568" spans="1:4" x14ac:dyDescent="0.25">
      <c r="A568">
        <v>567</v>
      </c>
      <c r="B568" t="s">
        <v>1335</v>
      </c>
      <c r="C568" t="s">
        <v>969</v>
      </c>
      <c r="D568" t="s">
        <v>3661</v>
      </c>
    </row>
    <row r="569" spans="1:4" x14ac:dyDescent="0.25">
      <c r="A569">
        <v>568</v>
      </c>
      <c r="B569" t="s">
        <v>3662</v>
      </c>
      <c r="C569" t="s">
        <v>364</v>
      </c>
      <c r="D569" t="s">
        <v>3663</v>
      </c>
    </row>
    <row r="570" spans="1:4" x14ac:dyDescent="0.25">
      <c r="A570">
        <v>569</v>
      </c>
      <c r="B570" t="s">
        <v>3664</v>
      </c>
      <c r="C570" t="s">
        <v>1006</v>
      </c>
      <c r="D570" t="s">
        <v>3665</v>
      </c>
    </row>
    <row r="571" spans="1:4" x14ac:dyDescent="0.25">
      <c r="A571">
        <v>570</v>
      </c>
      <c r="B571" t="s">
        <v>1339</v>
      </c>
      <c r="C571" t="s">
        <v>503</v>
      </c>
      <c r="D571" t="s">
        <v>3666</v>
      </c>
    </row>
    <row r="572" spans="1:4" x14ac:dyDescent="0.25">
      <c r="A572">
        <v>571</v>
      </c>
      <c r="B572" t="s">
        <v>1342</v>
      </c>
      <c r="C572" t="s">
        <v>1343</v>
      </c>
      <c r="D572" t="s">
        <v>3667</v>
      </c>
    </row>
    <row r="573" spans="1:4" x14ac:dyDescent="0.25">
      <c r="A573">
        <v>572</v>
      </c>
      <c r="B573" t="s">
        <v>2762</v>
      </c>
      <c r="C573" t="s">
        <v>1345</v>
      </c>
      <c r="D573" t="s">
        <v>3668</v>
      </c>
    </row>
    <row r="574" spans="1:4" x14ac:dyDescent="0.25">
      <c r="A574">
        <v>573</v>
      </c>
      <c r="B574" t="s">
        <v>2763</v>
      </c>
      <c r="C574" t="s">
        <v>1347</v>
      </c>
      <c r="D574" t="s">
        <v>3669</v>
      </c>
    </row>
    <row r="575" spans="1:4" x14ac:dyDescent="0.25">
      <c r="A575">
        <v>574</v>
      </c>
      <c r="B575" t="s">
        <v>2764</v>
      </c>
      <c r="C575" t="s">
        <v>1349</v>
      </c>
      <c r="D575" t="s">
        <v>3670</v>
      </c>
    </row>
    <row r="576" spans="1:4" x14ac:dyDescent="0.25">
      <c r="A576">
        <v>575</v>
      </c>
      <c r="B576" t="s">
        <v>3671</v>
      </c>
      <c r="C576" t="s">
        <v>1006</v>
      </c>
      <c r="D576" t="s">
        <v>3672</v>
      </c>
    </row>
    <row r="577" spans="1:4" x14ac:dyDescent="0.25">
      <c r="A577">
        <v>576</v>
      </c>
      <c r="B577" t="s">
        <v>3673</v>
      </c>
      <c r="C577" t="s">
        <v>530</v>
      </c>
      <c r="D577" t="s">
        <v>3674</v>
      </c>
    </row>
    <row r="578" spans="1:4" x14ac:dyDescent="0.25">
      <c r="A578">
        <v>577</v>
      </c>
      <c r="B578" t="s">
        <v>1354</v>
      </c>
      <c r="C578" t="s">
        <v>1355</v>
      </c>
      <c r="D578" t="s">
        <v>3675</v>
      </c>
    </row>
    <row r="579" spans="1:4" x14ac:dyDescent="0.25">
      <c r="A579">
        <v>578</v>
      </c>
      <c r="B579" t="s">
        <v>1357</v>
      </c>
      <c r="C579" t="s">
        <v>1358</v>
      </c>
      <c r="D579" t="s">
        <v>3676</v>
      </c>
    </row>
    <row r="580" spans="1:4" x14ac:dyDescent="0.25">
      <c r="A580">
        <v>579</v>
      </c>
      <c r="B580" t="s">
        <v>1360</v>
      </c>
      <c r="C580" t="s">
        <v>1361</v>
      </c>
      <c r="D580" t="s">
        <v>3677</v>
      </c>
    </row>
    <row r="581" spans="1:4" x14ac:dyDescent="0.25">
      <c r="A581">
        <v>580</v>
      </c>
      <c r="B581" t="s">
        <v>3678</v>
      </c>
      <c r="C581" t="s">
        <v>364</v>
      </c>
      <c r="D581" t="s">
        <v>3679</v>
      </c>
    </row>
    <row r="582" spans="1:4" x14ac:dyDescent="0.25">
      <c r="A582">
        <v>581</v>
      </c>
      <c r="B582" t="s">
        <v>2767</v>
      </c>
      <c r="C582" t="s">
        <v>934</v>
      </c>
      <c r="D582" t="s">
        <v>3680</v>
      </c>
    </row>
    <row r="583" spans="1:4" x14ac:dyDescent="0.25">
      <c r="A583">
        <v>582</v>
      </c>
      <c r="B583" t="s">
        <v>2768</v>
      </c>
      <c r="C583" t="s">
        <v>750</v>
      </c>
      <c r="D583" t="s">
        <v>3681</v>
      </c>
    </row>
    <row r="584" spans="1:4" x14ac:dyDescent="0.25">
      <c r="A584">
        <v>583</v>
      </c>
      <c r="B584" t="s">
        <v>2769</v>
      </c>
      <c r="C584" t="s">
        <v>750</v>
      </c>
      <c r="D584" t="s">
        <v>3682</v>
      </c>
    </row>
    <row r="585" spans="1:4" x14ac:dyDescent="0.25">
      <c r="A585">
        <v>584</v>
      </c>
      <c r="B585" t="s">
        <v>2770</v>
      </c>
      <c r="C585" t="s">
        <v>750</v>
      </c>
      <c r="D585" t="s">
        <v>3683</v>
      </c>
    </row>
    <row r="586" spans="1:4" x14ac:dyDescent="0.25">
      <c r="A586">
        <v>585</v>
      </c>
      <c r="B586" t="s">
        <v>2771</v>
      </c>
      <c r="C586" t="s">
        <v>1169</v>
      </c>
      <c r="D586" t="s">
        <v>3684</v>
      </c>
    </row>
    <row r="587" spans="1:4" x14ac:dyDescent="0.25">
      <c r="A587">
        <v>586</v>
      </c>
      <c r="B587" t="s">
        <v>1368</v>
      </c>
      <c r="C587" t="s">
        <v>750</v>
      </c>
      <c r="D587" t="s">
        <v>3685</v>
      </c>
    </row>
    <row r="588" spans="1:4" x14ac:dyDescent="0.25">
      <c r="A588">
        <v>587</v>
      </c>
      <c r="B588" t="s">
        <v>1369</v>
      </c>
      <c r="C588" t="s">
        <v>1370</v>
      </c>
      <c r="D588" t="s">
        <v>3686</v>
      </c>
    </row>
    <row r="589" spans="1:4" x14ac:dyDescent="0.25">
      <c r="A589">
        <v>588</v>
      </c>
      <c r="B589" t="s">
        <v>3687</v>
      </c>
      <c r="C589" t="s">
        <v>364</v>
      </c>
      <c r="D589" t="s">
        <v>3688</v>
      </c>
    </row>
    <row r="590" spans="1:4" x14ac:dyDescent="0.25">
      <c r="A590">
        <v>589</v>
      </c>
      <c r="B590" t="s">
        <v>1374</v>
      </c>
      <c r="C590" t="s">
        <v>62</v>
      </c>
      <c r="D590" t="s">
        <v>3689</v>
      </c>
    </row>
    <row r="591" spans="1:4" x14ac:dyDescent="0.25">
      <c r="A591">
        <v>590</v>
      </c>
      <c r="B591" t="s">
        <v>2774</v>
      </c>
      <c r="C591" t="s">
        <v>1376</v>
      </c>
      <c r="D591" t="s">
        <v>3690</v>
      </c>
    </row>
    <row r="592" spans="1:4" x14ac:dyDescent="0.25">
      <c r="A592">
        <v>591</v>
      </c>
      <c r="B592" t="s">
        <v>2773</v>
      </c>
      <c r="C592" t="s">
        <v>1376</v>
      </c>
      <c r="D592" t="s">
        <v>3691</v>
      </c>
    </row>
    <row r="593" spans="1:4" x14ac:dyDescent="0.25">
      <c r="A593">
        <v>592</v>
      </c>
      <c r="B593" t="s">
        <v>2772</v>
      </c>
      <c r="C593" t="s">
        <v>1376</v>
      </c>
      <c r="D593" t="s">
        <v>3692</v>
      </c>
    </row>
    <row r="594" spans="1:4" x14ac:dyDescent="0.25">
      <c r="A594">
        <v>593</v>
      </c>
      <c r="B594" t="s">
        <v>1380</v>
      </c>
      <c r="C594" t="s">
        <v>62</v>
      </c>
      <c r="D594" t="s">
        <v>3693</v>
      </c>
    </row>
    <row r="595" spans="1:4" x14ac:dyDescent="0.25">
      <c r="A595">
        <v>594</v>
      </c>
      <c r="B595" t="s">
        <v>1381</v>
      </c>
      <c r="C595" t="s">
        <v>1382</v>
      </c>
      <c r="D595" t="s">
        <v>3694</v>
      </c>
    </row>
    <row r="596" spans="1:4" x14ac:dyDescent="0.25">
      <c r="A596">
        <v>595</v>
      </c>
      <c r="B596" t="s">
        <v>1384</v>
      </c>
      <c r="C596" t="s">
        <v>1385</v>
      </c>
      <c r="D596" t="s">
        <v>3695</v>
      </c>
    </row>
    <row r="597" spans="1:4" x14ac:dyDescent="0.25">
      <c r="A597">
        <v>596</v>
      </c>
      <c r="B597" t="s">
        <v>3696</v>
      </c>
      <c r="C597" t="s">
        <v>62</v>
      </c>
      <c r="D597" t="s">
        <v>3697</v>
      </c>
    </row>
    <row r="598" spans="1:4" x14ac:dyDescent="0.25">
      <c r="A598">
        <v>597</v>
      </c>
      <c r="B598" t="s">
        <v>1389</v>
      </c>
      <c r="C598" t="s">
        <v>1390</v>
      </c>
      <c r="D598" t="s">
        <v>3698</v>
      </c>
    </row>
    <row r="599" spans="1:4" x14ac:dyDescent="0.25">
      <c r="A599">
        <v>598</v>
      </c>
      <c r="B599" t="s">
        <v>1392</v>
      </c>
      <c r="C599" t="s">
        <v>1393</v>
      </c>
      <c r="D599" t="s">
        <v>3699</v>
      </c>
    </row>
    <row r="600" spans="1:4" x14ac:dyDescent="0.25">
      <c r="A600">
        <v>599</v>
      </c>
      <c r="B600" t="s">
        <v>2775</v>
      </c>
      <c r="C600" t="s">
        <v>1395</v>
      </c>
      <c r="D600" t="s">
        <v>3700</v>
      </c>
    </row>
    <row r="601" spans="1:4" x14ac:dyDescent="0.25">
      <c r="A601">
        <v>600</v>
      </c>
      <c r="B601" t="s">
        <v>1397</v>
      </c>
      <c r="C601" t="s">
        <v>1398</v>
      </c>
      <c r="D601" t="s">
        <v>3701</v>
      </c>
    </row>
    <row r="602" spans="1:4" x14ac:dyDescent="0.25">
      <c r="A602">
        <v>601</v>
      </c>
      <c r="B602" t="s">
        <v>2777</v>
      </c>
      <c r="C602" t="s">
        <v>954</v>
      </c>
      <c r="D602" t="s">
        <v>3702</v>
      </c>
    </row>
    <row r="603" spans="1:4" x14ac:dyDescent="0.25">
      <c r="A603">
        <v>602</v>
      </c>
      <c r="B603" t="s">
        <v>2778</v>
      </c>
      <c r="C603" t="s">
        <v>70</v>
      </c>
      <c r="D603" t="s">
        <v>3703</v>
      </c>
    </row>
    <row r="604" spans="1:4" x14ac:dyDescent="0.25">
      <c r="A604">
        <v>603</v>
      </c>
      <c r="B604" t="s">
        <v>1402</v>
      </c>
      <c r="C604" t="s">
        <v>1328</v>
      </c>
      <c r="D604" t="s">
        <v>3704</v>
      </c>
    </row>
    <row r="605" spans="1:4" x14ac:dyDescent="0.25">
      <c r="A605">
        <v>604</v>
      </c>
      <c r="B605" t="s">
        <v>1403</v>
      </c>
      <c r="C605" t="s">
        <v>1328</v>
      </c>
      <c r="D605" t="s">
        <v>3705</v>
      </c>
    </row>
    <row r="606" spans="1:4" x14ac:dyDescent="0.25">
      <c r="A606">
        <v>605</v>
      </c>
      <c r="B606" t="s">
        <v>1404</v>
      </c>
      <c r="C606" t="s">
        <v>1390</v>
      </c>
      <c r="D606" t="s">
        <v>3706</v>
      </c>
    </row>
    <row r="607" spans="1:4" x14ac:dyDescent="0.25">
      <c r="A607">
        <v>606</v>
      </c>
      <c r="B607" t="s">
        <v>1405</v>
      </c>
      <c r="C607" t="s">
        <v>901</v>
      </c>
      <c r="D607" t="s">
        <v>3707</v>
      </c>
    </row>
    <row r="608" spans="1:4" x14ac:dyDescent="0.25">
      <c r="A608">
        <v>607</v>
      </c>
      <c r="B608" t="s">
        <v>3708</v>
      </c>
      <c r="C608" t="s">
        <v>1408</v>
      </c>
      <c r="D608" t="s">
        <v>3709</v>
      </c>
    </row>
    <row r="609" spans="1:4" x14ac:dyDescent="0.25">
      <c r="A609">
        <v>608</v>
      </c>
      <c r="B609" t="s">
        <v>1410</v>
      </c>
      <c r="C609" t="s">
        <v>62</v>
      </c>
      <c r="D609" t="s">
        <v>3710</v>
      </c>
    </row>
    <row r="610" spans="1:4" x14ac:dyDescent="0.25">
      <c r="A610">
        <v>609</v>
      </c>
      <c r="B610" t="s">
        <v>1411</v>
      </c>
      <c r="C610" t="s">
        <v>62</v>
      </c>
      <c r="D610" t="s">
        <v>3711</v>
      </c>
    </row>
    <row r="611" spans="1:4" x14ac:dyDescent="0.25">
      <c r="A611">
        <v>610</v>
      </c>
      <c r="B611" t="s">
        <v>1412</v>
      </c>
      <c r="C611" t="s">
        <v>1413</v>
      </c>
      <c r="D611" t="s">
        <v>3712</v>
      </c>
    </row>
    <row r="612" spans="1:4" x14ac:dyDescent="0.25">
      <c r="A612">
        <v>611</v>
      </c>
      <c r="B612" t="s">
        <v>2779</v>
      </c>
      <c r="C612" t="s">
        <v>2780</v>
      </c>
      <c r="D612" t="s">
        <v>3713</v>
      </c>
    </row>
    <row r="613" spans="1:4" x14ac:dyDescent="0.25">
      <c r="A613">
        <v>612</v>
      </c>
      <c r="B613" t="s">
        <v>2782</v>
      </c>
      <c r="C613" t="s">
        <v>1415</v>
      </c>
      <c r="D613" t="s">
        <v>3714</v>
      </c>
    </row>
    <row r="614" spans="1:4" x14ac:dyDescent="0.25">
      <c r="A614">
        <v>613</v>
      </c>
      <c r="B614" t="s">
        <v>2783</v>
      </c>
      <c r="C614" t="s">
        <v>170</v>
      </c>
      <c r="D614" t="s">
        <v>3715</v>
      </c>
    </row>
    <row r="615" spans="1:4" x14ac:dyDescent="0.25">
      <c r="A615">
        <v>614</v>
      </c>
      <c r="B615" t="s">
        <v>2784</v>
      </c>
      <c r="C615" t="s">
        <v>1227</v>
      </c>
      <c r="D615" t="s">
        <v>3716</v>
      </c>
    </row>
    <row r="616" spans="1:4" x14ac:dyDescent="0.25">
      <c r="A616">
        <v>615</v>
      </c>
      <c r="B616" t="s">
        <v>2786</v>
      </c>
      <c r="C616" t="s">
        <v>1417</v>
      </c>
      <c r="D616" t="s">
        <v>3717</v>
      </c>
    </row>
    <row r="617" spans="1:4" x14ac:dyDescent="0.25">
      <c r="A617">
        <v>616</v>
      </c>
      <c r="B617" t="s">
        <v>1419</v>
      </c>
      <c r="C617" t="s">
        <v>1420</v>
      </c>
      <c r="D617" t="s">
        <v>3718</v>
      </c>
    </row>
    <row r="618" spans="1:4" x14ac:dyDescent="0.25">
      <c r="A618">
        <v>617</v>
      </c>
      <c r="B618" t="s">
        <v>2788</v>
      </c>
      <c r="C618" t="s">
        <v>1422</v>
      </c>
      <c r="D618" t="s">
        <v>3719</v>
      </c>
    </row>
    <row r="619" spans="1:4" x14ac:dyDescent="0.25">
      <c r="A619">
        <v>618</v>
      </c>
      <c r="B619" t="s">
        <v>1424</v>
      </c>
      <c r="C619" t="s">
        <v>1393</v>
      </c>
      <c r="D619" t="s">
        <v>3720</v>
      </c>
    </row>
    <row r="620" spans="1:4" x14ac:dyDescent="0.25">
      <c r="A620">
        <v>619</v>
      </c>
      <c r="B620" t="s">
        <v>3721</v>
      </c>
      <c r="C620" t="s">
        <v>1427</v>
      </c>
      <c r="D620" t="s">
        <v>3722</v>
      </c>
    </row>
    <row r="621" spans="1:4" x14ac:dyDescent="0.25">
      <c r="A621">
        <v>620</v>
      </c>
      <c r="B621" t="s">
        <v>1429</v>
      </c>
      <c r="C621" t="s">
        <v>62</v>
      </c>
      <c r="D621" t="s">
        <v>3723</v>
      </c>
    </row>
    <row r="622" spans="1:4" x14ac:dyDescent="0.25">
      <c r="A622">
        <v>621</v>
      </c>
      <c r="B622" t="s">
        <v>1430</v>
      </c>
      <c r="C622" t="s">
        <v>1431</v>
      </c>
      <c r="D622" t="s">
        <v>3724</v>
      </c>
    </row>
    <row r="623" spans="1:4" x14ac:dyDescent="0.25">
      <c r="A623">
        <v>622</v>
      </c>
      <c r="B623" t="s">
        <v>1433</v>
      </c>
      <c r="C623" t="s">
        <v>1254</v>
      </c>
      <c r="D623" t="s">
        <v>3725</v>
      </c>
    </row>
    <row r="624" spans="1:4" x14ac:dyDescent="0.25">
      <c r="A624">
        <v>623</v>
      </c>
      <c r="B624" t="s">
        <v>3726</v>
      </c>
      <c r="C624" t="s">
        <v>871</v>
      </c>
      <c r="D624" t="s">
        <v>3727</v>
      </c>
    </row>
    <row r="625" spans="1:4" x14ac:dyDescent="0.25">
      <c r="A625">
        <v>624</v>
      </c>
      <c r="B625" t="s">
        <v>2789</v>
      </c>
      <c r="C625" t="s">
        <v>1436</v>
      </c>
      <c r="D625" t="s">
        <v>3728</v>
      </c>
    </row>
    <row r="626" spans="1:4" x14ac:dyDescent="0.25">
      <c r="A626">
        <v>625</v>
      </c>
      <c r="B626" t="s">
        <v>3729</v>
      </c>
      <c r="C626" t="s">
        <v>250</v>
      </c>
      <c r="D626" t="s">
        <v>3730</v>
      </c>
    </row>
    <row r="627" spans="1:4" x14ac:dyDescent="0.25">
      <c r="A627">
        <v>626</v>
      </c>
      <c r="B627" t="s">
        <v>2790</v>
      </c>
      <c r="C627" t="s">
        <v>1441</v>
      </c>
      <c r="D627" t="s">
        <v>3731</v>
      </c>
    </row>
    <row r="628" spans="1:4" x14ac:dyDescent="0.25">
      <c r="A628">
        <v>627</v>
      </c>
      <c r="B628" t="s">
        <v>1443</v>
      </c>
      <c r="C628" t="s">
        <v>1444</v>
      </c>
      <c r="D628" t="s">
        <v>3732</v>
      </c>
    </row>
    <row r="629" spans="1:4" x14ac:dyDescent="0.25">
      <c r="A629">
        <v>628</v>
      </c>
      <c r="B629" t="s">
        <v>2791</v>
      </c>
      <c r="C629" t="s">
        <v>70</v>
      </c>
      <c r="D629" t="s">
        <v>3733</v>
      </c>
    </row>
    <row r="630" spans="1:4" x14ac:dyDescent="0.25">
      <c r="A630">
        <v>629</v>
      </c>
      <c r="B630" t="s">
        <v>1446</v>
      </c>
      <c r="C630" t="s">
        <v>1447</v>
      </c>
      <c r="D630" t="s">
        <v>3734</v>
      </c>
    </row>
    <row r="631" spans="1:4" x14ac:dyDescent="0.25">
      <c r="A631">
        <v>630</v>
      </c>
      <c r="B631" t="s">
        <v>1449</v>
      </c>
      <c r="C631" t="s">
        <v>1447</v>
      </c>
      <c r="D631" t="s">
        <v>3735</v>
      </c>
    </row>
    <row r="632" spans="1:4" x14ac:dyDescent="0.25">
      <c r="A632">
        <v>631</v>
      </c>
      <c r="B632" t="s">
        <v>2792</v>
      </c>
      <c r="C632" t="s">
        <v>1450</v>
      </c>
      <c r="D632" t="s">
        <v>3736</v>
      </c>
    </row>
    <row r="633" spans="1:4" x14ac:dyDescent="0.25">
      <c r="A633">
        <v>632</v>
      </c>
      <c r="B633" t="s">
        <v>3737</v>
      </c>
      <c r="C633" t="s">
        <v>184</v>
      </c>
      <c r="D633" t="s">
        <v>3738</v>
      </c>
    </row>
    <row r="634" spans="1:4" x14ac:dyDescent="0.25">
      <c r="A634">
        <v>633</v>
      </c>
      <c r="B634" t="s">
        <v>2793</v>
      </c>
      <c r="C634" t="s">
        <v>250</v>
      </c>
      <c r="D634" t="s">
        <v>3739</v>
      </c>
    </row>
    <row r="635" spans="1:4" x14ac:dyDescent="0.25">
      <c r="A635">
        <v>634</v>
      </c>
      <c r="B635" t="s">
        <v>2794</v>
      </c>
      <c r="C635" t="s">
        <v>1455</v>
      </c>
      <c r="D635" t="s">
        <v>3740</v>
      </c>
    </row>
    <row r="636" spans="1:4" x14ac:dyDescent="0.25">
      <c r="A636">
        <v>635</v>
      </c>
      <c r="B636" t="s">
        <v>2795</v>
      </c>
      <c r="C636" t="s">
        <v>1455</v>
      </c>
      <c r="D636" t="s">
        <v>3741</v>
      </c>
    </row>
    <row r="637" spans="1:4" x14ac:dyDescent="0.25">
      <c r="A637">
        <v>636</v>
      </c>
      <c r="B637" t="s">
        <v>3742</v>
      </c>
      <c r="C637" t="s">
        <v>1460</v>
      </c>
      <c r="D637" t="s">
        <v>3743</v>
      </c>
    </row>
    <row r="638" spans="1:4" x14ac:dyDescent="0.25">
      <c r="A638">
        <v>637</v>
      </c>
      <c r="B638" t="s">
        <v>2797</v>
      </c>
      <c r="C638" t="s">
        <v>94</v>
      </c>
      <c r="D638" t="s">
        <v>3744</v>
      </c>
    </row>
    <row r="639" spans="1:4" x14ac:dyDescent="0.25">
      <c r="A639">
        <v>638</v>
      </c>
      <c r="B639" t="s">
        <v>2798</v>
      </c>
      <c r="C639" t="s">
        <v>94</v>
      </c>
      <c r="D639" t="s">
        <v>3745</v>
      </c>
    </row>
    <row r="640" spans="1:4" x14ac:dyDescent="0.25">
      <c r="A640">
        <v>639</v>
      </c>
      <c r="B640" t="s">
        <v>2796</v>
      </c>
      <c r="C640" t="s">
        <v>94</v>
      </c>
      <c r="D640" t="s">
        <v>3746</v>
      </c>
    </row>
    <row r="641" spans="1:4" x14ac:dyDescent="0.25">
      <c r="A641">
        <v>640</v>
      </c>
      <c r="B641" t="s">
        <v>1465</v>
      </c>
      <c r="C641" t="s">
        <v>1340</v>
      </c>
      <c r="D641" t="s">
        <v>3747</v>
      </c>
    </row>
    <row r="642" spans="1:4" x14ac:dyDescent="0.25">
      <c r="A642">
        <v>641</v>
      </c>
      <c r="B642" t="s">
        <v>1466</v>
      </c>
      <c r="C642" t="s">
        <v>215</v>
      </c>
      <c r="D642" t="s">
        <v>3748</v>
      </c>
    </row>
    <row r="643" spans="1:4" x14ac:dyDescent="0.25">
      <c r="A643">
        <v>642</v>
      </c>
      <c r="B643" t="s">
        <v>2801</v>
      </c>
      <c r="C643" t="s">
        <v>1468</v>
      </c>
      <c r="D643" t="s">
        <v>3749</v>
      </c>
    </row>
    <row r="644" spans="1:4" x14ac:dyDescent="0.25">
      <c r="A644">
        <v>643</v>
      </c>
      <c r="B644" t="s">
        <v>2800</v>
      </c>
      <c r="C644" t="s">
        <v>1468</v>
      </c>
      <c r="D644" t="s">
        <v>3750</v>
      </c>
    </row>
    <row r="645" spans="1:4" x14ac:dyDescent="0.25">
      <c r="A645">
        <v>644</v>
      </c>
      <c r="B645" t="s">
        <v>2799</v>
      </c>
      <c r="C645" t="s">
        <v>1468</v>
      </c>
      <c r="D645" t="s">
        <v>3751</v>
      </c>
    </row>
    <row r="646" spans="1:4" x14ac:dyDescent="0.25">
      <c r="A646">
        <v>645</v>
      </c>
      <c r="B646" t="s">
        <v>1472</v>
      </c>
      <c r="C646" t="s">
        <v>1473</v>
      </c>
      <c r="D646" t="s">
        <v>3752</v>
      </c>
    </row>
    <row r="647" spans="1:4" x14ac:dyDescent="0.25">
      <c r="A647">
        <v>646</v>
      </c>
      <c r="B647" t="s">
        <v>2802</v>
      </c>
      <c r="C647" t="s">
        <v>1476</v>
      </c>
      <c r="D647" t="s">
        <v>3753</v>
      </c>
    </row>
    <row r="648" spans="1:4" x14ac:dyDescent="0.25">
      <c r="A648">
        <v>647</v>
      </c>
      <c r="B648" t="s">
        <v>2803</v>
      </c>
      <c r="C648" t="s">
        <v>1478</v>
      </c>
      <c r="D648" t="s">
        <v>3754</v>
      </c>
    </row>
    <row r="649" spans="1:4" x14ac:dyDescent="0.25">
      <c r="A649">
        <v>648</v>
      </c>
      <c r="B649" t="s">
        <v>2804</v>
      </c>
      <c r="C649" t="s">
        <v>1291</v>
      </c>
      <c r="D649" t="s">
        <v>3755</v>
      </c>
    </row>
    <row r="650" spans="1:4" x14ac:dyDescent="0.25">
      <c r="A650">
        <v>649</v>
      </c>
      <c r="B650" t="s">
        <v>2805</v>
      </c>
      <c r="C650" t="s">
        <v>70</v>
      </c>
      <c r="D650" t="s">
        <v>3756</v>
      </c>
    </row>
    <row r="651" spans="1:4" x14ac:dyDescent="0.25">
      <c r="A651">
        <v>650</v>
      </c>
      <c r="B651" t="s">
        <v>2806</v>
      </c>
      <c r="C651" t="s">
        <v>1476</v>
      </c>
      <c r="D651" t="s">
        <v>3757</v>
      </c>
    </row>
    <row r="652" spans="1:4" x14ac:dyDescent="0.25">
      <c r="A652">
        <v>651</v>
      </c>
      <c r="B652" t="s">
        <v>2807</v>
      </c>
      <c r="C652" t="s">
        <v>1482</v>
      </c>
      <c r="D652" t="s">
        <v>3758</v>
      </c>
    </row>
    <row r="653" spans="1:4" x14ac:dyDescent="0.25">
      <c r="A653">
        <v>652</v>
      </c>
      <c r="B653" t="s">
        <v>2808</v>
      </c>
      <c r="C653" t="s">
        <v>813</v>
      </c>
      <c r="D653" t="s">
        <v>3759</v>
      </c>
    </row>
    <row r="654" spans="1:4" x14ac:dyDescent="0.25">
      <c r="A654">
        <v>653</v>
      </c>
      <c r="B654" t="s">
        <v>1485</v>
      </c>
      <c r="C654" t="s">
        <v>1115</v>
      </c>
      <c r="D654" t="s">
        <v>3760</v>
      </c>
    </row>
    <row r="655" spans="1:4" x14ac:dyDescent="0.25">
      <c r="A655">
        <v>654</v>
      </c>
      <c r="B655" t="s">
        <v>2812</v>
      </c>
      <c r="C655" t="s">
        <v>302</v>
      </c>
      <c r="D655" t="s">
        <v>3761</v>
      </c>
    </row>
    <row r="656" spans="1:4" x14ac:dyDescent="0.25">
      <c r="A656">
        <v>655</v>
      </c>
      <c r="B656" t="s">
        <v>2813</v>
      </c>
      <c r="C656" t="s">
        <v>302</v>
      </c>
      <c r="D656" t="s">
        <v>3762</v>
      </c>
    </row>
    <row r="657" spans="1:4" x14ac:dyDescent="0.25">
      <c r="A657">
        <v>656</v>
      </c>
      <c r="B657" t="s">
        <v>2814</v>
      </c>
      <c r="C657" t="s">
        <v>302</v>
      </c>
      <c r="D657" t="s">
        <v>3763</v>
      </c>
    </row>
    <row r="658" spans="1:4" x14ac:dyDescent="0.25">
      <c r="A658">
        <v>657</v>
      </c>
      <c r="B658" t="s">
        <v>3764</v>
      </c>
      <c r="C658" t="s">
        <v>1491</v>
      </c>
      <c r="D658" t="s">
        <v>3765</v>
      </c>
    </row>
    <row r="659" spans="1:4" x14ac:dyDescent="0.25">
      <c r="A659">
        <v>658</v>
      </c>
      <c r="B659" t="s">
        <v>2815</v>
      </c>
      <c r="C659" t="s">
        <v>1460</v>
      </c>
      <c r="D659" t="s">
        <v>3766</v>
      </c>
    </row>
    <row r="660" spans="1:4" x14ac:dyDescent="0.25">
      <c r="A660">
        <v>659</v>
      </c>
      <c r="B660" t="s">
        <v>2817</v>
      </c>
      <c r="C660" t="s">
        <v>1476</v>
      </c>
      <c r="D660" t="s">
        <v>3767</v>
      </c>
    </row>
    <row r="661" spans="1:4" x14ac:dyDescent="0.25">
      <c r="A661">
        <v>660</v>
      </c>
      <c r="B661" t="s">
        <v>1495</v>
      </c>
      <c r="C661" t="s">
        <v>1115</v>
      </c>
      <c r="D661" t="s">
        <v>3768</v>
      </c>
    </row>
    <row r="662" spans="1:4" x14ac:dyDescent="0.25">
      <c r="A662">
        <v>661</v>
      </c>
      <c r="B662" t="s">
        <v>2818</v>
      </c>
      <c r="C662" t="s">
        <v>1496</v>
      </c>
      <c r="D662" t="s">
        <v>3769</v>
      </c>
    </row>
    <row r="663" spans="1:4" x14ac:dyDescent="0.25">
      <c r="A663">
        <v>662</v>
      </c>
      <c r="B663" t="s">
        <v>2819</v>
      </c>
      <c r="C663" t="s">
        <v>70</v>
      </c>
      <c r="D663" t="s">
        <v>3770</v>
      </c>
    </row>
    <row r="664" spans="1:4" x14ac:dyDescent="0.25">
      <c r="A664">
        <v>663</v>
      </c>
      <c r="B664" t="s">
        <v>2820</v>
      </c>
      <c r="C664" t="s">
        <v>184</v>
      </c>
      <c r="D664" t="s">
        <v>3771</v>
      </c>
    </row>
    <row r="665" spans="1:4" x14ac:dyDescent="0.25">
      <c r="A665">
        <v>664</v>
      </c>
      <c r="B665" t="s">
        <v>2821</v>
      </c>
      <c r="C665" t="s">
        <v>1427</v>
      </c>
      <c r="D665" t="s">
        <v>3772</v>
      </c>
    </row>
    <row r="666" spans="1:4" x14ac:dyDescent="0.25">
      <c r="A666">
        <v>665</v>
      </c>
      <c r="B666" t="s">
        <v>1500</v>
      </c>
      <c r="C666" t="s">
        <v>1501</v>
      </c>
      <c r="D666" t="s">
        <v>3773</v>
      </c>
    </row>
    <row r="667" spans="1:4" x14ac:dyDescent="0.25">
      <c r="A667">
        <v>666</v>
      </c>
      <c r="B667" t="s">
        <v>1503</v>
      </c>
      <c r="C667" t="s">
        <v>1504</v>
      </c>
      <c r="D667" t="s">
        <v>3774</v>
      </c>
    </row>
    <row r="668" spans="1:4" x14ac:dyDescent="0.25">
      <c r="A668">
        <v>667</v>
      </c>
      <c r="B668" t="s">
        <v>2822</v>
      </c>
      <c r="C668" t="s">
        <v>1507</v>
      </c>
      <c r="D668" t="s">
        <v>3775</v>
      </c>
    </row>
    <row r="669" spans="1:4" x14ac:dyDescent="0.25">
      <c r="A669">
        <v>668</v>
      </c>
      <c r="B669" t="s">
        <v>2823</v>
      </c>
      <c r="C669" t="s">
        <v>1507</v>
      </c>
      <c r="D669" t="s">
        <v>3776</v>
      </c>
    </row>
    <row r="670" spans="1:4" x14ac:dyDescent="0.25">
      <c r="A670">
        <v>669</v>
      </c>
      <c r="B670" t="s">
        <v>1510</v>
      </c>
      <c r="C670" t="s">
        <v>1511</v>
      </c>
      <c r="D670" t="s">
        <v>3777</v>
      </c>
    </row>
    <row r="671" spans="1:4" x14ac:dyDescent="0.25">
      <c r="A671">
        <v>670</v>
      </c>
      <c r="B671" t="s">
        <v>1513</v>
      </c>
      <c r="C671" t="s">
        <v>1115</v>
      </c>
      <c r="D671" t="s">
        <v>3778</v>
      </c>
    </row>
    <row r="672" spans="1:4" x14ac:dyDescent="0.25">
      <c r="A672">
        <v>671</v>
      </c>
      <c r="B672" t="s">
        <v>1514</v>
      </c>
      <c r="C672" t="s">
        <v>1515</v>
      </c>
      <c r="D672" t="s">
        <v>3779</v>
      </c>
    </row>
    <row r="673" spans="1:4" x14ac:dyDescent="0.25">
      <c r="A673">
        <v>672</v>
      </c>
      <c r="B673" t="s">
        <v>2825</v>
      </c>
      <c r="C673" t="s">
        <v>1517</v>
      </c>
      <c r="D673" t="s">
        <v>3780</v>
      </c>
    </row>
    <row r="674" spans="1:4" x14ac:dyDescent="0.25">
      <c r="A674">
        <v>673</v>
      </c>
      <c r="B674" t="s">
        <v>2826</v>
      </c>
      <c r="C674" t="s">
        <v>1115</v>
      </c>
      <c r="D674" t="s">
        <v>3781</v>
      </c>
    </row>
    <row r="675" spans="1:4" x14ac:dyDescent="0.25">
      <c r="A675">
        <v>674</v>
      </c>
      <c r="B675" t="s">
        <v>2827</v>
      </c>
      <c r="C675" t="s">
        <v>1520</v>
      </c>
      <c r="D675" t="s">
        <v>3782</v>
      </c>
    </row>
    <row r="676" spans="1:4" x14ac:dyDescent="0.25">
      <c r="A676">
        <v>675</v>
      </c>
      <c r="B676" t="s">
        <v>2828</v>
      </c>
      <c r="C676" t="s">
        <v>1520</v>
      </c>
      <c r="D676" t="s">
        <v>3783</v>
      </c>
    </row>
    <row r="677" spans="1:4" x14ac:dyDescent="0.25">
      <c r="A677">
        <v>676</v>
      </c>
      <c r="B677" t="s">
        <v>2830</v>
      </c>
      <c r="C677" t="s">
        <v>1088</v>
      </c>
      <c r="D677" t="s">
        <v>3784</v>
      </c>
    </row>
    <row r="678" spans="1:4" x14ac:dyDescent="0.25">
      <c r="A678">
        <v>677</v>
      </c>
      <c r="B678" t="s">
        <v>3785</v>
      </c>
      <c r="C678" t="s">
        <v>1526</v>
      </c>
      <c r="D678" t="s">
        <v>3786</v>
      </c>
    </row>
    <row r="679" spans="1:4" x14ac:dyDescent="0.25">
      <c r="A679">
        <v>678</v>
      </c>
      <c r="B679" t="s">
        <v>3787</v>
      </c>
      <c r="C679" t="s">
        <v>1526</v>
      </c>
      <c r="D679" t="s">
        <v>3788</v>
      </c>
    </row>
    <row r="680" spans="1:4" x14ac:dyDescent="0.25">
      <c r="A680">
        <v>679</v>
      </c>
      <c r="B680" t="s">
        <v>1530</v>
      </c>
      <c r="C680" t="s">
        <v>1531</v>
      </c>
      <c r="D680" t="s">
        <v>3789</v>
      </c>
    </row>
    <row r="681" spans="1:4" x14ac:dyDescent="0.25">
      <c r="A681">
        <v>680</v>
      </c>
      <c r="B681" t="s">
        <v>2831</v>
      </c>
      <c r="C681" t="s">
        <v>1534</v>
      </c>
      <c r="D681" t="s">
        <v>3790</v>
      </c>
    </row>
    <row r="682" spans="1:4" x14ac:dyDescent="0.25">
      <c r="A682">
        <v>681</v>
      </c>
      <c r="B682" t="s">
        <v>2834</v>
      </c>
      <c r="C682" t="s">
        <v>1537</v>
      </c>
      <c r="D682" t="s">
        <v>3791</v>
      </c>
    </row>
    <row r="683" spans="1:4" x14ac:dyDescent="0.25">
      <c r="A683">
        <v>682</v>
      </c>
      <c r="B683" t="s">
        <v>2837</v>
      </c>
      <c r="C683" t="s">
        <v>668</v>
      </c>
      <c r="D683" t="s">
        <v>3792</v>
      </c>
    </row>
    <row r="684" spans="1:4" x14ac:dyDescent="0.25">
      <c r="A684">
        <v>683</v>
      </c>
      <c r="B684" t="s">
        <v>2839</v>
      </c>
      <c r="C684" t="s">
        <v>668</v>
      </c>
      <c r="D684" t="s">
        <v>3793</v>
      </c>
    </row>
    <row r="685" spans="1:4" x14ac:dyDescent="0.25">
      <c r="A685">
        <v>684</v>
      </c>
      <c r="B685" t="s">
        <v>1541</v>
      </c>
      <c r="C685" t="s">
        <v>1542</v>
      </c>
      <c r="D685" t="s">
        <v>3794</v>
      </c>
    </row>
    <row r="686" spans="1:4" x14ac:dyDescent="0.25">
      <c r="A686">
        <v>685</v>
      </c>
      <c r="B686" t="s">
        <v>2809</v>
      </c>
      <c r="C686" t="s">
        <v>813</v>
      </c>
      <c r="D686" t="s">
        <v>3795</v>
      </c>
    </row>
    <row r="687" spans="1:4" x14ac:dyDescent="0.25">
      <c r="A687">
        <v>686</v>
      </c>
      <c r="B687" t="s">
        <v>2841</v>
      </c>
      <c r="C687" t="s">
        <v>1546</v>
      </c>
      <c r="D687" t="s">
        <v>3796</v>
      </c>
    </row>
    <row r="688" spans="1:4" x14ac:dyDescent="0.25">
      <c r="A688">
        <v>687</v>
      </c>
      <c r="B688" t="s">
        <v>2842</v>
      </c>
      <c r="C688" t="s">
        <v>1546</v>
      </c>
      <c r="D688" t="s">
        <v>3797</v>
      </c>
    </row>
    <row r="689" spans="1:4" x14ac:dyDescent="0.25">
      <c r="A689">
        <v>688</v>
      </c>
      <c r="B689" t="s">
        <v>2850</v>
      </c>
      <c r="C689" t="s">
        <v>1550</v>
      </c>
      <c r="D689" t="s">
        <v>3798</v>
      </c>
    </row>
    <row r="690" spans="1:4" x14ac:dyDescent="0.25">
      <c r="A690">
        <v>689</v>
      </c>
      <c r="B690" t="s">
        <v>2832</v>
      </c>
      <c r="C690" t="s">
        <v>1534</v>
      </c>
      <c r="D690" t="s">
        <v>3799</v>
      </c>
    </row>
    <row r="691" spans="1:4" x14ac:dyDescent="0.25">
      <c r="A691">
        <v>690</v>
      </c>
      <c r="B691" t="s">
        <v>2851</v>
      </c>
      <c r="C691" t="s">
        <v>1553</v>
      </c>
      <c r="D691" t="s">
        <v>3800</v>
      </c>
    </row>
    <row r="692" spans="1:4" x14ac:dyDescent="0.25">
      <c r="A692">
        <v>691</v>
      </c>
      <c r="B692" t="s">
        <v>2852</v>
      </c>
      <c r="C692" t="s">
        <v>1555</v>
      </c>
      <c r="D692" t="s">
        <v>3801</v>
      </c>
    </row>
    <row r="693" spans="1:4" x14ac:dyDescent="0.25">
      <c r="A693">
        <v>692</v>
      </c>
      <c r="B693" t="s">
        <v>3802</v>
      </c>
      <c r="C693" t="s">
        <v>269</v>
      </c>
      <c r="D693" t="s">
        <v>3803</v>
      </c>
    </row>
    <row r="694" spans="1:4" x14ac:dyDescent="0.25">
      <c r="A694">
        <v>693</v>
      </c>
      <c r="B694" t="s">
        <v>3804</v>
      </c>
      <c r="C694" t="s">
        <v>250</v>
      </c>
      <c r="D694" t="s">
        <v>3805</v>
      </c>
    </row>
    <row r="695" spans="1:4" x14ac:dyDescent="0.25">
      <c r="A695">
        <v>694</v>
      </c>
      <c r="B695" t="s">
        <v>2853</v>
      </c>
      <c r="C695" t="s">
        <v>1562</v>
      </c>
      <c r="D695" t="s">
        <v>3806</v>
      </c>
    </row>
    <row r="696" spans="1:4" x14ac:dyDescent="0.25">
      <c r="A696">
        <v>695</v>
      </c>
      <c r="B696" t="s">
        <v>2843</v>
      </c>
      <c r="C696" t="s">
        <v>1546</v>
      </c>
      <c r="D696" t="s">
        <v>3807</v>
      </c>
    </row>
    <row r="697" spans="1:4" x14ac:dyDescent="0.25">
      <c r="A697">
        <v>696</v>
      </c>
      <c r="B697" t="s">
        <v>2835</v>
      </c>
      <c r="C697" t="s">
        <v>1537</v>
      </c>
      <c r="D697" t="s">
        <v>3808</v>
      </c>
    </row>
    <row r="698" spans="1:4" x14ac:dyDescent="0.25">
      <c r="A698">
        <v>697</v>
      </c>
      <c r="B698" t="s">
        <v>2854</v>
      </c>
      <c r="C698" t="s">
        <v>1562</v>
      </c>
      <c r="D698" t="s">
        <v>3809</v>
      </c>
    </row>
    <row r="699" spans="1:4" x14ac:dyDescent="0.25">
      <c r="A699">
        <v>698</v>
      </c>
      <c r="B699" t="s">
        <v>2855</v>
      </c>
      <c r="C699" t="s">
        <v>1567</v>
      </c>
      <c r="D699" t="s">
        <v>3810</v>
      </c>
    </row>
    <row r="700" spans="1:4" x14ac:dyDescent="0.25">
      <c r="A700">
        <v>699</v>
      </c>
      <c r="B700" t="s">
        <v>2824</v>
      </c>
      <c r="C700" t="s">
        <v>1507</v>
      </c>
      <c r="D700" t="s">
        <v>3811</v>
      </c>
    </row>
    <row r="701" spans="1:4" x14ac:dyDescent="0.25">
      <c r="A701">
        <v>700</v>
      </c>
      <c r="B701" t="s">
        <v>1570</v>
      </c>
      <c r="C701" t="s">
        <v>1571</v>
      </c>
      <c r="D701" t="s">
        <v>3812</v>
      </c>
    </row>
    <row r="702" spans="1:4" x14ac:dyDescent="0.25">
      <c r="A702">
        <v>701</v>
      </c>
      <c r="B702" t="s">
        <v>2856</v>
      </c>
      <c r="C702" t="s">
        <v>1573</v>
      </c>
      <c r="D702" t="s">
        <v>3813</v>
      </c>
    </row>
    <row r="703" spans="1:4" x14ac:dyDescent="0.25">
      <c r="A703">
        <v>702</v>
      </c>
      <c r="B703" t="s">
        <v>2833</v>
      </c>
      <c r="C703" t="s">
        <v>1534</v>
      </c>
      <c r="D703" t="s">
        <v>3814</v>
      </c>
    </row>
    <row r="704" spans="1:4" x14ac:dyDescent="0.25">
      <c r="A704">
        <v>703</v>
      </c>
      <c r="B704" t="s">
        <v>1576</v>
      </c>
      <c r="C704" t="s">
        <v>1577</v>
      </c>
      <c r="D704" t="s">
        <v>3815</v>
      </c>
    </row>
    <row r="705" spans="1:4" x14ac:dyDescent="0.25">
      <c r="A705">
        <v>704</v>
      </c>
      <c r="B705" t="s">
        <v>3816</v>
      </c>
      <c r="C705" t="s">
        <v>250</v>
      </c>
      <c r="D705" t="s">
        <v>3817</v>
      </c>
    </row>
    <row r="706" spans="1:4" x14ac:dyDescent="0.25">
      <c r="A706">
        <v>705</v>
      </c>
      <c r="B706" t="s">
        <v>2836</v>
      </c>
      <c r="C706" t="s">
        <v>1537</v>
      </c>
      <c r="D706" t="s">
        <v>3818</v>
      </c>
    </row>
    <row r="707" spans="1:4" x14ac:dyDescent="0.25">
      <c r="A707">
        <v>706</v>
      </c>
      <c r="B707" t="s">
        <v>2844</v>
      </c>
      <c r="C707" t="s">
        <v>1546</v>
      </c>
      <c r="D707" t="s">
        <v>3819</v>
      </c>
    </row>
    <row r="708" spans="1:4" x14ac:dyDescent="0.25">
      <c r="A708">
        <v>707</v>
      </c>
      <c r="B708" t="s">
        <v>2845</v>
      </c>
      <c r="C708" t="s">
        <v>1546</v>
      </c>
      <c r="D708" t="s">
        <v>3820</v>
      </c>
    </row>
    <row r="709" spans="1:4" x14ac:dyDescent="0.25">
      <c r="A709">
        <v>708</v>
      </c>
      <c r="B709" t="s">
        <v>2846</v>
      </c>
      <c r="C709" t="s">
        <v>1546</v>
      </c>
      <c r="D709" t="s">
        <v>3821</v>
      </c>
    </row>
    <row r="710" spans="1:4" x14ac:dyDescent="0.25">
      <c r="A710">
        <v>709</v>
      </c>
      <c r="B710" t="s">
        <v>2847</v>
      </c>
      <c r="C710" t="s">
        <v>1546</v>
      </c>
      <c r="D710" t="s">
        <v>3822</v>
      </c>
    </row>
    <row r="711" spans="1:4" x14ac:dyDescent="0.25">
      <c r="A711">
        <v>710</v>
      </c>
      <c r="B711" t="s">
        <v>2848</v>
      </c>
      <c r="C711" t="s">
        <v>1546</v>
      </c>
      <c r="D711" t="s">
        <v>3823</v>
      </c>
    </row>
    <row r="712" spans="1:4" x14ac:dyDescent="0.25">
      <c r="A712">
        <v>711</v>
      </c>
      <c r="B712" t="s">
        <v>2849</v>
      </c>
      <c r="C712" t="s">
        <v>1546</v>
      </c>
      <c r="D712" t="s">
        <v>3824</v>
      </c>
    </row>
    <row r="713" spans="1:4" x14ac:dyDescent="0.25">
      <c r="A713">
        <v>712</v>
      </c>
      <c r="B713" t="s">
        <v>2857</v>
      </c>
      <c r="C713" t="s">
        <v>1589</v>
      </c>
      <c r="D713" t="s">
        <v>3825</v>
      </c>
    </row>
    <row r="714" spans="1:4" x14ac:dyDescent="0.25">
      <c r="A714">
        <v>713</v>
      </c>
      <c r="B714" t="s">
        <v>2859</v>
      </c>
      <c r="C714" t="s">
        <v>1589</v>
      </c>
      <c r="D714" t="s">
        <v>3826</v>
      </c>
    </row>
    <row r="715" spans="1:4" x14ac:dyDescent="0.25">
      <c r="A715">
        <v>714</v>
      </c>
      <c r="B715" t="s">
        <v>2860</v>
      </c>
      <c r="C715" t="s">
        <v>1593</v>
      </c>
      <c r="D715" t="s">
        <v>3827</v>
      </c>
    </row>
    <row r="716" spans="1:4" x14ac:dyDescent="0.25">
      <c r="A716">
        <v>715</v>
      </c>
      <c r="B716" t="s">
        <v>2861</v>
      </c>
      <c r="C716" t="s">
        <v>125</v>
      </c>
      <c r="D716" t="s">
        <v>3828</v>
      </c>
    </row>
    <row r="717" spans="1:4" x14ac:dyDescent="0.25">
      <c r="A717">
        <v>716</v>
      </c>
      <c r="B717" t="s">
        <v>3829</v>
      </c>
      <c r="C717" t="s">
        <v>269</v>
      </c>
      <c r="D717" t="s">
        <v>3830</v>
      </c>
    </row>
    <row r="718" spans="1:4" x14ac:dyDescent="0.25">
      <c r="A718">
        <v>717</v>
      </c>
      <c r="B718" t="s">
        <v>2871</v>
      </c>
      <c r="C718" t="s">
        <v>1598</v>
      </c>
      <c r="D718" t="s">
        <v>3831</v>
      </c>
    </row>
    <row r="719" spans="1:4" x14ac:dyDescent="0.25">
      <c r="A719">
        <v>718</v>
      </c>
      <c r="B719" t="s">
        <v>2868</v>
      </c>
      <c r="C719" t="s">
        <v>1601</v>
      </c>
      <c r="D719" t="s">
        <v>3832</v>
      </c>
    </row>
    <row r="720" spans="1:4" x14ac:dyDescent="0.25">
      <c r="A720">
        <v>719</v>
      </c>
      <c r="B720" t="s">
        <v>2870</v>
      </c>
      <c r="C720" t="s">
        <v>1601</v>
      </c>
      <c r="D720" t="s">
        <v>3833</v>
      </c>
    </row>
    <row r="721" spans="1:4" x14ac:dyDescent="0.25">
      <c r="A721">
        <v>720</v>
      </c>
      <c r="B721" t="s">
        <v>1604</v>
      </c>
      <c r="C721" t="s">
        <v>1504</v>
      </c>
      <c r="D721" t="s">
        <v>3834</v>
      </c>
    </row>
    <row r="722" spans="1:4" x14ac:dyDescent="0.25">
      <c r="A722">
        <v>721</v>
      </c>
      <c r="B722" t="s">
        <v>2873</v>
      </c>
      <c r="C722" t="s">
        <v>1605</v>
      </c>
      <c r="D722" t="s">
        <v>3835</v>
      </c>
    </row>
    <row r="723" spans="1:4" x14ac:dyDescent="0.25">
      <c r="A723">
        <v>722</v>
      </c>
      <c r="B723" t="s">
        <v>1607</v>
      </c>
      <c r="C723" t="s">
        <v>1608</v>
      </c>
      <c r="D723" t="s">
        <v>3836</v>
      </c>
    </row>
    <row r="724" spans="1:4" x14ac:dyDescent="0.25">
      <c r="A724">
        <v>723</v>
      </c>
      <c r="B724" t="s">
        <v>1610</v>
      </c>
      <c r="C724" t="s">
        <v>1504</v>
      </c>
      <c r="D724" t="s">
        <v>3837</v>
      </c>
    </row>
    <row r="725" spans="1:4" x14ac:dyDescent="0.25">
      <c r="A725">
        <v>724</v>
      </c>
      <c r="B725" t="s">
        <v>2874</v>
      </c>
      <c r="C725" t="s">
        <v>1612</v>
      </c>
      <c r="D725" t="s">
        <v>3838</v>
      </c>
    </row>
    <row r="726" spans="1:4" x14ac:dyDescent="0.25">
      <c r="A726">
        <v>725</v>
      </c>
      <c r="B726" t="s">
        <v>3839</v>
      </c>
      <c r="C726" t="s">
        <v>269</v>
      </c>
      <c r="D726" t="s">
        <v>3840</v>
      </c>
    </row>
    <row r="727" spans="1:4" x14ac:dyDescent="0.25">
      <c r="A727">
        <v>726</v>
      </c>
      <c r="B727" t="s">
        <v>2875</v>
      </c>
      <c r="C727" t="s">
        <v>1616</v>
      </c>
      <c r="D727" t="s">
        <v>3841</v>
      </c>
    </row>
    <row r="728" spans="1:4" x14ac:dyDescent="0.25">
      <c r="A728">
        <v>727</v>
      </c>
      <c r="B728" t="s">
        <v>1618</v>
      </c>
      <c r="C728" t="s">
        <v>1619</v>
      </c>
      <c r="D728" t="s">
        <v>3842</v>
      </c>
    </row>
    <row r="729" spans="1:4" x14ac:dyDescent="0.25">
      <c r="A729">
        <v>728</v>
      </c>
      <c r="B729" t="s">
        <v>1621</v>
      </c>
      <c r="C729" t="s">
        <v>1504</v>
      </c>
      <c r="D729" t="s">
        <v>3843</v>
      </c>
    </row>
    <row r="730" spans="1:4" x14ac:dyDescent="0.25">
      <c r="A730">
        <v>729</v>
      </c>
      <c r="B730" t="s">
        <v>2876</v>
      </c>
      <c r="C730" t="s">
        <v>1427</v>
      </c>
      <c r="D730" t="s">
        <v>3844</v>
      </c>
    </row>
    <row r="731" spans="1:4" x14ac:dyDescent="0.25">
      <c r="A731">
        <v>730</v>
      </c>
      <c r="B731" t="s">
        <v>1623</v>
      </c>
      <c r="C731" t="s">
        <v>1619</v>
      </c>
      <c r="D731" t="s">
        <v>3845</v>
      </c>
    </row>
    <row r="732" spans="1:4" x14ac:dyDescent="0.25">
      <c r="A732">
        <v>731</v>
      </c>
      <c r="B732" t="s">
        <v>1624</v>
      </c>
      <c r="C732" t="s">
        <v>1625</v>
      </c>
      <c r="D732" t="s">
        <v>3846</v>
      </c>
    </row>
    <row r="733" spans="1:4" x14ac:dyDescent="0.25">
      <c r="A733">
        <v>732</v>
      </c>
      <c r="B733" t="s">
        <v>1627</v>
      </c>
      <c r="C733" t="s">
        <v>1619</v>
      </c>
      <c r="D733" t="s">
        <v>3847</v>
      </c>
    </row>
    <row r="734" spans="1:4" x14ac:dyDescent="0.25">
      <c r="A734">
        <v>733</v>
      </c>
      <c r="B734" t="s">
        <v>2884</v>
      </c>
      <c r="C734" t="s">
        <v>1628</v>
      </c>
      <c r="D734" t="s">
        <v>3848</v>
      </c>
    </row>
    <row r="735" spans="1:4" x14ac:dyDescent="0.25">
      <c r="A735">
        <v>734</v>
      </c>
      <c r="B735" t="s">
        <v>1630</v>
      </c>
      <c r="C735" t="s">
        <v>1619</v>
      </c>
      <c r="D735" t="s">
        <v>3849</v>
      </c>
    </row>
    <row r="736" spans="1:4" x14ac:dyDescent="0.25">
      <c r="A736">
        <v>735</v>
      </c>
      <c r="B736" t="s">
        <v>2877</v>
      </c>
      <c r="C736" t="s">
        <v>1427</v>
      </c>
      <c r="D736" t="s">
        <v>3850</v>
      </c>
    </row>
    <row r="737" spans="1:4" x14ac:dyDescent="0.25">
      <c r="A737">
        <v>736</v>
      </c>
      <c r="B737" t="s">
        <v>2885</v>
      </c>
      <c r="C737" t="s">
        <v>1632</v>
      </c>
      <c r="D737" t="s">
        <v>3851</v>
      </c>
    </row>
    <row r="738" spans="1:4" x14ac:dyDescent="0.25">
      <c r="A738">
        <v>737</v>
      </c>
      <c r="B738" t="s">
        <v>1634</v>
      </c>
      <c r="C738" t="s">
        <v>1619</v>
      </c>
      <c r="D738" t="s">
        <v>3852</v>
      </c>
    </row>
    <row r="739" spans="1:4" x14ac:dyDescent="0.25">
      <c r="A739">
        <v>738</v>
      </c>
      <c r="B739" t="s">
        <v>2878</v>
      </c>
      <c r="C739" t="s">
        <v>1427</v>
      </c>
      <c r="D739" t="s">
        <v>3853</v>
      </c>
    </row>
    <row r="740" spans="1:4" x14ac:dyDescent="0.25">
      <c r="A740">
        <v>739</v>
      </c>
      <c r="B740" t="s">
        <v>1636</v>
      </c>
      <c r="C740" t="s">
        <v>1637</v>
      </c>
      <c r="D740" t="s">
        <v>3854</v>
      </c>
    </row>
    <row r="741" spans="1:4" x14ac:dyDescent="0.25">
      <c r="A741">
        <v>740</v>
      </c>
      <c r="B741" t="s">
        <v>1639</v>
      </c>
      <c r="C741" t="s">
        <v>1628</v>
      </c>
      <c r="D741" t="s">
        <v>3855</v>
      </c>
    </row>
    <row r="742" spans="1:4" x14ac:dyDescent="0.25">
      <c r="A742">
        <v>741</v>
      </c>
      <c r="B742" t="s">
        <v>2886</v>
      </c>
      <c r="C742" t="s">
        <v>1640</v>
      </c>
      <c r="D742" t="s">
        <v>3856</v>
      </c>
    </row>
    <row r="743" spans="1:4" x14ac:dyDescent="0.25">
      <c r="A743">
        <v>742</v>
      </c>
      <c r="B743" t="s">
        <v>2862</v>
      </c>
      <c r="C743" t="s">
        <v>125</v>
      </c>
      <c r="D743" t="s">
        <v>3857</v>
      </c>
    </row>
    <row r="744" spans="1:4" x14ac:dyDescent="0.25">
      <c r="A744">
        <v>743</v>
      </c>
      <c r="B744" t="s">
        <v>2863</v>
      </c>
      <c r="C744" t="s">
        <v>125</v>
      </c>
      <c r="D744" t="s">
        <v>3858</v>
      </c>
    </row>
    <row r="745" spans="1:4" x14ac:dyDescent="0.25">
      <c r="A745">
        <v>744</v>
      </c>
      <c r="B745" t="s">
        <v>3859</v>
      </c>
      <c r="C745" t="s">
        <v>125</v>
      </c>
      <c r="D745" t="s">
        <v>3860</v>
      </c>
    </row>
    <row r="746" spans="1:4" x14ac:dyDescent="0.25">
      <c r="A746">
        <v>745</v>
      </c>
      <c r="B746" t="s">
        <v>2864</v>
      </c>
      <c r="C746" t="s">
        <v>125</v>
      </c>
      <c r="D746" t="s">
        <v>3861</v>
      </c>
    </row>
    <row r="747" spans="1:4" x14ac:dyDescent="0.25">
      <c r="A747">
        <v>746</v>
      </c>
      <c r="B747" t="s">
        <v>1645</v>
      </c>
      <c r="C747" t="s">
        <v>1646</v>
      </c>
      <c r="D747" t="s">
        <v>3862</v>
      </c>
    </row>
    <row r="748" spans="1:4" x14ac:dyDescent="0.25">
      <c r="A748">
        <v>747</v>
      </c>
      <c r="B748" t="s">
        <v>2887</v>
      </c>
      <c r="C748" t="s">
        <v>1455</v>
      </c>
      <c r="D748" t="s">
        <v>3863</v>
      </c>
    </row>
    <row r="749" spans="1:4" x14ac:dyDescent="0.25">
      <c r="A749">
        <v>748</v>
      </c>
      <c r="B749" t="s">
        <v>2866</v>
      </c>
      <c r="C749" t="s">
        <v>1649</v>
      </c>
      <c r="D749" t="s">
        <v>3864</v>
      </c>
    </row>
    <row r="750" spans="1:4" x14ac:dyDescent="0.25">
      <c r="A750">
        <v>749</v>
      </c>
      <c r="B750" t="s">
        <v>2829</v>
      </c>
      <c r="C750" t="s">
        <v>1520</v>
      </c>
      <c r="D750" t="s">
        <v>3865</v>
      </c>
    </row>
    <row r="751" spans="1:4" x14ac:dyDescent="0.25">
      <c r="A751">
        <v>750</v>
      </c>
      <c r="B751" t="s">
        <v>3866</v>
      </c>
      <c r="C751" t="s">
        <v>269</v>
      </c>
      <c r="D751" t="s">
        <v>3867</v>
      </c>
    </row>
    <row r="752" spans="1:4" x14ac:dyDescent="0.25">
      <c r="A752">
        <v>751</v>
      </c>
      <c r="B752" t="s">
        <v>2879</v>
      </c>
      <c r="C752" t="s">
        <v>1427</v>
      </c>
      <c r="D752" t="s">
        <v>3868</v>
      </c>
    </row>
    <row r="753" spans="1:4" x14ac:dyDescent="0.25">
      <c r="A753">
        <v>752</v>
      </c>
      <c r="B753" t="s">
        <v>2880</v>
      </c>
      <c r="C753" t="s">
        <v>1427</v>
      </c>
      <c r="D753" t="s">
        <v>3869</v>
      </c>
    </row>
    <row r="754" spans="1:4" x14ac:dyDescent="0.25">
      <c r="A754">
        <v>753</v>
      </c>
      <c r="B754" t="s">
        <v>2881</v>
      </c>
      <c r="C754" t="s">
        <v>1427</v>
      </c>
      <c r="D754" t="s">
        <v>3870</v>
      </c>
    </row>
    <row r="755" spans="1:4" x14ac:dyDescent="0.25">
      <c r="A755">
        <v>754</v>
      </c>
      <c r="B755" t="s">
        <v>2865</v>
      </c>
      <c r="C755" t="s">
        <v>125</v>
      </c>
      <c r="D755" t="s">
        <v>3871</v>
      </c>
    </row>
    <row r="756" spans="1:4" x14ac:dyDescent="0.25">
      <c r="A756">
        <v>755</v>
      </c>
      <c r="B756" t="s">
        <v>2867</v>
      </c>
      <c r="C756" t="s">
        <v>1601</v>
      </c>
      <c r="D756" t="s">
        <v>3872</v>
      </c>
    </row>
    <row r="757" spans="1:4" x14ac:dyDescent="0.25">
      <c r="A757">
        <v>756</v>
      </c>
      <c r="B757" t="s">
        <v>2810</v>
      </c>
      <c r="C757" t="s">
        <v>813</v>
      </c>
      <c r="D757" t="s">
        <v>3873</v>
      </c>
    </row>
    <row r="758" spans="1:4" x14ac:dyDescent="0.25">
      <c r="A758">
        <v>757</v>
      </c>
      <c r="B758" t="s">
        <v>2840</v>
      </c>
      <c r="C758" t="s">
        <v>668</v>
      </c>
      <c r="D758" t="s">
        <v>3874</v>
      </c>
    </row>
    <row r="759" spans="1:4" x14ac:dyDescent="0.25">
      <c r="A759">
        <v>758</v>
      </c>
      <c r="B759" t="s">
        <v>2882</v>
      </c>
      <c r="C759" t="s">
        <v>1427</v>
      </c>
      <c r="D759" t="s">
        <v>3875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6CD78-433A-4D10-92F2-EBBD449906B2}">
  <dimension ref="A1:U759"/>
  <sheetViews>
    <sheetView workbookViewId="0">
      <selection sqref="A1:U759"/>
    </sheetView>
  </sheetViews>
  <sheetFormatPr defaultRowHeight="15" x14ac:dyDescent="0.25"/>
  <cols>
    <col min="1" max="1" width="9" bestFit="1" customWidth="1"/>
    <col min="2" max="2" width="12.28515625" bestFit="1" customWidth="1"/>
    <col min="3" max="3" width="81.140625" bestFit="1" customWidth="1"/>
    <col min="4" max="4" width="65.140625" bestFit="1" customWidth="1"/>
    <col min="5" max="5" width="35.42578125" bestFit="1" customWidth="1"/>
    <col min="6" max="6" width="36" bestFit="1" customWidth="1"/>
    <col min="7" max="7" width="40.7109375" bestFit="1" customWidth="1"/>
    <col min="8" max="8" width="14.28515625" bestFit="1" customWidth="1"/>
    <col min="9" max="9" width="14.28515625" style="5" bestFit="1" customWidth="1"/>
    <col min="10" max="10" width="36.28515625" bestFit="1" customWidth="1"/>
    <col min="11" max="11" width="12.42578125" bestFit="1" customWidth="1"/>
    <col min="12" max="12" width="15.140625" bestFit="1" customWidth="1"/>
    <col min="13" max="14" width="12.140625" bestFit="1" customWidth="1"/>
    <col min="15" max="15" width="11.28515625" bestFit="1" customWidth="1"/>
    <col min="16" max="16" width="14.140625" bestFit="1" customWidth="1"/>
    <col min="17" max="17" width="19.140625" bestFit="1" customWidth="1"/>
    <col min="18" max="18" width="23.42578125" bestFit="1" customWidth="1"/>
    <col min="19" max="19" width="15" bestFit="1" customWidth="1"/>
    <col min="20" max="20" width="11.42578125" bestFit="1" customWidth="1"/>
    <col min="21" max="21" width="14.28515625" bestFit="1" customWidth="1"/>
    <col min="22" max="22" width="9.28515625" customWidth="1"/>
  </cols>
  <sheetData>
    <row r="1" spans="1:21" s="4" customFormat="1" ht="30" x14ac:dyDescent="0.25">
      <c r="A1" s="4" t="s">
        <v>2503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2489</v>
      </c>
      <c r="H1" s="4" t="s">
        <v>1662</v>
      </c>
      <c r="I1" s="4" t="s">
        <v>5</v>
      </c>
      <c r="J1" s="4" t="s">
        <v>1663</v>
      </c>
      <c r="K1" s="4" t="s">
        <v>6</v>
      </c>
      <c r="L1" s="4" t="s">
        <v>7</v>
      </c>
      <c r="M1" t="s">
        <v>3876</v>
      </c>
      <c r="N1" t="s">
        <v>3877</v>
      </c>
      <c r="O1" t="s">
        <v>3878</v>
      </c>
      <c r="P1" s="4" t="s">
        <v>2485</v>
      </c>
      <c r="Q1" s="4" t="s">
        <v>1664</v>
      </c>
      <c r="R1" s="4" t="s">
        <v>1665</v>
      </c>
      <c r="S1" s="4" t="s">
        <v>8</v>
      </c>
      <c r="T1" s="4" t="s">
        <v>9</v>
      </c>
      <c r="U1" s="4" t="s">
        <v>10</v>
      </c>
    </row>
    <row r="2" spans="1:21" x14ac:dyDescent="0.25">
      <c r="A2">
        <v>1</v>
      </c>
      <c r="B2">
        <v>62967276</v>
      </c>
      <c r="C2" t="s">
        <v>2888</v>
      </c>
      <c r="D2" t="s">
        <v>12</v>
      </c>
      <c r="E2" t="s">
        <v>13</v>
      </c>
      <c r="F2" t="s">
        <v>14</v>
      </c>
      <c r="G2" t="s">
        <v>2490</v>
      </c>
      <c r="H2" t="s">
        <v>2889</v>
      </c>
      <c r="I2" s="5" t="s">
        <v>2890</v>
      </c>
      <c r="J2" t="s">
        <v>2487</v>
      </c>
      <c r="K2" t="s">
        <v>112</v>
      </c>
      <c r="L2">
        <v>232</v>
      </c>
      <c r="M2">
        <v>0.36944444444444446</v>
      </c>
      <c r="N2">
        <v>8.8666666666666671</v>
      </c>
      <c r="O2" t="s">
        <v>3879</v>
      </c>
      <c r="P2" t="s">
        <v>2486</v>
      </c>
      <c r="Q2">
        <v>2022</v>
      </c>
      <c r="R2">
        <v>1973</v>
      </c>
      <c r="S2" s="1">
        <v>46174</v>
      </c>
      <c r="T2" s="1">
        <v>46170</v>
      </c>
      <c r="U2" t="s">
        <v>16</v>
      </c>
    </row>
    <row r="3" spans="1:21" x14ac:dyDescent="0.25">
      <c r="A3">
        <v>2</v>
      </c>
      <c r="B3">
        <v>35906980</v>
      </c>
      <c r="C3" t="s">
        <v>2891</v>
      </c>
      <c r="D3" t="s">
        <v>22</v>
      </c>
      <c r="E3" t="s">
        <v>23</v>
      </c>
      <c r="F3" t="s">
        <v>24</v>
      </c>
      <c r="H3" t="s">
        <v>2892</v>
      </c>
      <c r="I3" s="5" t="s">
        <v>2890</v>
      </c>
      <c r="J3" t="s">
        <v>1668</v>
      </c>
      <c r="K3" t="s">
        <v>2488</v>
      </c>
      <c r="L3">
        <v>352</v>
      </c>
      <c r="P3" t="s">
        <v>2494</v>
      </c>
      <c r="Q3">
        <v>2017</v>
      </c>
      <c r="R3">
        <v>2017</v>
      </c>
      <c r="S3" s="1">
        <v>46170</v>
      </c>
      <c r="T3" s="1">
        <v>46154</v>
      </c>
      <c r="U3" t="s">
        <v>16</v>
      </c>
    </row>
    <row r="4" spans="1:21" x14ac:dyDescent="0.25">
      <c r="A4">
        <v>3</v>
      </c>
      <c r="B4">
        <v>13380705</v>
      </c>
      <c r="C4" t="s">
        <v>2893</v>
      </c>
      <c r="D4" t="s">
        <v>26</v>
      </c>
      <c r="E4" t="s">
        <v>27</v>
      </c>
      <c r="F4" t="s">
        <v>28</v>
      </c>
      <c r="G4" t="s">
        <v>2491</v>
      </c>
      <c r="H4" t="s">
        <v>2894</v>
      </c>
      <c r="I4" s="5" t="s">
        <v>2890</v>
      </c>
      <c r="J4" t="s">
        <v>2492</v>
      </c>
      <c r="K4" t="s">
        <v>112</v>
      </c>
      <c r="L4">
        <v>592</v>
      </c>
      <c r="M4">
        <v>1.0465277777777777</v>
      </c>
      <c r="N4">
        <v>25.116666666666667</v>
      </c>
      <c r="O4" t="s">
        <v>3880</v>
      </c>
      <c r="P4" t="s">
        <v>2486</v>
      </c>
      <c r="Q4">
        <v>2025</v>
      </c>
      <c r="R4">
        <v>2006</v>
      </c>
      <c r="S4" s="1">
        <v>46157</v>
      </c>
      <c r="T4" s="1">
        <v>46153</v>
      </c>
      <c r="U4" t="s">
        <v>16</v>
      </c>
    </row>
    <row r="5" spans="1:21" x14ac:dyDescent="0.25">
      <c r="A5">
        <v>4</v>
      </c>
      <c r="B5">
        <v>53207116</v>
      </c>
      <c r="C5" t="s">
        <v>2497</v>
      </c>
      <c r="D5" t="s">
        <v>2493</v>
      </c>
      <c r="E5" t="s">
        <v>30</v>
      </c>
      <c r="F5" t="s">
        <v>31</v>
      </c>
      <c r="H5" t="s">
        <v>2895</v>
      </c>
      <c r="I5" s="5" t="s">
        <v>2890</v>
      </c>
      <c r="J5" t="s">
        <v>1680</v>
      </c>
      <c r="K5" t="s">
        <v>2488</v>
      </c>
      <c r="L5">
        <v>224</v>
      </c>
      <c r="P5" t="s">
        <v>2494</v>
      </c>
      <c r="Q5">
        <v>2025</v>
      </c>
      <c r="R5">
        <v>2020</v>
      </c>
      <c r="S5" s="1">
        <v>46153</v>
      </c>
      <c r="T5" s="1">
        <v>46127</v>
      </c>
      <c r="U5" t="s">
        <v>16</v>
      </c>
    </row>
    <row r="6" spans="1:21" x14ac:dyDescent="0.25">
      <c r="A6">
        <v>5</v>
      </c>
      <c r="B6">
        <v>49949489</v>
      </c>
      <c r="C6" t="s">
        <v>32</v>
      </c>
      <c r="D6" t="s">
        <v>2495</v>
      </c>
      <c r="E6" t="s">
        <v>23</v>
      </c>
      <c r="F6" t="s">
        <v>24</v>
      </c>
      <c r="H6" t="s">
        <v>2896</v>
      </c>
      <c r="I6" s="5" t="s">
        <v>2890</v>
      </c>
      <c r="J6" t="s">
        <v>1673</v>
      </c>
      <c r="K6" t="s">
        <v>2488</v>
      </c>
      <c r="L6">
        <v>320</v>
      </c>
      <c r="P6" t="s">
        <v>2494</v>
      </c>
      <c r="Q6">
        <v>2019</v>
      </c>
      <c r="R6">
        <v>2019</v>
      </c>
      <c r="S6" s="1">
        <v>46153</v>
      </c>
      <c r="T6" s="1">
        <v>46138</v>
      </c>
      <c r="U6" t="s">
        <v>16</v>
      </c>
    </row>
    <row r="7" spans="1:21" x14ac:dyDescent="0.25">
      <c r="A7">
        <v>6</v>
      </c>
      <c r="B7">
        <v>39807315</v>
      </c>
      <c r="C7" t="s">
        <v>2897</v>
      </c>
      <c r="D7" t="s">
        <v>34</v>
      </c>
      <c r="E7" t="s">
        <v>35</v>
      </c>
      <c r="F7" t="s">
        <v>36</v>
      </c>
      <c r="G7" t="s">
        <v>2496</v>
      </c>
      <c r="H7" t="s">
        <v>2898</v>
      </c>
      <c r="I7" s="5" t="s">
        <v>2890</v>
      </c>
      <c r="J7" t="s">
        <v>1714</v>
      </c>
      <c r="K7" t="s">
        <v>112</v>
      </c>
      <c r="L7">
        <v>652</v>
      </c>
      <c r="M7">
        <v>0.95625000000000004</v>
      </c>
      <c r="N7">
        <v>22.950000000000003</v>
      </c>
      <c r="O7" t="s">
        <v>3881</v>
      </c>
      <c r="P7" t="s">
        <v>2486</v>
      </c>
      <c r="Q7">
        <v>2025</v>
      </c>
      <c r="R7">
        <v>2017</v>
      </c>
      <c r="S7" s="1">
        <v>46148</v>
      </c>
      <c r="T7" s="1">
        <v>46138</v>
      </c>
      <c r="U7" t="s">
        <v>16</v>
      </c>
    </row>
    <row r="8" spans="1:21" x14ac:dyDescent="0.25">
      <c r="A8">
        <v>7</v>
      </c>
      <c r="B8">
        <v>25832630</v>
      </c>
      <c r="C8" t="s">
        <v>2899</v>
      </c>
      <c r="D8" t="s">
        <v>38</v>
      </c>
      <c r="E8" t="s">
        <v>23</v>
      </c>
      <c r="F8" t="s">
        <v>24</v>
      </c>
      <c r="H8" t="s">
        <v>2900</v>
      </c>
      <c r="I8" s="5" t="s">
        <v>2901</v>
      </c>
      <c r="J8" t="s">
        <v>1668</v>
      </c>
      <c r="K8" t="s">
        <v>2488</v>
      </c>
      <c r="L8">
        <v>432</v>
      </c>
      <c r="P8" t="s">
        <v>2494</v>
      </c>
      <c r="Q8">
        <v>2015</v>
      </c>
      <c r="R8">
        <v>2015</v>
      </c>
      <c r="S8" s="1">
        <v>46138</v>
      </c>
      <c r="T8" s="1">
        <v>46127</v>
      </c>
      <c r="U8" t="s">
        <v>16</v>
      </c>
    </row>
    <row r="9" spans="1:21" x14ac:dyDescent="0.25">
      <c r="A9">
        <v>8</v>
      </c>
      <c r="B9">
        <v>25754537</v>
      </c>
      <c r="C9" t="s">
        <v>2902</v>
      </c>
      <c r="D9" t="s">
        <v>41</v>
      </c>
      <c r="E9" t="s">
        <v>35</v>
      </c>
      <c r="F9" t="s">
        <v>36</v>
      </c>
      <c r="G9" t="s">
        <v>2496</v>
      </c>
      <c r="H9" t="s">
        <v>2903</v>
      </c>
      <c r="I9" s="5" t="s">
        <v>2890</v>
      </c>
      <c r="J9" t="s">
        <v>1714</v>
      </c>
      <c r="K9" t="s">
        <v>112</v>
      </c>
      <c r="L9">
        <v>362</v>
      </c>
      <c r="M9">
        <v>0.66249999999999998</v>
      </c>
      <c r="N9">
        <v>15.899999999999999</v>
      </c>
      <c r="O9" t="s">
        <v>3882</v>
      </c>
      <c r="P9" t="s">
        <v>2486</v>
      </c>
      <c r="Q9">
        <v>2023</v>
      </c>
      <c r="R9">
        <v>2014</v>
      </c>
      <c r="S9" s="1">
        <v>46133</v>
      </c>
      <c r="T9" s="1">
        <v>46133</v>
      </c>
      <c r="U9" t="s">
        <v>16</v>
      </c>
    </row>
    <row r="10" spans="1:21" x14ac:dyDescent="0.25">
      <c r="A10">
        <v>9</v>
      </c>
      <c r="B10">
        <v>22455349</v>
      </c>
      <c r="C10" t="s">
        <v>2904</v>
      </c>
      <c r="D10" t="s">
        <v>43</v>
      </c>
      <c r="E10" t="s">
        <v>35</v>
      </c>
      <c r="F10" t="s">
        <v>36</v>
      </c>
      <c r="G10" t="s">
        <v>2496</v>
      </c>
      <c r="H10" t="s">
        <v>2905</v>
      </c>
      <c r="I10" s="5" t="s">
        <v>2890</v>
      </c>
      <c r="J10" t="s">
        <v>1714</v>
      </c>
      <c r="K10" t="s">
        <v>112</v>
      </c>
      <c r="L10">
        <v>416</v>
      </c>
      <c r="M10">
        <v>0.58680555555555558</v>
      </c>
      <c r="N10">
        <v>14.083333333333334</v>
      </c>
      <c r="O10" t="s">
        <v>3883</v>
      </c>
      <c r="P10" t="s">
        <v>2486</v>
      </c>
      <c r="Q10">
        <v>2023</v>
      </c>
      <c r="R10">
        <v>2011</v>
      </c>
      <c r="S10" s="1">
        <v>46127</v>
      </c>
      <c r="T10" s="1">
        <v>46124</v>
      </c>
      <c r="U10" t="s">
        <v>16</v>
      </c>
    </row>
    <row r="11" spans="1:21" x14ac:dyDescent="0.25">
      <c r="A11">
        <v>10</v>
      </c>
      <c r="B11">
        <v>230443664</v>
      </c>
      <c r="C11" t="s">
        <v>2906</v>
      </c>
      <c r="D11" t="s">
        <v>45</v>
      </c>
      <c r="E11" t="s">
        <v>30</v>
      </c>
      <c r="F11" t="s">
        <v>31</v>
      </c>
      <c r="H11" t="s">
        <v>2907</v>
      </c>
      <c r="I11" s="5" t="s">
        <v>2901</v>
      </c>
      <c r="J11" t="s">
        <v>1680</v>
      </c>
      <c r="K11" t="s">
        <v>2488</v>
      </c>
      <c r="L11">
        <v>224</v>
      </c>
      <c r="P11" t="s">
        <v>2494</v>
      </c>
      <c r="Q11">
        <v>2025</v>
      </c>
      <c r="R11">
        <v>2025</v>
      </c>
      <c r="S11" s="1">
        <v>46126</v>
      </c>
      <c r="T11" s="1">
        <v>46127</v>
      </c>
      <c r="U11" t="s">
        <v>16</v>
      </c>
    </row>
    <row r="12" spans="1:21" x14ac:dyDescent="0.25">
      <c r="A12">
        <v>11</v>
      </c>
      <c r="B12">
        <v>17989753</v>
      </c>
      <c r="C12" t="s">
        <v>2908</v>
      </c>
      <c r="D12" t="s">
        <v>47</v>
      </c>
      <c r="E12" t="s">
        <v>35</v>
      </c>
      <c r="F12" t="s">
        <v>36</v>
      </c>
      <c r="G12" t="s">
        <v>2496</v>
      </c>
      <c r="H12" t="s">
        <v>2909</v>
      </c>
      <c r="I12" s="5" t="s">
        <v>2890</v>
      </c>
      <c r="J12" t="s">
        <v>1714</v>
      </c>
      <c r="K12" t="s">
        <v>112</v>
      </c>
      <c r="L12">
        <v>392</v>
      </c>
      <c r="M12">
        <v>0.55486111111111114</v>
      </c>
      <c r="N12">
        <v>13.316666666666666</v>
      </c>
      <c r="O12" t="s">
        <v>3884</v>
      </c>
      <c r="P12" t="s">
        <v>2486</v>
      </c>
      <c r="Q12">
        <v>2023</v>
      </c>
      <c r="R12">
        <v>2009</v>
      </c>
      <c r="S12" s="1">
        <v>46123</v>
      </c>
      <c r="T12" s="1">
        <v>46120</v>
      </c>
      <c r="U12" t="s">
        <v>16</v>
      </c>
    </row>
    <row r="13" spans="1:21" x14ac:dyDescent="0.25">
      <c r="A13">
        <v>12</v>
      </c>
      <c r="B13">
        <v>242570969</v>
      </c>
      <c r="C13" t="s">
        <v>48</v>
      </c>
      <c r="D13" t="s">
        <v>17</v>
      </c>
      <c r="E13" t="s">
        <v>49</v>
      </c>
      <c r="F13" t="s">
        <v>50</v>
      </c>
      <c r="H13" t="s">
        <v>2910</v>
      </c>
      <c r="I13" s="5" t="s">
        <v>2890</v>
      </c>
      <c r="J13" t="s">
        <v>1683</v>
      </c>
      <c r="K13" t="s">
        <v>2488</v>
      </c>
      <c r="L13">
        <v>443</v>
      </c>
      <c r="P13" t="s">
        <v>2494</v>
      </c>
      <c r="Q13">
        <v>2025</v>
      </c>
      <c r="R13">
        <v>2024</v>
      </c>
      <c r="S13" s="1">
        <v>46120</v>
      </c>
      <c r="T13" s="1">
        <v>46114</v>
      </c>
      <c r="U13" t="s">
        <v>16</v>
      </c>
    </row>
    <row r="14" spans="1:21" x14ac:dyDescent="0.25">
      <c r="A14">
        <v>13</v>
      </c>
      <c r="B14">
        <v>247500252</v>
      </c>
      <c r="C14" t="s">
        <v>51</v>
      </c>
      <c r="D14" t="s">
        <v>17</v>
      </c>
      <c r="E14" t="s">
        <v>52</v>
      </c>
      <c r="F14" t="s">
        <v>53</v>
      </c>
      <c r="G14" t="s">
        <v>2498</v>
      </c>
      <c r="H14" t="s">
        <v>2911</v>
      </c>
      <c r="I14" s="5" t="s">
        <v>2890</v>
      </c>
      <c r="J14" t="s">
        <v>2499</v>
      </c>
      <c r="K14" t="s">
        <v>112</v>
      </c>
      <c r="L14">
        <v>384</v>
      </c>
      <c r="M14">
        <v>0.53541666666666665</v>
      </c>
      <c r="N14">
        <v>12.85</v>
      </c>
      <c r="O14" t="s">
        <v>3885</v>
      </c>
      <c r="P14" t="s">
        <v>2486</v>
      </c>
      <c r="Q14">
        <v>2026</v>
      </c>
      <c r="R14">
        <v>2024</v>
      </c>
      <c r="S14" s="1">
        <v>46116</v>
      </c>
      <c r="T14" s="1">
        <v>46115</v>
      </c>
      <c r="U14" t="s">
        <v>16</v>
      </c>
    </row>
    <row r="15" spans="1:21" x14ac:dyDescent="0.25">
      <c r="A15">
        <v>14</v>
      </c>
      <c r="B15">
        <v>54222410</v>
      </c>
      <c r="C15" t="s">
        <v>54</v>
      </c>
      <c r="D15" t="s">
        <v>17</v>
      </c>
      <c r="E15" t="s">
        <v>55</v>
      </c>
      <c r="F15" t="s">
        <v>56</v>
      </c>
      <c r="G15" t="s">
        <v>2500</v>
      </c>
      <c r="H15" t="s">
        <v>2912</v>
      </c>
      <c r="I15" s="5" t="s">
        <v>2890</v>
      </c>
      <c r="J15" t="s">
        <v>1687</v>
      </c>
      <c r="K15" t="s">
        <v>112</v>
      </c>
      <c r="L15">
        <v>367</v>
      </c>
      <c r="M15">
        <v>0.34652777777777777</v>
      </c>
      <c r="N15">
        <v>8.3166666666666664</v>
      </c>
      <c r="O15" t="s">
        <v>3886</v>
      </c>
      <c r="P15" t="s">
        <v>2486</v>
      </c>
      <c r="Q15">
        <v>2020</v>
      </c>
      <c r="R15">
        <v>2014</v>
      </c>
      <c r="S15" s="1">
        <v>46115</v>
      </c>
      <c r="T15" s="1">
        <v>46114</v>
      </c>
      <c r="U15" t="s">
        <v>16</v>
      </c>
    </row>
    <row r="16" spans="1:21" x14ac:dyDescent="0.25">
      <c r="A16">
        <v>15</v>
      </c>
      <c r="B16">
        <v>22838047</v>
      </c>
      <c r="C16" t="s">
        <v>58</v>
      </c>
      <c r="D16" t="s">
        <v>2501</v>
      </c>
      <c r="E16" t="s">
        <v>35</v>
      </c>
      <c r="F16" t="s">
        <v>36</v>
      </c>
      <c r="G16" t="s">
        <v>2496</v>
      </c>
      <c r="H16" t="s">
        <v>2913</v>
      </c>
      <c r="I16" s="5" t="s">
        <v>2890</v>
      </c>
      <c r="J16" t="s">
        <v>1714</v>
      </c>
      <c r="K16" t="s">
        <v>112</v>
      </c>
      <c r="L16">
        <v>358</v>
      </c>
      <c r="M16">
        <v>0.54861111111111116</v>
      </c>
      <c r="N16">
        <v>13.166666666666668</v>
      </c>
      <c r="O16" t="s">
        <v>3887</v>
      </c>
      <c r="P16" t="s">
        <v>2486</v>
      </c>
      <c r="Q16">
        <v>2023</v>
      </c>
      <c r="R16">
        <v>2008</v>
      </c>
      <c r="S16" s="1">
        <v>46112</v>
      </c>
      <c r="T16" s="1">
        <v>46111</v>
      </c>
      <c r="U16" t="s">
        <v>16</v>
      </c>
    </row>
    <row r="17" spans="1:21" x14ac:dyDescent="0.25">
      <c r="A17">
        <v>16</v>
      </c>
      <c r="B17">
        <v>25638219</v>
      </c>
      <c r="C17" t="s">
        <v>2914</v>
      </c>
      <c r="D17" t="s">
        <v>60</v>
      </c>
      <c r="E17" t="s">
        <v>35</v>
      </c>
      <c r="F17" t="s">
        <v>36</v>
      </c>
      <c r="G17" t="s">
        <v>2496</v>
      </c>
      <c r="H17" t="s">
        <v>2915</v>
      </c>
      <c r="I17" s="5" t="s">
        <v>2890</v>
      </c>
      <c r="J17" t="s">
        <v>1714</v>
      </c>
      <c r="K17" t="s">
        <v>112</v>
      </c>
      <c r="L17">
        <v>430</v>
      </c>
      <c r="M17">
        <v>0.62847222222222221</v>
      </c>
      <c r="N17">
        <v>15.083333333333332</v>
      </c>
      <c r="O17" t="s">
        <v>3888</v>
      </c>
      <c r="P17" t="s">
        <v>2486</v>
      </c>
      <c r="Q17">
        <v>2022</v>
      </c>
      <c r="R17">
        <v>2007</v>
      </c>
      <c r="S17" s="1">
        <v>46109</v>
      </c>
      <c r="T17" s="1">
        <v>46108</v>
      </c>
      <c r="U17" t="s">
        <v>16</v>
      </c>
    </row>
    <row r="18" spans="1:21" x14ac:dyDescent="0.25">
      <c r="A18">
        <v>17</v>
      </c>
      <c r="B18">
        <v>240935187</v>
      </c>
      <c r="C18" t="s">
        <v>61</v>
      </c>
      <c r="D18" t="s">
        <v>17</v>
      </c>
      <c r="E18" t="s">
        <v>62</v>
      </c>
      <c r="F18" t="s">
        <v>63</v>
      </c>
      <c r="H18" t="s">
        <v>2916</v>
      </c>
      <c r="I18" s="5" t="s">
        <v>2917</v>
      </c>
      <c r="J18" t="s">
        <v>1668</v>
      </c>
      <c r="K18" t="s">
        <v>2488</v>
      </c>
      <c r="L18">
        <v>240</v>
      </c>
      <c r="P18" t="s">
        <v>2494</v>
      </c>
      <c r="Q18">
        <v>2025</v>
      </c>
      <c r="R18">
        <v>2025</v>
      </c>
      <c r="S18" s="1">
        <v>46108</v>
      </c>
      <c r="T18" s="1">
        <v>46105</v>
      </c>
      <c r="U18" t="s">
        <v>16</v>
      </c>
    </row>
    <row r="19" spans="1:21" x14ac:dyDescent="0.25">
      <c r="A19">
        <v>18</v>
      </c>
      <c r="B19">
        <v>23724303</v>
      </c>
      <c r="C19" t="s">
        <v>64</v>
      </c>
      <c r="D19" t="s">
        <v>2502</v>
      </c>
      <c r="E19" t="s">
        <v>35</v>
      </c>
      <c r="F19" t="s">
        <v>36</v>
      </c>
      <c r="G19" t="s">
        <v>2496</v>
      </c>
      <c r="H19" t="s">
        <v>2918</v>
      </c>
      <c r="I19" s="5" t="s">
        <v>2890</v>
      </c>
      <c r="J19" t="s">
        <v>1714</v>
      </c>
      <c r="K19" t="s">
        <v>112</v>
      </c>
      <c r="L19">
        <v>349</v>
      </c>
      <c r="M19">
        <v>0.50555555555555554</v>
      </c>
      <c r="N19">
        <v>12.133333333333333</v>
      </c>
      <c r="O19" t="s">
        <v>3889</v>
      </c>
      <c r="P19" t="s">
        <v>2486</v>
      </c>
      <c r="Q19">
        <v>2022</v>
      </c>
      <c r="R19">
        <v>2006</v>
      </c>
      <c r="S19" s="1">
        <v>46107</v>
      </c>
      <c r="T19" s="1">
        <v>46107</v>
      </c>
      <c r="U19" t="s">
        <v>16</v>
      </c>
    </row>
    <row r="20" spans="1:21" x14ac:dyDescent="0.25">
      <c r="A20">
        <v>19</v>
      </c>
      <c r="B20">
        <v>10451655</v>
      </c>
      <c r="C20" t="s">
        <v>2919</v>
      </c>
      <c r="D20" t="s">
        <v>66</v>
      </c>
      <c r="E20" t="s">
        <v>35</v>
      </c>
      <c r="F20" t="s">
        <v>36</v>
      </c>
      <c r="G20" t="s">
        <v>2496</v>
      </c>
      <c r="H20" t="s">
        <v>2920</v>
      </c>
      <c r="I20" s="5" t="s">
        <v>2890</v>
      </c>
      <c r="J20" t="s">
        <v>1714</v>
      </c>
      <c r="K20" t="s">
        <v>112</v>
      </c>
      <c r="L20">
        <v>416</v>
      </c>
      <c r="M20">
        <v>0.59652777777777777</v>
      </c>
      <c r="N20">
        <v>14.316666666666666</v>
      </c>
      <c r="O20" t="s">
        <v>3890</v>
      </c>
      <c r="P20" t="s">
        <v>2486</v>
      </c>
      <c r="Q20">
        <v>2022</v>
      </c>
      <c r="R20">
        <v>2005</v>
      </c>
      <c r="S20" s="1">
        <v>46105</v>
      </c>
      <c r="T20" s="1">
        <v>46104</v>
      </c>
      <c r="U20" t="s">
        <v>16</v>
      </c>
    </row>
    <row r="21" spans="1:21" x14ac:dyDescent="0.25">
      <c r="A21">
        <v>20</v>
      </c>
      <c r="B21">
        <v>220821554</v>
      </c>
      <c r="C21" t="s">
        <v>2921</v>
      </c>
      <c r="D21" t="s">
        <v>68</v>
      </c>
      <c r="E21" t="s">
        <v>30</v>
      </c>
      <c r="F21" t="s">
        <v>31</v>
      </c>
      <c r="H21" t="s">
        <v>2922</v>
      </c>
      <c r="I21" s="5" t="s">
        <v>2890</v>
      </c>
      <c r="J21" t="s">
        <v>1680</v>
      </c>
      <c r="K21" t="s">
        <v>2488</v>
      </c>
      <c r="L21">
        <v>200</v>
      </c>
      <c r="P21" t="s">
        <v>2494</v>
      </c>
      <c r="Q21">
        <v>2024</v>
      </c>
      <c r="R21">
        <v>2019</v>
      </c>
      <c r="S21" s="1">
        <v>46105</v>
      </c>
      <c r="T21" s="1">
        <v>46080</v>
      </c>
      <c r="U21" t="s">
        <v>16</v>
      </c>
    </row>
    <row r="22" spans="1:21" x14ac:dyDescent="0.25">
      <c r="A22">
        <v>21</v>
      </c>
      <c r="B22">
        <v>236902029</v>
      </c>
      <c r="C22" t="s">
        <v>69</v>
      </c>
      <c r="D22" t="s">
        <v>17</v>
      </c>
      <c r="E22" t="s">
        <v>70</v>
      </c>
      <c r="F22" t="s">
        <v>71</v>
      </c>
      <c r="H22" t="s">
        <v>2923</v>
      </c>
      <c r="I22" s="5" t="s">
        <v>2890</v>
      </c>
      <c r="J22" t="s">
        <v>1668</v>
      </c>
      <c r="K22" t="s">
        <v>2488</v>
      </c>
      <c r="L22">
        <v>352</v>
      </c>
      <c r="P22" t="s">
        <v>2494</v>
      </c>
      <c r="Q22">
        <v>2025</v>
      </c>
      <c r="R22">
        <v>2024</v>
      </c>
      <c r="S22" s="1">
        <v>46104</v>
      </c>
      <c r="T22" s="1">
        <v>46099</v>
      </c>
      <c r="U22" t="s">
        <v>16</v>
      </c>
    </row>
    <row r="23" spans="1:21" x14ac:dyDescent="0.25">
      <c r="A23">
        <v>22</v>
      </c>
      <c r="B23">
        <v>10451733</v>
      </c>
      <c r="C23" t="s">
        <v>2924</v>
      </c>
      <c r="D23" t="s">
        <v>73</v>
      </c>
      <c r="E23" t="s">
        <v>35</v>
      </c>
      <c r="F23" t="s">
        <v>36</v>
      </c>
      <c r="G23" t="s">
        <v>2496</v>
      </c>
      <c r="H23" t="s">
        <v>2925</v>
      </c>
      <c r="I23" s="5" t="s">
        <v>2890</v>
      </c>
      <c r="J23" t="s">
        <v>1714</v>
      </c>
      <c r="K23" t="s">
        <v>112</v>
      </c>
      <c r="L23">
        <v>368</v>
      </c>
      <c r="M23">
        <v>0.50694444444444442</v>
      </c>
      <c r="N23">
        <v>12.166666666666666</v>
      </c>
      <c r="O23" t="s">
        <v>3891</v>
      </c>
      <c r="P23" t="s">
        <v>2486</v>
      </c>
      <c r="Q23">
        <v>2022</v>
      </c>
      <c r="R23">
        <v>2004</v>
      </c>
      <c r="S23" s="1">
        <v>46102</v>
      </c>
      <c r="T23" s="1">
        <v>46100</v>
      </c>
      <c r="U23" t="s">
        <v>16</v>
      </c>
    </row>
    <row r="24" spans="1:21" x14ac:dyDescent="0.25">
      <c r="A24">
        <v>23</v>
      </c>
      <c r="B24">
        <v>232171468</v>
      </c>
      <c r="C24" t="s">
        <v>74</v>
      </c>
      <c r="D24" t="s">
        <v>17</v>
      </c>
      <c r="E24" t="s">
        <v>75</v>
      </c>
      <c r="F24" t="s">
        <v>76</v>
      </c>
      <c r="H24" t="s">
        <v>2926</v>
      </c>
      <c r="I24" s="5" t="s">
        <v>2901</v>
      </c>
      <c r="J24" t="s">
        <v>1697</v>
      </c>
      <c r="K24" t="s">
        <v>2488</v>
      </c>
      <c r="L24">
        <v>408</v>
      </c>
      <c r="P24" t="s">
        <v>2494</v>
      </c>
      <c r="Q24">
        <v>2025</v>
      </c>
      <c r="R24">
        <v>2024</v>
      </c>
      <c r="S24" s="1">
        <v>46100</v>
      </c>
      <c r="T24" s="1">
        <v>46029</v>
      </c>
      <c r="U24" t="s">
        <v>16</v>
      </c>
    </row>
    <row r="25" spans="1:21" x14ac:dyDescent="0.25">
      <c r="A25">
        <v>24</v>
      </c>
      <c r="B25">
        <v>10451760</v>
      </c>
      <c r="C25" t="s">
        <v>2927</v>
      </c>
      <c r="D25" t="s">
        <v>78</v>
      </c>
      <c r="E25" t="s">
        <v>35</v>
      </c>
      <c r="F25" t="s">
        <v>36</v>
      </c>
      <c r="G25" t="s">
        <v>2496</v>
      </c>
      <c r="H25" t="s">
        <v>2928</v>
      </c>
      <c r="I25" s="5" t="s">
        <v>2890</v>
      </c>
      <c r="J25" t="s">
        <v>1714</v>
      </c>
      <c r="K25" t="s">
        <v>112</v>
      </c>
      <c r="L25">
        <v>320</v>
      </c>
      <c r="M25">
        <v>0.48194444444444445</v>
      </c>
      <c r="N25">
        <v>11.566666666666666</v>
      </c>
      <c r="O25" t="s">
        <v>3892</v>
      </c>
      <c r="P25" t="s">
        <v>2486</v>
      </c>
      <c r="Q25">
        <v>2022</v>
      </c>
      <c r="R25">
        <v>2003</v>
      </c>
      <c r="S25" s="1">
        <v>46095</v>
      </c>
      <c r="T25" s="1">
        <v>46087</v>
      </c>
      <c r="U25" t="s">
        <v>16</v>
      </c>
    </row>
    <row r="26" spans="1:21" x14ac:dyDescent="0.25">
      <c r="A26">
        <v>25</v>
      </c>
      <c r="B26">
        <v>232554957</v>
      </c>
      <c r="C26" t="s">
        <v>2504</v>
      </c>
      <c r="D26" t="s">
        <v>79</v>
      </c>
      <c r="E26" t="s">
        <v>80</v>
      </c>
      <c r="F26" t="s">
        <v>81</v>
      </c>
      <c r="H26" t="s">
        <v>2929</v>
      </c>
      <c r="I26" s="5" t="s">
        <v>2890</v>
      </c>
      <c r="J26" t="s">
        <v>1700</v>
      </c>
      <c r="K26" t="s">
        <v>2488</v>
      </c>
      <c r="L26">
        <v>360</v>
      </c>
      <c r="P26" t="s">
        <v>2494</v>
      </c>
      <c r="Q26">
        <v>2025</v>
      </c>
      <c r="R26">
        <v>2024</v>
      </c>
      <c r="S26" s="1">
        <v>46089</v>
      </c>
      <c r="T26" s="1">
        <v>46079</v>
      </c>
      <c r="U26" t="s">
        <v>16</v>
      </c>
    </row>
    <row r="27" spans="1:21" x14ac:dyDescent="0.25">
      <c r="A27">
        <v>26</v>
      </c>
      <c r="B27">
        <v>52732123</v>
      </c>
      <c r="C27" t="s">
        <v>2505</v>
      </c>
      <c r="D27" t="s">
        <v>17</v>
      </c>
      <c r="E27" t="s">
        <v>82</v>
      </c>
      <c r="F27" t="s">
        <v>83</v>
      </c>
      <c r="G27" t="s">
        <v>2506</v>
      </c>
      <c r="H27" t="s">
        <v>2930</v>
      </c>
      <c r="I27" s="5" t="s">
        <v>2890</v>
      </c>
      <c r="J27" t="s">
        <v>2492</v>
      </c>
      <c r="K27" t="s">
        <v>112</v>
      </c>
      <c r="L27">
        <v>404</v>
      </c>
      <c r="M27">
        <v>0.69305555555555554</v>
      </c>
      <c r="N27">
        <v>16.633333333333333</v>
      </c>
      <c r="O27" t="s">
        <v>3893</v>
      </c>
      <c r="P27" t="s">
        <v>2486</v>
      </c>
      <c r="Q27">
        <v>2019</v>
      </c>
      <c r="R27">
        <v>2018</v>
      </c>
      <c r="S27" s="1">
        <v>46087</v>
      </c>
      <c r="T27" s="1">
        <v>46047</v>
      </c>
      <c r="U27" t="s">
        <v>16</v>
      </c>
    </row>
    <row r="28" spans="1:21" x14ac:dyDescent="0.25">
      <c r="A28">
        <v>27</v>
      </c>
      <c r="B28">
        <v>43890480</v>
      </c>
      <c r="C28" t="s">
        <v>2507</v>
      </c>
      <c r="D28" t="s">
        <v>17</v>
      </c>
      <c r="E28" t="s">
        <v>84</v>
      </c>
      <c r="F28" t="s">
        <v>85</v>
      </c>
      <c r="H28" t="s">
        <v>2931</v>
      </c>
      <c r="I28" s="5" t="s">
        <v>2901</v>
      </c>
      <c r="J28" t="s">
        <v>2508</v>
      </c>
      <c r="K28" t="s">
        <v>2488</v>
      </c>
      <c r="L28">
        <v>124</v>
      </c>
      <c r="P28" t="s">
        <v>2494</v>
      </c>
      <c r="Q28">
        <v>2024</v>
      </c>
      <c r="R28">
        <v>2011</v>
      </c>
      <c r="S28" s="1">
        <v>46078</v>
      </c>
      <c r="T28" s="1">
        <v>46068</v>
      </c>
      <c r="U28" t="s">
        <v>16</v>
      </c>
    </row>
    <row r="29" spans="1:21" x14ac:dyDescent="0.25">
      <c r="A29">
        <v>28</v>
      </c>
      <c r="B29">
        <v>244657672</v>
      </c>
      <c r="C29" t="s">
        <v>86</v>
      </c>
      <c r="D29" t="s">
        <v>17</v>
      </c>
      <c r="E29" t="s">
        <v>87</v>
      </c>
      <c r="F29" t="s">
        <v>88</v>
      </c>
      <c r="H29" t="s">
        <v>2932</v>
      </c>
      <c r="I29" s="5" t="s">
        <v>2933</v>
      </c>
      <c r="J29" t="s">
        <v>1703</v>
      </c>
      <c r="K29" t="s">
        <v>2488</v>
      </c>
      <c r="L29">
        <v>384</v>
      </c>
      <c r="P29" t="s">
        <v>2494</v>
      </c>
      <c r="Q29">
        <v>2025</v>
      </c>
      <c r="R29">
        <v>2025</v>
      </c>
      <c r="S29" s="1">
        <v>46077</v>
      </c>
      <c r="T29" s="1">
        <v>46071</v>
      </c>
      <c r="U29" t="s">
        <v>16</v>
      </c>
    </row>
    <row r="30" spans="1:21" x14ac:dyDescent="0.25">
      <c r="A30">
        <v>29</v>
      </c>
      <c r="B30">
        <v>54589749</v>
      </c>
      <c r="C30" t="s">
        <v>2509</v>
      </c>
      <c r="D30" t="s">
        <v>89</v>
      </c>
      <c r="E30" t="s">
        <v>90</v>
      </c>
      <c r="F30" t="s">
        <v>91</v>
      </c>
      <c r="G30" t="s">
        <v>2510</v>
      </c>
      <c r="H30" t="s">
        <v>2934</v>
      </c>
      <c r="I30" s="5" t="s">
        <v>2890</v>
      </c>
      <c r="J30" t="s">
        <v>1714</v>
      </c>
      <c r="K30" t="s">
        <v>112</v>
      </c>
      <c r="L30">
        <v>342</v>
      </c>
      <c r="M30">
        <v>0.49861111111111112</v>
      </c>
      <c r="N30">
        <v>11.966666666666667</v>
      </c>
      <c r="O30" t="s">
        <v>3894</v>
      </c>
      <c r="P30" t="s">
        <v>2486</v>
      </c>
      <c r="Q30">
        <v>2023</v>
      </c>
      <c r="R30">
        <v>2021</v>
      </c>
      <c r="S30" s="1">
        <v>46076</v>
      </c>
      <c r="T30" s="1">
        <v>46067</v>
      </c>
      <c r="U30" t="s">
        <v>16</v>
      </c>
    </row>
    <row r="31" spans="1:21" x14ac:dyDescent="0.25">
      <c r="A31">
        <v>30</v>
      </c>
      <c r="B31">
        <v>200705151</v>
      </c>
      <c r="C31" t="s">
        <v>2935</v>
      </c>
      <c r="D31" t="s">
        <v>93</v>
      </c>
      <c r="E31" t="s">
        <v>94</v>
      </c>
      <c r="F31" t="s">
        <v>95</v>
      </c>
      <c r="H31" t="s">
        <v>2936</v>
      </c>
      <c r="I31" s="5" t="s">
        <v>2917</v>
      </c>
      <c r="J31" t="s">
        <v>2511</v>
      </c>
      <c r="K31" t="s">
        <v>57</v>
      </c>
      <c r="L31">
        <v>344</v>
      </c>
      <c r="P31" t="s">
        <v>2486</v>
      </c>
      <c r="Q31">
        <v>2025</v>
      </c>
      <c r="R31">
        <v>2022</v>
      </c>
      <c r="S31" s="1">
        <v>46070</v>
      </c>
      <c r="T31" s="1">
        <v>46042</v>
      </c>
      <c r="U31" t="s">
        <v>16</v>
      </c>
    </row>
    <row r="32" spans="1:21" x14ac:dyDescent="0.25">
      <c r="A32">
        <v>31</v>
      </c>
      <c r="B32">
        <v>195430687</v>
      </c>
      <c r="C32" t="s">
        <v>96</v>
      </c>
      <c r="D32" t="s">
        <v>17</v>
      </c>
      <c r="E32" t="s">
        <v>97</v>
      </c>
      <c r="F32" t="s">
        <v>98</v>
      </c>
      <c r="H32" t="s">
        <v>2937</v>
      </c>
      <c r="I32" s="5" t="s">
        <v>2890</v>
      </c>
      <c r="J32" t="s">
        <v>2097</v>
      </c>
      <c r="K32" t="s">
        <v>2488</v>
      </c>
      <c r="L32">
        <v>352</v>
      </c>
      <c r="P32" t="s">
        <v>2494</v>
      </c>
      <c r="Q32">
        <v>2025</v>
      </c>
      <c r="R32">
        <v>2024</v>
      </c>
      <c r="S32" s="1">
        <v>46068</v>
      </c>
      <c r="T32" s="1">
        <v>46065</v>
      </c>
      <c r="U32" t="s">
        <v>16</v>
      </c>
    </row>
    <row r="33" spans="1:21" x14ac:dyDescent="0.25">
      <c r="A33">
        <v>32</v>
      </c>
      <c r="B33">
        <v>49127523</v>
      </c>
      <c r="C33" t="s">
        <v>2512</v>
      </c>
      <c r="D33" t="s">
        <v>99</v>
      </c>
      <c r="E33" t="s">
        <v>90</v>
      </c>
      <c r="F33" t="s">
        <v>91</v>
      </c>
      <c r="G33" t="s">
        <v>2510</v>
      </c>
      <c r="H33" t="s">
        <v>2938</v>
      </c>
      <c r="I33" s="5" t="s">
        <v>2890</v>
      </c>
      <c r="J33" t="s">
        <v>1714</v>
      </c>
      <c r="K33" t="s">
        <v>112</v>
      </c>
      <c r="L33">
        <v>295</v>
      </c>
      <c r="M33">
        <v>0.4465277777777778</v>
      </c>
      <c r="N33">
        <v>10.716666666666667</v>
      </c>
      <c r="O33" t="s">
        <v>3895</v>
      </c>
      <c r="P33" t="s">
        <v>2486</v>
      </c>
      <c r="Q33">
        <v>2022</v>
      </c>
      <c r="R33">
        <v>2020</v>
      </c>
      <c r="S33" s="1">
        <v>46067</v>
      </c>
      <c r="T33" s="1">
        <v>46060</v>
      </c>
      <c r="U33" t="s">
        <v>16</v>
      </c>
    </row>
    <row r="34" spans="1:21" x14ac:dyDescent="0.25">
      <c r="A34">
        <v>33</v>
      </c>
      <c r="B34">
        <v>43263542</v>
      </c>
      <c r="C34" t="s">
        <v>2513</v>
      </c>
      <c r="D34" t="s">
        <v>100</v>
      </c>
      <c r="E34" t="s">
        <v>90</v>
      </c>
      <c r="F34" t="s">
        <v>91</v>
      </c>
      <c r="G34" t="s">
        <v>2510</v>
      </c>
      <c r="H34" t="s">
        <v>2939</v>
      </c>
      <c r="I34" s="5" t="s">
        <v>2890</v>
      </c>
      <c r="J34" t="s">
        <v>1714</v>
      </c>
      <c r="K34" t="s">
        <v>112</v>
      </c>
      <c r="L34">
        <v>320</v>
      </c>
      <c r="M34">
        <v>0.52083333333333337</v>
      </c>
      <c r="N34">
        <v>12.5</v>
      </c>
      <c r="O34" t="s">
        <v>3896</v>
      </c>
      <c r="P34" t="s">
        <v>2486</v>
      </c>
      <c r="Q34">
        <v>2022</v>
      </c>
      <c r="R34">
        <v>2019</v>
      </c>
      <c r="S34" s="1">
        <v>46060</v>
      </c>
      <c r="T34" s="1">
        <v>46057</v>
      </c>
      <c r="U34" t="s">
        <v>16</v>
      </c>
    </row>
    <row r="35" spans="1:21" x14ac:dyDescent="0.25">
      <c r="A35">
        <v>34</v>
      </c>
      <c r="B35">
        <v>60542255</v>
      </c>
      <c r="C35" t="s">
        <v>101</v>
      </c>
      <c r="D35" t="s">
        <v>17</v>
      </c>
      <c r="E35" t="s">
        <v>102</v>
      </c>
      <c r="F35" t="s">
        <v>103</v>
      </c>
      <c r="H35" t="s">
        <v>2940</v>
      </c>
      <c r="I35" s="5" t="s">
        <v>2890</v>
      </c>
      <c r="J35" t="s">
        <v>1710</v>
      </c>
      <c r="K35" t="s">
        <v>2488</v>
      </c>
      <c r="L35">
        <v>248</v>
      </c>
      <c r="P35" t="s">
        <v>2494</v>
      </c>
      <c r="Q35">
        <v>2018</v>
      </c>
      <c r="R35">
        <v>2012</v>
      </c>
      <c r="S35" s="1">
        <v>46059</v>
      </c>
      <c r="T35" s="1">
        <v>46057</v>
      </c>
      <c r="U35" t="s">
        <v>16</v>
      </c>
    </row>
    <row r="36" spans="1:21" x14ac:dyDescent="0.25">
      <c r="A36">
        <v>35</v>
      </c>
      <c r="B36">
        <v>29241855</v>
      </c>
      <c r="C36" t="s">
        <v>2514</v>
      </c>
      <c r="D36" t="s">
        <v>104</v>
      </c>
      <c r="E36" t="s">
        <v>90</v>
      </c>
      <c r="F36" t="s">
        <v>91</v>
      </c>
      <c r="G36" t="s">
        <v>2515</v>
      </c>
      <c r="H36" t="s">
        <v>2941</v>
      </c>
      <c r="I36" s="5" t="s">
        <v>2890</v>
      </c>
      <c r="J36" t="s">
        <v>1714</v>
      </c>
      <c r="K36" t="s">
        <v>112</v>
      </c>
      <c r="L36">
        <v>416</v>
      </c>
      <c r="M36">
        <v>0.66388888888888886</v>
      </c>
      <c r="N36">
        <v>15.933333333333334</v>
      </c>
      <c r="O36" t="s">
        <v>3897</v>
      </c>
      <c r="P36" t="s">
        <v>2486</v>
      </c>
      <c r="Q36">
        <v>2022</v>
      </c>
      <c r="R36">
        <v>2016</v>
      </c>
      <c r="S36" s="1">
        <v>46056</v>
      </c>
      <c r="T36" s="1">
        <v>46054</v>
      </c>
      <c r="U36" t="s">
        <v>16</v>
      </c>
    </row>
    <row r="37" spans="1:21" x14ac:dyDescent="0.25">
      <c r="A37">
        <v>36</v>
      </c>
      <c r="B37">
        <v>25671861</v>
      </c>
      <c r="C37" t="s">
        <v>2516</v>
      </c>
      <c r="D37" t="s">
        <v>105</v>
      </c>
      <c r="E37" t="s">
        <v>90</v>
      </c>
      <c r="F37" t="s">
        <v>91</v>
      </c>
      <c r="G37" t="s">
        <v>2515</v>
      </c>
      <c r="H37" t="s">
        <v>2942</v>
      </c>
      <c r="I37" s="5" t="s">
        <v>2890</v>
      </c>
      <c r="J37" t="s">
        <v>1714</v>
      </c>
      <c r="K37" t="s">
        <v>112</v>
      </c>
      <c r="L37">
        <v>404</v>
      </c>
      <c r="M37">
        <v>0.65277777777777779</v>
      </c>
      <c r="N37">
        <v>15.666666666666668</v>
      </c>
      <c r="O37" t="s">
        <v>3898</v>
      </c>
      <c r="P37" t="s">
        <v>2486</v>
      </c>
      <c r="Q37">
        <v>2022</v>
      </c>
      <c r="R37">
        <v>2016</v>
      </c>
      <c r="S37" s="1">
        <v>46049</v>
      </c>
      <c r="T37" s="1">
        <v>46039</v>
      </c>
      <c r="U37" t="s">
        <v>16</v>
      </c>
    </row>
    <row r="38" spans="1:21" x14ac:dyDescent="0.25">
      <c r="A38">
        <v>37</v>
      </c>
      <c r="B38">
        <v>55262523</v>
      </c>
      <c r="C38" t="s">
        <v>108</v>
      </c>
      <c r="D38" t="s">
        <v>17</v>
      </c>
      <c r="E38" t="s">
        <v>94</v>
      </c>
      <c r="F38" t="s">
        <v>95</v>
      </c>
      <c r="H38" t="s">
        <v>2943</v>
      </c>
      <c r="I38" s="5" t="s">
        <v>2890</v>
      </c>
      <c r="J38" t="s">
        <v>2511</v>
      </c>
      <c r="K38" t="s">
        <v>57</v>
      </c>
      <c r="L38">
        <v>296</v>
      </c>
      <c r="P38" t="s">
        <v>2486</v>
      </c>
      <c r="Q38">
        <v>2025</v>
      </c>
      <c r="R38">
        <v>2014</v>
      </c>
      <c r="S38" s="1">
        <v>46039</v>
      </c>
      <c r="T38" s="1">
        <v>46032</v>
      </c>
      <c r="U38" t="s">
        <v>16</v>
      </c>
    </row>
    <row r="39" spans="1:21" x14ac:dyDescent="0.25">
      <c r="A39">
        <v>38</v>
      </c>
      <c r="B39">
        <v>21853645</v>
      </c>
      <c r="C39" t="s">
        <v>2517</v>
      </c>
      <c r="D39" t="s">
        <v>109</v>
      </c>
      <c r="E39" t="s">
        <v>90</v>
      </c>
      <c r="F39" t="s">
        <v>91</v>
      </c>
      <c r="G39" t="s">
        <v>2515</v>
      </c>
      <c r="H39" t="s">
        <v>2944</v>
      </c>
      <c r="I39" s="5" t="s">
        <v>2901</v>
      </c>
      <c r="J39" t="s">
        <v>1714</v>
      </c>
      <c r="K39" t="s">
        <v>112</v>
      </c>
      <c r="L39">
        <v>400</v>
      </c>
      <c r="M39">
        <v>0.66111111111111109</v>
      </c>
      <c r="N39">
        <v>15.866666666666667</v>
      </c>
      <c r="O39" t="s">
        <v>3899</v>
      </c>
      <c r="P39" t="s">
        <v>2486</v>
      </c>
      <c r="Q39">
        <v>2022</v>
      </c>
      <c r="R39">
        <v>2015</v>
      </c>
      <c r="S39" s="1">
        <v>46039</v>
      </c>
      <c r="T39" s="1">
        <v>46037</v>
      </c>
      <c r="U39" t="s">
        <v>16</v>
      </c>
    </row>
    <row r="40" spans="1:21" x14ac:dyDescent="0.25">
      <c r="A40">
        <v>39</v>
      </c>
      <c r="B40">
        <v>60483417</v>
      </c>
      <c r="C40" t="s">
        <v>2945</v>
      </c>
      <c r="D40" t="s">
        <v>111</v>
      </c>
      <c r="E40" t="s">
        <v>90</v>
      </c>
      <c r="F40" t="s">
        <v>91</v>
      </c>
      <c r="G40" t="s">
        <v>2515</v>
      </c>
      <c r="H40" t="s">
        <v>2946</v>
      </c>
      <c r="I40" s="5" t="s">
        <v>2890</v>
      </c>
      <c r="J40" t="s">
        <v>1714</v>
      </c>
      <c r="K40" t="s">
        <v>112</v>
      </c>
      <c r="L40">
        <v>456</v>
      </c>
      <c r="P40" t="s">
        <v>2486</v>
      </c>
      <c r="Q40">
        <v>2022</v>
      </c>
      <c r="R40">
        <v>2014</v>
      </c>
      <c r="S40" s="1">
        <v>46037</v>
      </c>
      <c r="T40" s="1">
        <v>46033</v>
      </c>
      <c r="U40" t="s">
        <v>16</v>
      </c>
    </row>
    <row r="41" spans="1:21" x14ac:dyDescent="0.25">
      <c r="A41">
        <v>40</v>
      </c>
      <c r="B41">
        <v>235303092</v>
      </c>
      <c r="C41" t="s">
        <v>113</v>
      </c>
      <c r="D41" t="s">
        <v>17</v>
      </c>
      <c r="E41" t="s">
        <v>114</v>
      </c>
      <c r="F41" t="s">
        <v>115</v>
      </c>
      <c r="H41" t="s">
        <v>2947</v>
      </c>
      <c r="I41" s="5" t="s">
        <v>2901</v>
      </c>
      <c r="J41" t="s">
        <v>1680</v>
      </c>
      <c r="K41" t="s">
        <v>2488</v>
      </c>
      <c r="L41">
        <v>168</v>
      </c>
      <c r="P41" t="s">
        <v>2494</v>
      </c>
      <c r="Q41">
        <v>2025</v>
      </c>
      <c r="R41">
        <v>2025</v>
      </c>
      <c r="S41" s="1">
        <v>46033</v>
      </c>
      <c r="T41" s="1">
        <v>46031</v>
      </c>
      <c r="U41" t="s">
        <v>16</v>
      </c>
    </row>
    <row r="42" spans="1:21" x14ac:dyDescent="0.25">
      <c r="A42">
        <v>41</v>
      </c>
      <c r="B42">
        <v>60474202</v>
      </c>
      <c r="C42" t="s">
        <v>2948</v>
      </c>
      <c r="D42" t="s">
        <v>117</v>
      </c>
      <c r="E42" t="s">
        <v>90</v>
      </c>
      <c r="F42" t="s">
        <v>91</v>
      </c>
      <c r="G42" t="s">
        <v>2515</v>
      </c>
      <c r="H42" t="s">
        <v>2949</v>
      </c>
      <c r="I42" s="5" t="s">
        <v>2890</v>
      </c>
      <c r="J42" t="s">
        <v>1714</v>
      </c>
      <c r="K42" t="s">
        <v>112</v>
      </c>
      <c r="L42">
        <v>448</v>
      </c>
      <c r="M42">
        <v>0.59444444444444444</v>
      </c>
      <c r="N42">
        <v>14.266666666666666</v>
      </c>
      <c r="O42" t="s">
        <v>3900</v>
      </c>
      <c r="P42" t="s">
        <v>2486</v>
      </c>
      <c r="Q42">
        <v>2022</v>
      </c>
      <c r="R42">
        <v>2013</v>
      </c>
      <c r="S42" s="1">
        <v>46033</v>
      </c>
      <c r="T42" s="1">
        <v>46030</v>
      </c>
      <c r="U42" t="s">
        <v>16</v>
      </c>
    </row>
    <row r="43" spans="1:21" x14ac:dyDescent="0.25">
      <c r="A43">
        <v>42</v>
      </c>
      <c r="B43">
        <v>11371813</v>
      </c>
      <c r="C43" t="s">
        <v>2950</v>
      </c>
      <c r="D43" t="s">
        <v>119</v>
      </c>
      <c r="E43" t="s">
        <v>39</v>
      </c>
      <c r="F43" t="s">
        <v>120</v>
      </c>
      <c r="H43" t="s">
        <v>2951</v>
      </c>
      <c r="I43" s="5" t="s">
        <v>2901</v>
      </c>
      <c r="J43" t="s">
        <v>1668</v>
      </c>
      <c r="K43" t="s">
        <v>2488</v>
      </c>
      <c r="L43">
        <v>511</v>
      </c>
      <c r="P43" t="s">
        <v>2494</v>
      </c>
      <c r="Q43">
        <v>2009</v>
      </c>
      <c r="R43">
        <v>2007</v>
      </c>
      <c r="S43" s="1">
        <v>46031</v>
      </c>
      <c r="T43" s="1">
        <v>46008</v>
      </c>
      <c r="U43" t="s">
        <v>16</v>
      </c>
    </row>
    <row r="44" spans="1:21" x14ac:dyDescent="0.25">
      <c r="A44">
        <v>43</v>
      </c>
      <c r="B44">
        <v>241307971</v>
      </c>
      <c r="C44" t="s">
        <v>2952</v>
      </c>
      <c r="D44" t="s">
        <v>124</v>
      </c>
      <c r="E44" t="s">
        <v>125</v>
      </c>
      <c r="F44" t="s">
        <v>126</v>
      </c>
      <c r="G44" t="s">
        <v>2518</v>
      </c>
      <c r="H44" t="s">
        <v>2953</v>
      </c>
      <c r="I44" s="5" t="s">
        <v>2890</v>
      </c>
      <c r="J44" t="s">
        <v>2519</v>
      </c>
      <c r="K44" t="s">
        <v>112</v>
      </c>
      <c r="L44">
        <v>736</v>
      </c>
      <c r="M44">
        <v>0.95763888888888893</v>
      </c>
      <c r="N44">
        <v>22.983333333333334</v>
      </c>
      <c r="O44" t="s">
        <v>3901</v>
      </c>
      <c r="P44" t="s">
        <v>2494</v>
      </c>
      <c r="Q44">
        <v>2025</v>
      </c>
      <c r="R44">
        <v>2025</v>
      </c>
      <c r="S44" s="1">
        <v>46029</v>
      </c>
      <c r="T44" s="1">
        <v>46022</v>
      </c>
      <c r="U44" t="s">
        <v>16</v>
      </c>
    </row>
    <row r="45" spans="1:21" x14ac:dyDescent="0.25">
      <c r="A45">
        <v>44</v>
      </c>
      <c r="B45">
        <v>29338611</v>
      </c>
      <c r="C45" t="s">
        <v>2954</v>
      </c>
      <c r="D45" t="s">
        <v>130</v>
      </c>
      <c r="E45" t="s">
        <v>127</v>
      </c>
      <c r="F45" t="s">
        <v>128</v>
      </c>
      <c r="H45" t="s">
        <v>2955</v>
      </c>
      <c r="I45" s="5" t="s">
        <v>2917</v>
      </c>
      <c r="J45" t="s">
        <v>1719</v>
      </c>
      <c r="K45" t="s">
        <v>57</v>
      </c>
      <c r="L45">
        <v>536</v>
      </c>
      <c r="P45" t="s">
        <v>2486</v>
      </c>
      <c r="Q45">
        <v>2016</v>
      </c>
      <c r="R45">
        <v>2014</v>
      </c>
      <c r="S45" s="1">
        <v>46024</v>
      </c>
      <c r="T45" s="1">
        <v>45898</v>
      </c>
      <c r="U45" t="s">
        <v>16</v>
      </c>
    </row>
    <row r="46" spans="1:21" x14ac:dyDescent="0.25">
      <c r="A46">
        <v>45</v>
      </c>
      <c r="B46">
        <v>243102569</v>
      </c>
      <c r="C46" t="s">
        <v>2956</v>
      </c>
      <c r="D46" t="s">
        <v>132</v>
      </c>
      <c r="E46" t="s">
        <v>133</v>
      </c>
      <c r="F46" t="s">
        <v>134</v>
      </c>
      <c r="H46" t="s">
        <v>2957</v>
      </c>
      <c r="I46" s="5" t="s">
        <v>2901</v>
      </c>
      <c r="J46" t="s">
        <v>1668</v>
      </c>
      <c r="K46" t="s">
        <v>2488</v>
      </c>
      <c r="L46">
        <v>440</v>
      </c>
      <c r="P46" t="s">
        <v>2494</v>
      </c>
      <c r="Q46">
        <v>2025</v>
      </c>
      <c r="R46">
        <v>2024</v>
      </c>
      <c r="S46" s="1">
        <v>46024</v>
      </c>
      <c r="T46" s="1">
        <v>46021</v>
      </c>
      <c r="U46" t="s">
        <v>16</v>
      </c>
    </row>
    <row r="47" spans="1:21" x14ac:dyDescent="0.25">
      <c r="A47">
        <v>46</v>
      </c>
      <c r="B47">
        <v>218427979</v>
      </c>
      <c r="C47" t="s">
        <v>2958</v>
      </c>
      <c r="D47" t="s">
        <v>136</v>
      </c>
      <c r="E47" t="s">
        <v>80</v>
      </c>
      <c r="F47" t="s">
        <v>81</v>
      </c>
      <c r="H47" t="s">
        <v>2959</v>
      </c>
      <c r="I47" s="5" t="s">
        <v>2890</v>
      </c>
      <c r="J47" t="s">
        <v>1700</v>
      </c>
      <c r="K47" t="s">
        <v>2488</v>
      </c>
      <c r="L47">
        <v>528</v>
      </c>
      <c r="P47" t="s">
        <v>2494</v>
      </c>
      <c r="Q47">
        <v>2024</v>
      </c>
      <c r="R47">
        <v>2023</v>
      </c>
      <c r="S47" s="1">
        <v>45995</v>
      </c>
      <c r="T47" s="1">
        <v>45976</v>
      </c>
      <c r="U47" t="s">
        <v>16</v>
      </c>
    </row>
    <row r="48" spans="1:21" x14ac:dyDescent="0.25">
      <c r="A48">
        <v>47</v>
      </c>
      <c r="B48">
        <v>241234546</v>
      </c>
      <c r="C48" t="s">
        <v>137</v>
      </c>
      <c r="D48" t="s">
        <v>17</v>
      </c>
      <c r="E48" t="s">
        <v>138</v>
      </c>
      <c r="F48" t="s">
        <v>139</v>
      </c>
      <c r="H48" t="s">
        <v>2960</v>
      </c>
      <c r="I48" s="5" t="s">
        <v>2933</v>
      </c>
      <c r="J48" t="s">
        <v>1723</v>
      </c>
      <c r="K48" t="s">
        <v>2488</v>
      </c>
      <c r="L48">
        <v>240</v>
      </c>
      <c r="P48" t="s">
        <v>2494</v>
      </c>
      <c r="Q48">
        <v>2025</v>
      </c>
      <c r="R48">
        <v>2025</v>
      </c>
      <c r="S48" s="1">
        <v>45985</v>
      </c>
      <c r="T48" s="1">
        <v>45963</v>
      </c>
      <c r="U48" t="s">
        <v>16</v>
      </c>
    </row>
    <row r="49" spans="1:21" x14ac:dyDescent="0.25">
      <c r="A49">
        <v>48</v>
      </c>
      <c r="B49">
        <v>231389589</v>
      </c>
      <c r="C49" t="s">
        <v>140</v>
      </c>
      <c r="D49" t="s">
        <v>17</v>
      </c>
      <c r="E49" t="s">
        <v>141</v>
      </c>
      <c r="F49" t="s">
        <v>142</v>
      </c>
      <c r="G49" t="s">
        <v>2520</v>
      </c>
      <c r="H49" t="s">
        <v>2961</v>
      </c>
      <c r="I49" s="5" t="s">
        <v>2890</v>
      </c>
      <c r="J49" t="s">
        <v>1725</v>
      </c>
      <c r="K49" t="s">
        <v>112</v>
      </c>
      <c r="M49">
        <v>0.47152777777777777</v>
      </c>
      <c r="N49">
        <v>11.316666666666666</v>
      </c>
      <c r="O49" t="s">
        <v>3902</v>
      </c>
      <c r="P49" t="s">
        <v>2486</v>
      </c>
      <c r="Q49">
        <v>2025</v>
      </c>
      <c r="R49">
        <v>2024</v>
      </c>
      <c r="S49" s="1">
        <v>45981</v>
      </c>
      <c r="T49" s="1">
        <v>45898</v>
      </c>
      <c r="U49" t="s">
        <v>16</v>
      </c>
    </row>
    <row r="50" spans="1:21" x14ac:dyDescent="0.25">
      <c r="A50">
        <v>49</v>
      </c>
      <c r="B50">
        <v>61749891</v>
      </c>
      <c r="C50" t="s">
        <v>143</v>
      </c>
      <c r="D50" t="s">
        <v>17</v>
      </c>
      <c r="E50" t="s">
        <v>144</v>
      </c>
      <c r="F50" t="s">
        <v>145</v>
      </c>
      <c r="H50" t="s">
        <v>2962</v>
      </c>
      <c r="I50" s="5" t="s">
        <v>2890</v>
      </c>
      <c r="J50" t="s">
        <v>1727</v>
      </c>
      <c r="K50" t="s">
        <v>2488</v>
      </c>
      <c r="L50">
        <v>328</v>
      </c>
      <c r="P50" t="s">
        <v>2494</v>
      </c>
      <c r="Q50">
        <v>2022</v>
      </c>
      <c r="R50">
        <v>2021</v>
      </c>
      <c r="S50" s="1">
        <v>45980</v>
      </c>
      <c r="T50" s="1">
        <v>44869</v>
      </c>
      <c r="U50" t="s">
        <v>16</v>
      </c>
    </row>
    <row r="51" spans="1:21" x14ac:dyDescent="0.25">
      <c r="A51">
        <v>50</v>
      </c>
      <c r="B51">
        <v>60429887</v>
      </c>
      <c r="C51" t="s">
        <v>2963</v>
      </c>
      <c r="D51" t="s">
        <v>147</v>
      </c>
      <c r="E51" t="s">
        <v>90</v>
      </c>
      <c r="F51" t="s">
        <v>91</v>
      </c>
      <c r="G51" t="s">
        <v>2515</v>
      </c>
      <c r="H51" t="s">
        <v>2964</v>
      </c>
      <c r="I51" s="5" t="s">
        <v>2890</v>
      </c>
      <c r="J51" t="s">
        <v>1714</v>
      </c>
      <c r="K51" t="s">
        <v>112</v>
      </c>
      <c r="M51">
        <v>0.50277777777777777</v>
      </c>
      <c r="N51">
        <v>12.066666666666666</v>
      </c>
      <c r="O51" t="s">
        <v>3903</v>
      </c>
      <c r="P51" t="s">
        <v>2486</v>
      </c>
      <c r="Q51">
        <v>2021</v>
      </c>
      <c r="R51">
        <v>2012</v>
      </c>
      <c r="S51" s="1">
        <v>45976</v>
      </c>
      <c r="T51" s="1">
        <v>45974</v>
      </c>
      <c r="U51" t="s">
        <v>16</v>
      </c>
    </row>
    <row r="52" spans="1:21" x14ac:dyDescent="0.25">
      <c r="A52">
        <v>51</v>
      </c>
      <c r="B52">
        <v>222977739</v>
      </c>
      <c r="C52" t="s">
        <v>148</v>
      </c>
      <c r="D52" t="s">
        <v>17</v>
      </c>
      <c r="E52" t="s">
        <v>149</v>
      </c>
      <c r="F52" t="s">
        <v>150</v>
      </c>
      <c r="G52" t="s">
        <v>2521</v>
      </c>
      <c r="H52" t="s">
        <v>2965</v>
      </c>
      <c r="I52" s="5" t="s">
        <v>2890</v>
      </c>
      <c r="J52" t="s">
        <v>2499</v>
      </c>
      <c r="K52" t="s">
        <v>112</v>
      </c>
      <c r="L52">
        <v>288</v>
      </c>
      <c r="M52">
        <v>0.33333333333333331</v>
      </c>
      <c r="N52">
        <v>8</v>
      </c>
      <c r="O52" t="s">
        <v>3904</v>
      </c>
      <c r="P52" t="s">
        <v>2486</v>
      </c>
      <c r="Q52">
        <v>2024</v>
      </c>
      <c r="R52">
        <v>2021</v>
      </c>
      <c r="S52" s="1">
        <v>45975</v>
      </c>
      <c r="T52" s="1">
        <v>45963</v>
      </c>
      <c r="U52" t="s">
        <v>16</v>
      </c>
    </row>
    <row r="53" spans="1:21" x14ac:dyDescent="0.25">
      <c r="A53">
        <v>52</v>
      </c>
      <c r="B53">
        <v>60407216</v>
      </c>
      <c r="C53" t="s">
        <v>2966</v>
      </c>
      <c r="D53" t="s">
        <v>152</v>
      </c>
      <c r="E53" t="s">
        <v>90</v>
      </c>
      <c r="F53" t="s">
        <v>91</v>
      </c>
      <c r="G53" t="s">
        <v>2515</v>
      </c>
      <c r="H53" t="s">
        <v>2967</v>
      </c>
      <c r="I53" s="5" t="s">
        <v>2901</v>
      </c>
      <c r="J53" t="s">
        <v>1714</v>
      </c>
      <c r="K53" t="s">
        <v>112</v>
      </c>
      <c r="M53">
        <v>0.59027777777777779</v>
      </c>
      <c r="N53">
        <v>14.166666666666668</v>
      </c>
      <c r="O53" t="s">
        <v>3905</v>
      </c>
      <c r="P53" t="s">
        <v>2486</v>
      </c>
      <c r="Q53">
        <v>2022</v>
      </c>
      <c r="R53">
        <v>2011</v>
      </c>
      <c r="S53" s="1">
        <v>45974</v>
      </c>
      <c r="T53" s="1">
        <v>45963</v>
      </c>
      <c r="U53" t="s">
        <v>16</v>
      </c>
    </row>
    <row r="54" spans="1:21" x14ac:dyDescent="0.25">
      <c r="A54">
        <v>53</v>
      </c>
      <c r="B54">
        <v>220697455</v>
      </c>
      <c r="C54" t="s">
        <v>2968</v>
      </c>
      <c r="D54" t="s">
        <v>154</v>
      </c>
      <c r="E54" t="s">
        <v>133</v>
      </c>
      <c r="F54" t="s">
        <v>134</v>
      </c>
      <c r="H54" t="s">
        <v>2969</v>
      </c>
      <c r="I54" s="5" t="s">
        <v>2901</v>
      </c>
      <c r="J54" t="s">
        <v>1668</v>
      </c>
      <c r="K54" t="s">
        <v>2488</v>
      </c>
      <c r="L54">
        <v>432</v>
      </c>
      <c r="P54" t="s">
        <v>2494</v>
      </c>
      <c r="Q54">
        <v>2024</v>
      </c>
      <c r="R54">
        <v>2024</v>
      </c>
      <c r="S54" s="1">
        <v>45973</v>
      </c>
      <c r="T54" s="1">
        <v>45947</v>
      </c>
      <c r="U54" t="s">
        <v>16</v>
      </c>
    </row>
    <row r="55" spans="1:21" x14ac:dyDescent="0.25">
      <c r="A55">
        <v>54</v>
      </c>
      <c r="B55">
        <v>55598555</v>
      </c>
      <c r="C55" t="s">
        <v>2522</v>
      </c>
      <c r="D55" t="s">
        <v>2523</v>
      </c>
      <c r="E55" t="s">
        <v>157</v>
      </c>
      <c r="F55" t="s">
        <v>158</v>
      </c>
      <c r="H55" t="s">
        <v>2970</v>
      </c>
      <c r="I55" s="5" t="s">
        <v>2901</v>
      </c>
      <c r="J55" t="s">
        <v>1982</v>
      </c>
      <c r="K55" t="s">
        <v>2488</v>
      </c>
      <c r="L55">
        <v>192</v>
      </c>
      <c r="P55" t="s">
        <v>2494</v>
      </c>
      <c r="Q55">
        <v>2025</v>
      </c>
      <c r="R55">
        <v>2021</v>
      </c>
      <c r="S55" s="1">
        <v>45965</v>
      </c>
      <c r="T55" s="1">
        <v>45944</v>
      </c>
      <c r="U55" t="s">
        <v>16</v>
      </c>
    </row>
    <row r="56" spans="1:21" x14ac:dyDescent="0.25">
      <c r="A56">
        <v>55</v>
      </c>
      <c r="B56">
        <v>56053728</v>
      </c>
      <c r="C56" t="s">
        <v>2971</v>
      </c>
      <c r="D56" t="s">
        <v>162</v>
      </c>
      <c r="E56" t="s">
        <v>163</v>
      </c>
      <c r="F56" t="s">
        <v>164</v>
      </c>
      <c r="G56" t="s">
        <v>2524</v>
      </c>
      <c r="H56" t="s">
        <v>2972</v>
      </c>
      <c r="I56" s="5" t="s">
        <v>2901</v>
      </c>
      <c r="J56" t="s">
        <v>2525</v>
      </c>
      <c r="K56" t="s">
        <v>112</v>
      </c>
      <c r="L56">
        <v>644</v>
      </c>
      <c r="M56">
        <v>1.2395833333333333</v>
      </c>
      <c r="N56">
        <v>29.75</v>
      </c>
      <c r="O56" t="s">
        <v>3906</v>
      </c>
      <c r="P56" t="s">
        <v>2494</v>
      </c>
      <c r="Q56">
        <v>2025</v>
      </c>
      <c r="R56">
        <v>2019</v>
      </c>
      <c r="S56" s="1">
        <v>45962</v>
      </c>
      <c r="T56" s="1">
        <v>45949</v>
      </c>
      <c r="U56" t="s">
        <v>16</v>
      </c>
    </row>
    <row r="57" spans="1:21" x14ac:dyDescent="0.25">
      <c r="A57">
        <v>56</v>
      </c>
      <c r="B57">
        <v>211221794</v>
      </c>
      <c r="C57" t="s">
        <v>2973</v>
      </c>
      <c r="D57" t="s">
        <v>166</v>
      </c>
      <c r="E57" t="s">
        <v>167</v>
      </c>
      <c r="F57" t="s">
        <v>168</v>
      </c>
      <c r="H57" t="s">
        <v>2974</v>
      </c>
      <c r="I57" s="5" t="s">
        <v>2890</v>
      </c>
      <c r="J57" t="s">
        <v>1735</v>
      </c>
      <c r="K57" t="s">
        <v>57</v>
      </c>
      <c r="L57">
        <v>440</v>
      </c>
      <c r="P57" t="s">
        <v>2486</v>
      </c>
      <c r="Q57">
        <v>2024</v>
      </c>
      <c r="R57">
        <v>2022</v>
      </c>
      <c r="S57" s="1">
        <v>45962</v>
      </c>
      <c r="T57" s="1">
        <v>45949</v>
      </c>
      <c r="U57" t="s">
        <v>16</v>
      </c>
    </row>
    <row r="58" spans="1:21" x14ac:dyDescent="0.25">
      <c r="A58">
        <v>57</v>
      </c>
      <c r="B58">
        <v>20871473</v>
      </c>
      <c r="C58" t="s">
        <v>169</v>
      </c>
      <c r="D58" t="s">
        <v>17</v>
      </c>
      <c r="E58" t="s">
        <v>170</v>
      </c>
      <c r="F58" t="s">
        <v>171</v>
      </c>
      <c r="H58" t="s">
        <v>2975</v>
      </c>
      <c r="I58" s="5" t="s">
        <v>2890</v>
      </c>
      <c r="J58" t="s">
        <v>2976</v>
      </c>
      <c r="K58" t="s">
        <v>57</v>
      </c>
      <c r="L58">
        <v>480</v>
      </c>
      <c r="P58" t="s">
        <v>2486</v>
      </c>
      <c r="Q58">
        <v>2014</v>
      </c>
      <c r="R58">
        <v>2014</v>
      </c>
      <c r="S58" s="1">
        <v>45946</v>
      </c>
      <c r="T58" s="1">
        <v>45928</v>
      </c>
      <c r="U58" t="s">
        <v>16</v>
      </c>
    </row>
    <row r="59" spans="1:21" x14ac:dyDescent="0.25">
      <c r="A59">
        <v>58</v>
      </c>
      <c r="B59">
        <v>7726923</v>
      </c>
      <c r="C59" t="s">
        <v>2977</v>
      </c>
      <c r="D59" t="s">
        <v>173</v>
      </c>
      <c r="E59" t="s">
        <v>174</v>
      </c>
      <c r="F59" t="s">
        <v>175</v>
      </c>
      <c r="G59" t="s">
        <v>2526</v>
      </c>
      <c r="H59" t="s">
        <v>2978</v>
      </c>
      <c r="I59" s="5" t="s">
        <v>2890</v>
      </c>
      <c r="J59" t="s">
        <v>2492</v>
      </c>
      <c r="K59" t="s">
        <v>112</v>
      </c>
      <c r="L59">
        <v>318</v>
      </c>
      <c r="M59">
        <v>0.42152777777777778</v>
      </c>
      <c r="N59">
        <v>10.116666666666667</v>
      </c>
      <c r="O59" t="s">
        <v>3907</v>
      </c>
      <c r="P59" t="s">
        <v>2486</v>
      </c>
      <c r="Q59">
        <v>2007</v>
      </c>
      <c r="R59">
        <v>2003</v>
      </c>
      <c r="S59" s="1">
        <v>45937</v>
      </c>
      <c r="T59" s="1">
        <v>45933</v>
      </c>
      <c r="U59" t="s">
        <v>16</v>
      </c>
    </row>
    <row r="60" spans="1:21" x14ac:dyDescent="0.25">
      <c r="A60">
        <v>59</v>
      </c>
      <c r="B60">
        <v>217252251</v>
      </c>
      <c r="C60" t="s">
        <v>176</v>
      </c>
      <c r="D60" t="s">
        <v>17</v>
      </c>
      <c r="E60" t="s">
        <v>177</v>
      </c>
      <c r="F60" t="s">
        <v>178</v>
      </c>
      <c r="H60" t="s">
        <v>2979</v>
      </c>
      <c r="I60" s="5" t="s">
        <v>2901</v>
      </c>
      <c r="J60" t="s">
        <v>1723</v>
      </c>
      <c r="K60" t="s">
        <v>2488</v>
      </c>
      <c r="L60">
        <v>416</v>
      </c>
      <c r="P60" t="s">
        <v>2494</v>
      </c>
      <c r="Q60">
        <v>2024</v>
      </c>
      <c r="R60">
        <v>1996</v>
      </c>
      <c r="S60" s="1">
        <v>45935</v>
      </c>
      <c r="T60" s="1">
        <v>45933</v>
      </c>
      <c r="U60" t="s">
        <v>16</v>
      </c>
    </row>
    <row r="61" spans="1:21" x14ac:dyDescent="0.25">
      <c r="A61">
        <v>60</v>
      </c>
      <c r="B61">
        <v>18393638</v>
      </c>
      <c r="C61" t="s">
        <v>179</v>
      </c>
      <c r="D61" t="s">
        <v>17</v>
      </c>
      <c r="E61" t="s">
        <v>180</v>
      </c>
      <c r="F61" t="s">
        <v>181</v>
      </c>
      <c r="H61" t="s">
        <v>2980</v>
      </c>
      <c r="I61" s="5" t="s">
        <v>2890</v>
      </c>
      <c r="J61" t="s">
        <v>1741</v>
      </c>
      <c r="K61" t="s">
        <v>57</v>
      </c>
      <c r="L61">
        <v>272</v>
      </c>
      <c r="P61" t="s">
        <v>2486</v>
      </c>
      <c r="Q61">
        <v>2002</v>
      </c>
      <c r="R61">
        <v>1992</v>
      </c>
      <c r="S61" s="1">
        <v>45972</v>
      </c>
      <c r="T61" s="1">
        <v>45933</v>
      </c>
      <c r="U61" t="s">
        <v>16</v>
      </c>
    </row>
    <row r="62" spans="1:21" x14ac:dyDescent="0.25">
      <c r="A62">
        <v>61</v>
      </c>
      <c r="B62">
        <v>55099203</v>
      </c>
      <c r="C62" t="s">
        <v>2981</v>
      </c>
      <c r="D62" t="s">
        <v>183</v>
      </c>
      <c r="E62" t="s">
        <v>184</v>
      </c>
      <c r="F62" t="s">
        <v>185</v>
      </c>
      <c r="G62" t="s">
        <v>2527</v>
      </c>
      <c r="H62" t="s">
        <v>2982</v>
      </c>
      <c r="I62" s="5" t="s">
        <v>2901</v>
      </c>
      <c r="J62" t="s">
        <v>2492</v>
      </c>
      <c r="K62" t="s">
        <v>112</v>
      </c>
      <c r="L62">
        <v>464</v>
      </c>
      <c r="M62">
        <v>0.83472222222222225</v>
      </c>
      <c r="N62">
        <v>20.033333333333335</v>
      </c>
      <c r="O62" t="s">
        <v>3908</v>
      </c>
      <c r="P62" t="s">
        <v>2486</v>
      </c>
      <c r="Q62">
        <v>2020</v>
      </c>
      <c r="R62">
        <v>2020</v>
      </c>
      <c r="S62" s="1">
        <v>45916</v>
      </c>
      <c r="T62" s="1">
        <v>45911</v>
      </c>
      <c r="U62" t="s">
        <v>16</v>
      </c>
    </row>
    <row r="63" spans="1:21" x14ac:dyDescent="0.25">
      <c r="A63">
        <v>62</v>
      </c>
      <c r="B63">
        <v>222715653</v>
      </c>
      <c r="C63" t="s">
        <v>186</v>
      </c>
      <c r="D63" t="s">
        <v>17</v>
      </c>
      <c r="E63" t="s">
        <v>20</v>
      </c>
      <c r="F63" t="s">
        <v>187</v>
      </c>
      <c r="H63" t="s">
        <v>2983</v>
      </c>
      <c r="I63" s="5" t="s">
        <v>2901</v>
      </c>
      <c r="J63" t="s">
        <v>1744</v>
      </c>
      <c r="K63" t="s">
        <v>2488</v>
      </c>
      <c r="L63">
        <v>180</v>
      </c>
      <c r="P63" t="s">
        <v>2494</v>
      </c>
      <c r="Q63">
        <v>2024</v>
      </c>
      <c r="R63">
        <v>2024</v>
      </c>
      <c r="S63" s="1">
        <v>45913</v>
      </c>
      <c r="T63" s="1">
        <v>45694</v>
      </c>
      <c r="U63" t="s">
        <v>16</v>
      </c>
    </row>
    <row r="64" spans="1:21" x14ac:dyDescent="0.25">
      <c r="A64">
        <v>63</v>
      </c>
      <c r="B64">
        <v>58726113</v>
      </c>
      <c r="C64" t="s">
        <v>188</v>
      </c>
      <c r="D64" t="s">
        <v>17</v>
      </c>
      <c r="E64" t="s">
        <v>159</v>
      </c>
      <c r="F64" t="s">
        <v>160</v>
      </c>
      <c r="H64" t="s">
        <v>2984</v>
      </c>
      <c r="I64" s="5" t="s">
        <v>2901</v>
      </c>
      <c r="J64" t="s">
        <v>1746</v>
      </c>
      <c r="K64" t="s">
        <v>2488</v>
      </c>
      <c r="L64">
        <v>224</v>
      </c>
      <c r="P64" t="s">
        <v>2494</v>
      </c>
      <c r="Q64">
        <v>2021</v>
      </c>
      <c r="R64">
        <v>2021</v>
      </c>
      <c r="S64" s="1">
        <v>45907</v>
      </c>
      <c r="T64" s="1">
        <v>45903</v>
      </c>
      <c r="U64" t="s">
        <v>16</v>
      </c>
    </row>
    <row r="65" spans="1:21" x14ac:dyDescent="0.25">
      <c r="A65">
        <v>64</v>
      </c>
      <c r="B65">
        <v>18165624</v>
      </c>
      <c r="C65" t="s">
        <v>189</v>
      </c>
      <c r="D65" t="s">
        <v>17</v>
      </c>
      <c r="E65" t="s">
        <v>190</v>
      </c>
      <c r="F65" t="s">
        <v>191</v>
      </c>
      <c r="H65" t="s">
        <v>2985</v>
      </c>
      <c r="I65" s="5" t="s">
        <v>2890</v>
      </c>
      <c r="J65" t="s">
        <v>1748</v>
      </c>
      <c r="K65" t="s">
        <v>2488</v>
      </c>
      <c r="L65">
        <v>223</v>
      </c>
      <c r="P65" t="s">
        <v>2494</v>
      </c>
      <c r="Q65">
        <v>1992</v>
      </c>
      <c r="R65">
        <v>1992</v>
      </c>
      <c r="S65" s="1">
        <v>45906</v>
      </c>
      <c r="T65" s="1">
        <v>45898</v>
      </c>
      <c r="U65" t="s">
        <v>16</v>
      </c>
    </row>
    <row r="66" spans="1:21" x14ac:dyDescent="0.25">
      <c r="A66">
        <v>65</v>
      </c>
      <c r="B66">
        <v>6112238</v>
      </c>
      <c r="C66" t="s">
        <v>2986</v>
      </c>
      <c r="D66" t="s">
        <v>193</v>
      </c>
      <c r="E66" t="s">
        <v>174</v>
      </c>
      <c r="F66" t="s">
        <v>175</v>
      </c>
      <c r="G66" t="s">
        <v>2528</v>
      </c>
      <c r="H66" t="s">
        <v>2987</v>
      </c>
      <c r="I66" s="5" t="s">
        <v>2917</v>
      </c>
      <c r="J66" t="s">
        <v>2492</v>
      </c>
      <c r="K66" t="s">
        <v>112</v>
      </c>
      <c r="L66">
        <v>489</v>
      </c>
      <c r="M66">
        <v>0.61736111111111114</v>
      </c>
      <c r="N66">
        <v>14.816666666666666</v>
      </c>
      <c r="O66" t="s">
        <v>3909</v>
      </c>
      <c r="P66" t="s">
        <v>2486</v>
      </c>
      <c r="Q66">
        <v>2024</v>
      </c>
      <c r="R66">
        <v>1999</v>
      </c>
      <c r="S66" s="1">
        <v>45906</v>
      </c>
      <c r="T66" s="1">
        <v>45898</v>
      </c>
      <c r="U66" t="s">
        <v>16</v>
      </c>
    </row>
    <row r="67" spans="1:21" x14ac:dyDescent="0.25">
      <c r="A67">
        <v>66</v>
      </c>
      <c r="B67">
        <v>52294875</v>
      </c>
      <c r="C67" t="s">
        <v>194</v>
      </c>
      <c r="D67" t="s">
        <v>17</v>
      </c>
      <c r="E67" t="s">
        <v>195</v>
      </c>
      <c r="F67" t="s">
        <v>196</v>
      </c>
      <c r="G67" t="s">
        <v>195</v>
      </c>
      <c r="H67" t="s">
        <v>2988</v>
      </c>
      <c r="I67" s="5" t="s">
        <v>2890</v>
      </c>
      <c r="J67" t="s">
        <v>1687</v>
      </c>
      <c r="K67" t="s">
        <v>112</v>
      </c>
      <c r="L67">
        <v>328</v>
      </c>
      <c r="M67">
        <v>0.30625000000000002</v>
      </c>
      <c r="N67">
        <v>7.3500000000000005</v>
      </c>
      <c r="O67" t="s">
        <v>3910</v>
      </c>
      <c r="P67" t="s">
        <v>2486</v>
      </c>
      <c r="Q67">
        <v>2019</v>
      </c>
      <c r="R67">
        <v>2019</v>
      </c>
      <c r="S67" s="1">
        <v>45890</v>
      </c>
      <c r="T67" s="1">
        <v>45898</v>
      </c>
      <c r="U67" t="s">
        <v>16</v>
      </c>
    </row>
    <row r="68" spans="1:21" x14ac:dyDescent="0.25">
      <c r="A68">
        <v>67</v>
      </c>
      <c r="B68">
        <v>11371788</v>
      </c>
      <c r="C68" t="s">
        <v>2989</v>
      </c>
      <c r="D68" t="s">
        <v>200</v>
      </c>
      <c r="E68" t="s">
        <v>39</v>
      </c>
      <c r="F68" t="s">
        <v>120</v>
      </c>
      <c r="H68" t="s">
        <v>2990</v>
      </c>
      <c r="I68" s="5" t="s">
        <v>2890</v>
      </c>
      <c r="J68" t="s">
        <v>1668</v>
      </c>
      <c r="K68" t="s">
        <v>2488</v>
      </c>
      <c r="L68">
        <v>472</v>
      </c>
      <c r="P68" t="s">
        <v>2494</v>
      </c>
      <c r="Q68">
        <v>2009</v>
      </c>
      <c r="R68">
        <v>2006</v>
      </c>
      <c r="S68" s="1">
        <v>45885</v>
      </c>
      <c r="T68" s="1">
        <v>45873</v>
      </c>
      <c r="U68" t="s">
        <v>16</v>
      </c>
    </row>
    <row r="69" spans="1:21" x14ac:dyDescent="0.25">
      <c r="A69">
        <v>68</v>
      </c>
      <c r="B69">
        <v>208955216</v>
      </c>
      <c r="C69" t="s">
        <v>2991</v>
      </c>
      <c r="D69" t="s">
        <v>202</v>
      </c>
      <c r="E69" t="s">
        <v>203</v>
      </c>
      <c r="F69" t="s">
        <v>204</v>
      </c>
      <c r="G69" t="s">
        <v>2529</v>
      </c>
      <c r="H69" t="s">
        <v>2992</v>
      </c>
      <c r="I69" s="5" t="s">
        <v>2890</v>
      </c>
      <c r="J69" t="s">
        <v>1753</v>
      </c>
      <c r="K69" t="s">
        <v>112</v>
      </c>
      <c r="L69">
        <v>336</v>
      </c>
      <c r="M69">
        <v>0.43472222222222223</v>
      </c>
      <c r="N69">
        <v>10.433333333333334</v>
      </c>
      <c r="O69" t="s">
        <v>3911</v>
      </c>
      <c r="P69" t="s">
        <v>2486</v>
      </c>
      <c r="Q69">
        <v>2024</v>
      </c>
      <c r="R69">
        <v>2024</v>
      </c>
      <c r="S69" s="1">
        <v>45883</v>
      </c>
      <c r="T69" s="1">
        <v>45883</v>
      </c>
      <c r="U69" t="s">
        <v>16</v>
      </c>
    </row>
    <row r="70" spans="1:21" x14ac:dyDescent="0.25">
      <c r="A70">
        <v>69</v>
      </c>
      <c r="B70">
        <v>232434909</v>
      </c>
      <c r="C70" t="s">
        <v>2993</v>
      </c>
      <c r="D70" t="s">
        <v>206</v>
      </c>
      <c r="E70" t="s">
        <v>207</v>
      </c>
      <c r="F70" t="s">
        <v>208</v>
      </c>
      <c r="H70" t="s">
        <v>2994</v>
      </c>
      <c r="I70" s="5" t="s">
        <v>2901</v>
      </c>
      <c r="J70" t="s">
        <v>1755</v>
      </c>
      <c r="K70" t="s">
        <v>2488</v>
      </c>
      <c r="L70">
        <v>408</v>
      </c>
      <c r="P70" t="s">
        <v>2494</v>
      </c>
      <c r="Q70">
        <v>2025</v>
      </c>
      <c r="R70">
        <v>2024</v>
      </c>
      <c r="S70" s="1">
        <v>45881</v>
      </c>
      <c r="T70" s="1">
        <v>45858</v>
      </c>
      <c r="U70" t="s">
        <v>16</v>
      </c>
    </row>
    <row r="71" spans="1:21" x14ac:dyDescent="0.25">
      <c r="A71">
        <v>70</v>
      </c>
      <c r="B71">
        <v>237619820</v>
      </c>
      <c r="C71" t="s">
        <v>209</v>
      </c>
      <c r="D71" t="s">
        <v>17</v>
      </c>
      <c r="E71" t="s">
        <v>210</v>
      </c>
      <c r="F71" t="s">
        <v>211</v>
      </c>
      <c r="G71" t="s">
        <v>2530</v>
      </c>
      <c r="H71" t="s">
        <v>2995</v>
      </c>
      <c r="I71" s="5" t="s">
        <v>2917</v>
      </c>
      <c r="J71" t="s">
        <v>1725</v>
      </c>
      <c r="K71" t="s">
        <v>112</v>
      </c>
      <c r="L71">
        <v>320</v>
      </c>
      <c r="M71">
        <v>0.46180555555555558</v>
      </c>
      <c r="N71">
        <v>11.083333333333334</v>
      </c>
      <c r="O71" t="s">
        <v>3912</v>
      </c>
      <c r="P71" t="s">
        <v>2486</v>
      </c>
      <c r="Q71">
        <v>2025</v>
      </c>
      <c r="R71">
        <v>2024</v>
      </c>
      <c r="S71" s="1">
        <v>45877</v>
      </c>
      <c r="T71" s="1">
        <v>45875</v>
      </c>
      <c r="U71" t="s">
        <v>16</v>
      </c>
    </row>
    <row r="72" spans="1:21" x14ac:dyDescent="0.25">
      <c r="A72">
        <v>71</v>
      </c>
      <c r="B72">
        <v>11371765</v>
      </c>
      <c r="C72" t="s">
        <v>2996</v>
      </c>
      <c r="D72" t="s">
        <v>213</v>
      </c>
      <c r="E72" t="s">
        <v>39</v>
      </c>
      <c r="F72" t="s">
        <v>120</v>
      </c>
      <c r="H72" t="s">
        <v>2997</v>
      </c>
      <c r="I72" s="5" t="s">
        <v>2933</v>
      </c>
      <c r="J72" t="s">
        <v>1668</v>
      </c>
      <c r="K72" t="s">
        <v>2488</v>
      </c>
      <c r="L72">
        <v>424</v>
      </c>
      <c r="P72" t="s">
        <v>2494</v>
      </c>
      <c r="Q72">
        <v>2008</v>
      </c>
      <c r="R72">
        <v>2005</v>
      </c>
      <c r="S72" s="1">
        <v>45872</v>
      </c>
      <c r="T72" s="1">
        <v>45866</v>
      </c>
      <c r="U72" t="s">
        <v>16</v>
      </c>
    </row>
    <row r="73" spans="1:21" x14ac:dyDescent="0.25">
      <c r="A73">
        <v>72</v>
      </c>
      <c r="B73">
        <v>236032828</v>
      </c>
      <c r="C73" t="s">
        <v>214</v>
      </c>
      <c r="D73" t="s">
        <v>2533</v>
      </c>
      <c r="E73" t="s">
        <v>215</v>
      </c>
      <c r="F73" t="s">
        <v>216</v>
      </c>
      <c r="G73" t="s">
        <v>2531</v>
      </c>
      <c r="H73" t="s">
        <v>2998</v>
      </c>
      <c r="I73" s="5" t="s">
        <v>2890</v>
      </c>
      <c r="J73" t="s">
        <v>2532</v>
      </c>
      <c r="K73" t="s">
        <v>112</v>
      </c>
      <c r="L73">
        <v>296</v>
      </c>
      <c r="M73">
        <v>0.44097222222222221</v>
      </c>
      <c r="N73">
        <v>10.583333333333332</v>
      </c>
      <c r="O73" t="s">
        <v>3913</v>
      </c>
      <c r="P73" t="s">
        <v>2494</v>
      </c>
      <c r="Q73">
        <v>2025</v>
      </c>
      <c r="R73">
        <v>2025</v>
      </c>
      <c r="S73" s="1">
        <v>45872</v>
      </c>
      <c r="T73" s="1">
        <v>45868</v>
      </c>
      <c r="U73" t="s">
        <v>16</v>
      </c>
    </row>
    <row r="74" spans="1:21" x14ac:dyDescent="0.25">
      <c r="A74">
        <v>73</v>
      </c>
      <c r="B74">
        <v>221238183</v>
      </c>
      <c r="C74" t="s">
        <v>217</v>
      </c>
      <c r="D74" t="s">
        <v>2534</v>
      </c>
      <c r="E74" t="s">
        <v>215</v>
      </c>
      <c r="F74" t="s">
        <v>216</v>
      </c>
      <c r="G74" t="s">
        <v>2531</v>
      </c>
      <c r="H74" t="s">
        <v>2999</v>
      </c>
      <c r="I74" s="5" t="s">
        <v>2901</v>
      </c>
      <c r="J74" t="s">
        <v>2532</v>
      </c>
      <c r="K74" t="s">
        <v>112</v>
      </c>
      <c r="L74">
        <v>304</v>
      </c>
      <c r="M74">
        <v>0.49027777777777776</v>
      </c>
      <c r="N74">
        <v>11.766666666666666</v>
      </c>
      <c r="O74" t="s">
        <v>3914</v>
      </c>
      <c r="P74" t="s">
        <v>2494</v>
      </c>
      <c r="Q74">
        <v>2024</v>
      </c>
      <c r="R74">
        <v>2024</v>
      </c>
      <c r="S74" s="1">
        <v>45868</v>
      </c>
      <c r="T74" s="1">
        <v>45866</v>
      </c>
      <c r="U74" t="s">
        <v>16</v>
      </c>
    </row>
    <row r="75" spans="1:21" x14ac:dyDescent="0.25">
      <c r="A75">
        <v>74</v>
      </c>
      <c r="B75">
        <v>229109083</v>
      </c>
      <c r="C75" t="s">
        <v>3000</v>
      </c>
      <c r="D75" t="s">
        <v>219</v>
      </c>
      <c r="E75" t="s">
        <v>220</v>
      </c>
      <c r="F75" t="s">
        <v>221</v>
      </c>
      <c r="H75" t="s">
        <v>3001</v>
      </c>
      <c r="I75" s="5" t="s">
        <v>2890</v>
      </c>
      <c r="J75" t="s">
        <v>1762</v>
      </c>
      <c r="K75" t="s">
        <v>57</v>
      </c>
      <c r="L75">
        <v>632</v>
      </c>
      <c r="P75" t="s">
        <v>2486</v>
      </c>
      <c r="Q75">
        <v>2025</v>
      </c>
      <c r="R75">
        <v>2025</v>
      </c>
      <c r="S75" s="1">
        <v>45865</v>
      </c>
      <c r="T75" s="1">
        <v>45836</v>
      </c>
      <c r="U75" t="s">
        <v>16</v>
      </c>
    </row>
    <row r="76" spans="1:21" x14ac:dyDescent="0.25">
      <c r="A76">
        <v>75</v>
      </c>
      <c r="B76">
        <v>214417127</v>
      </c>
      <c r="C76" t="s">
        <v>222</v>
      </c>
      <c r="D76" t="s">
        <v>2535</v>
      </c>
      <c r="E76" t="s">
        <v>215</v>
      </c>
      <c r="F76" t="s">
        <v>216</v>
      </c>
      <c r="G76" t="s">
        <v>2531</v>
      </c>
      <c r="H76" t="s">
        <v>3002</v>
      </c>
      <c r="I76" s="5" t="s">
        <v>2890</v>
      </c>
      <c r="J76" t="s">
        <v>2532</v>
      </c>
      <c r="K76" t="s">
        <v>112</v>
      </c>
      <c r="L76">
        <v>304</v>
      </c>
      <c r="M76">
        <v>0.47916666666666669</v>
      </c>
      <c r="N76">
        <v>11.5</v>
      </c>
      <c r="O76" t="s">
        <v>3915</v>
      </c>
      <c r="P76" t="s">
        <v>2494</v>
      </c>
      <c r="Q76">
        <v>2024</v>
      </c>
      <c r="R76">
        <v>2024</v>
      </c>
      <c r="S76" s="1">
        <v>45864</v>
      </c>
      <c r="T76" s="1">
        <v>45864</v>
      </c>
      <c r="U76" t="s">
        <v>16</v>
      </c>
    </row>
    <row r="77" spans="1:21" x14ac:dyDescent="0.25">
      <c r="A77">
        <v>76</v>
      </c>
      <c r="B77">
        <v>221941436</v>
      </c>
      <c r="C77" t="s">
        <v>223</v>
      </c>
      <c r="D77" t="s">
        <v>17</v>
      </c>
      <c r="E77" t="s">
        <v>224</v>
      </c>
      <c r="F77" t="s">
        <v>225</v>
      </c>
      <c r="G77" t="s">
        <v>2536</v>
      </c>
      <c r="H77" t="s">
        <v>3003</v>
      </c>
      <c r="I77" s="5" t="s">
        <v>2890</v>
      </c>
      <c r="J77" t="s">
        <v>2532</v>
      </c>
      <c r="K77" t="s">
        <v>112</v>
      </c>
      <c r="L77">
        <v>327</v>
      </c>
      <c r="M77">
        <v>0.42569444444444443</v>
      </c>
      <c r="N77">
        <v>10.216666666666667</v>
      </c>
      <c r="O77" t="s">
        <v>3916</v>
      </c>
      <c r="P77" t="s">
        <v>2494</v>
      </c>
      <c r="Q77">
        <v>2024</v>
      </c>
      <c r="R77">
        <v>2024</v>
      </c>
      <c r="S77" s="1">
        <v>45862</v>
      </c>
      <c r="T77" s="1">
        <v>45858</v>
      </c>
      <c r="U77" t="s">
        <v>16</v>
      </c>
    </row>
    <row r="78" spans="1:21" x14ac:dyDescent="0.25">
      <c r="A78">
        <v>77</v>
      </c>
      <c r="B78">
        <v>6838685</v>
      </c>
      <c r="C78" t="s">
        <v>3004</v>
      </c>
      <c r="D78" t="s">
        <v>227</v>
      </c>
      <c r="E78" t="s">
        <v>174</v>
      </c>
      <c r="F78" t="s">
        <v>175</v>
      </c>
      <c r="G78" t="s">
        <v>2537</v>
      </c>
      <c r="H78" t="s">
        <v>3005</v>
      </c>
      <c r="I78" s="5" t="s">
        <v>3006</v>
      </c>
      <c r="J78" t="s">
        <v>2492</v>
      </c>
      <c r="K78" t="s">
        <v>112</v>
      </c>
      <c r="L78">
        <v>448</v>
      </c>
      <c r="M78">
        <v>0.60486111111111107</v>
      </c>
      <c r="N78">
        <v>14.516666666666666</v>
      </c>
      <c r="O78" t="s">
        <v>3917</v>
      </c>
      <c r="P78" t="s">
        <v>2486</v>
      </c>
      <c r="Q78">
        <v>2023</v>
      </c>
      <c r="R78">
        <v>1994</v>
      </c>
      <c r="S78" s="1">
        <v>45862</v>
      </c>
      <c r="T78" s="1">
        <v>45860</v>
      </c>
      <c r="U78" t="s">
        <v>16</v>
      </c>
    </row>
    <row r="79" spans="1:21" x14ac:dyDescent="0.25">
      <c r="A79">
        <v>78</v>
      </c>
      <c r="B79">
        <v>223375389</v>
      </c>
      <c r="C79" t="s">
        <v>230</v>
      </c>
      <c r="D79" t="s">
        <v>17</v>
      </c>
      <c r="E79" t="s">
        <v>231</v>
      </c>
      <c r="F79" t="s">
        <v>232</v>
      </c>
      <c r="G79" t="s">
        <v>2538</v>
      </c>
      <c r="H79" t="s">
        <v>3007</v>
      </c>
      <c r="I79" s="5" t="s">
        <v>2901</v>
      </c>
      <c r="J79" t="s">
        <v>2539</v>
      </c>
      <c r="K79" t="s">
        <v>112</v>
      </c>
      <c r="L79">
        <v>400</v>
      </c>
      <c r="M79">
        <v>0.58194444444444449</v>
      </c>
      <c r="N79">
        <v>13.966666666666669</v>
      </c>
      <c r="O79" t="s">
        <v>3918</v>
      </c>
      <c r="P79" t="s">
        <v>2494</v>
      </c>
      <c r="Q79">
        <v>2025</v>
      </c>
      <c r="R79">
        <v>2023</v>
      </c>
      <c r="S79" s="1">
        <v>45856</v>
      </c>
      <c r="T79" s="1">
        <v>45853</v>
      </c>
      <c r="U79" t="s">
        <v>16</v>
      </c>
    </row>
    <row r="80" spans="1:21" x14ac:dyDescent="0.25">
      <c r="A80">
        <v>79</v>
      </c>
      <c r="B80">
        <v>203688006</v>
      </c>
      <c r="C80" t="s">
        <v>233</v>
      </c>
      <c r="D80" t="s">
        <v>2540</v>
      </c>
      <c r="E80" t="s">
        <v>215</v>
      </c>
      <c r="F80" t="s">
        <v>216</v>
      </c>
      <c r="G80" t="s">
        <v>2531</v>
      </c>
      <c r="H80" t="s">
        <v>3008</v>
      </c>
      <c r="I80" s="5" t="s">
        <v>2901</v>
      </c>
      <c r="J80" t="s">
        <v>2532</v>
      </c>
      <c r="K80" t="s">
        <v>112</v>
      </c>
      <c r="L80">
        <v>344</v>
      </c>
      <c r="M80">
        <v>0.58194444444444449</v>
      </c>
      <c r="N80">
        <v>13.966666666666669</v>
      </c>
      <c r="O80" t="s">
        <v>3918</v>
      </c>
      <c r="P80" t="s">
        <v>2494</v>
      </c>
      <c r="Q80">
        <v>2023</v>
      </c>
      <c r="R80">
        <v>2023</v>
      </c>
      <c r="S80" s="1">
        <v>45853</v>
      </c>
      <c r="T80" s="1">
        <v>45853</v>
      </c>
      <c r="U80" t="s">
        <v>16</v>
      </c>
    </row>
    <row r="81" spans="1:21" x14ac:dyDescent="0.25">
      <c r="A81">
        <v>80</v>
      </c>
      <c r="B81">
        <v>25837168</v>
      </c>
      <c r="C81" t="s">
        <v>3009</v>
      </c>
      <c r="D81" t="s">
        <v>235</v>
      </c>
      <c r="E81" t="s">
        <v>127</v>
      </c>
      <c r="F81" t="s">
        <v>128</v>
      </c>
      <c r="H81" t="s">
        <v>3010</v>
      </c>
      <c r="I81" s="5" t="s">
        <v>2890</v>
      </c>
      <c r="J81" t="s">
        <v>1759</v>
      </c>
      <c r="K81" t="s">
        <v>57</v>
      </c>
      <c r="L81">
        <v>392</v>
      </c>
      <c r="P81" t="s">
        <v>2486</v>
      </c>
      <c r="Q81">
        <v>2015</v>
      </c>
      <c r="R81">
        <v>2013</v>
      </c>
      <c r="S81" s="1">
        <v>45851</v>
      </c>
      <c r="T81" s="1">
        <v>45748</v>
      </c>
      <c r="U81" t="s">
        <v>16</v>
      </c>
    </row>
    <row r="82" spans="1:21" x14ac:dyDescent="0.25">
      <c r="A82">
        <v>81</v>
      </c>
      <c r="B82">
        <v>219776771</v>
      </c>
      <c r="C82" t="s">
        <v>236</v>
      </c>
      <c r="D82" t="s">
        <v>17</v>
      </c>
      <c r="E82" t="s">
        <v>237</v>
      </c>
      <c r="F82" t="s">
        <v>238</v>
      </c>
      <c r="G82" t="s">
        <v>2541</v>
      </c>
      <c r="H82" t="s">
        <v>3011</v>
      </c>
      <c r="I82" s="5" t="s">
        <v>2917</v>
      </c>
      <c r="J82" t="s">
        <v>2492</v>
      </c>
      <c r="K82" t="s">
        <v>112</v>
      </c>
      <c r="L82">
        <v>480</v>
      </c>
      <c r="M82">
        <v>0.52013888888888893</v>
      </c>
      <c r="N82">
        <v>12.483333333333334</v>
      </c>
      <c r="O82" t="s">
        <v>3919</v>
      </c>
      <c r="P82" t="s">
        <v>2486</v>
      </c>
      <c r="Q82">
        <v>2024</v>
      </c>
      <c r="R82">
        <v>2024</v>
      </c>
      <c r="S82" s="1">
        <v>45849</v>
      </c>
      <c r="T82" s="1">
        <v>45848</v>
      </c>
      <c r="U82" t="s">
        <v>16</v>
      </c>
    </row>
    <row r="83" spans="1:21" x14ac:dyDescent="0.25">
      <c r="A83">
        <v>82</v>
      </c>
      <c r="B83">
        <v>218275842</v>
      </c>
      <c r="C83" t="s">
        <v>3012</v>
      </c>
      <c r="D83" t="s">
        <v>240</v>
      </c>
      <c r="E83" t="s">
        <v>241</v>
      </c>
      <c r="F83" t="s">
        <v>242</v>
      </c>
      <c r="H83" t="s">
        <v>3013</v>
      </c>
      <c r="I83" s="5" t="s">
        <v>2933</v>
      </c>
      <c r="J83" t="s">
        <v>1770</v>
      </c>
      <c r="K83" t="s">
        <v>57</v>
      </c>
      <c r="L83">
        <v>1000</v>
      </c>
      <c r="P83" t="s">
        <v>2486</v>
      </c>
      <c r="Q83">
        <v>2024</v>
      </c>
      <c r="R83">
        <v>2023</v>
      </c>
      <c r="S83" s="1">
        <v>45849</v>
      </c>
      <c r="T83" s="1">
        <v>45836</v>
      </c>
      <c r="U83" t="s">
        <v>16</v>
      </c>
    </row>
    <row r="84" spans="1:21" x14ac:dyDescent="0.25">
      <c r="A84">
        <v>83</v>
      </c>
      <c r="B84">
        <v>181313396</v>
      </c>
      <c r="C84" t="s">
        <v>243</v>
      </c>
      <c r="D84" t="s">
        <v>2542</v>
      </c>
      <c r="E84" t="s">
        <v>215</v>
      </c>
      <c r="F84" t="s">
        <v>216</v>
      </c>
      <c r="G84" t="s">
        <v>2531</v>
      </c>
      <c r="H84" t="s">
        <v>3014</v>
      </c>
      <c r="I84" s="5" t="s">
        <v>2901</v>
      </c>
      <c r="J84" t="s">
        <v>2532</v>
      </c>
      <c r="K84" t="s">
        <v>112</v>
      </c>
      <c r="L84">
        <v>272</v>
      </c>
      <c r="M84">
        <v>0.45208333333333334</v>
      </c>
      <c r="N84">
        <v>10.85</v>
      </c>
      <c r="O84" t="s">
        <v>3920</v>
      </c>
      <c r="P84" t="s">
        <v>2494</v>
      </c>
      <c r="Q84">
        <v>2023</v>
      </c>
      <c r="R84">
        <v>2023</v>
      </c>
      <c r="S84" s="1">
        <v>45849</v>
      </c>
      <c r="T84" s="1">
        <v>45848</v>
      </c>
      <c r="U84" t="s">
        <v>16</v>
      </c>
    </row>
    <row r="85" spans="1:21" x14ac:dyDescent="0.25">
      <c r="A85">
        <v>84</v>
      </c>
      <c r="B85">
        <v>56053683</v>
      </c>
      <c r="C85" t="s">
        <v>3015</v>
      </c>
      <c r="D85" t="s">
        <v>245</v>
      </c>
      <c r="E85" t="s">
        <v>163</v>
      </c>
      <c r="F85" t="s">
        <v>164</v>
      </c>
      <c r="G85" t="s">
        <v>2524</v>
      </c>
      <c r="H85" t="s">
        <v>3016</v>
      </c>
      <c r="I85" s="5" t="s">
        <v>2901</v>
      </c>
      <c r="J85" t="s">
        <v>2525</v>
      </c>
      <c r="K85" t="s">
        <v>112</v>
      </c>
      <c r="L85">
        <v>544</v>
      </c>
      <c r="M85">
        <v>1.0972222222222223</v>
      </c>
      <c r="N85">
        <v>26.333333333333336</v>
      </c>
      <c r="O85" t="s">
        <v>3921</v>
      </c>
      <c r="P85" t="s">
        <v>2494</v>
      </c>
      <c r="Q85">
        <v>2024</v>
      </c>
      <c r="R85">
        <v>2018</v>
      </c>
      <c r="S85" s="1">
        <v>45848</v>
      </c>
      <c r="T85" s="1">
        <v>45844</v>
      </c>
      <c r="U85" t="s">
        <v>16</v>
      </c>
    </row>
    <row r="86" spans="1:21" x14ac:dyDescent="0.25">
      <c r="A86">
        <v>85</v>
      </c>
      <c r="B86">
        <v>54802268</v>
      </c>
      <c r="C86" t="s">
        <v>3017</v>
      </c>
      <c r="D86" t="s">
        <v>247</v>
      </c>
      <c r="E86" t="s">
        <v>163</v>
      </c>
      <c r="F86" t="s">
        <v>164</v>
      </c>
      <c r="G86" t="s">
        <v>2524</v>
      </c>
      <c r="H86" t="s">
        <v>3018</v>
      </c>
      <c r="I86" s="5" t="s">
        <v>2901</v>
      </c>
      <c r="J86" t="s">
        <v>2525</v>
      </c>
      <c r="K86" t="s">
        <v>112</v>
      </c>
      <c r="L86">
        <v>496</v>
      </c>
      <c r="M86">
        <v>0.94930555555555551</v>
      </c>
      <c r="N86">
        <v>22.783333333333331</v>
      </c>
      <c r="O86" t="s">
        <v>3922</v>
      </c>
      <c r="P86" t="s">
        <v>2494</v>
      </c>
      <c r="Q86">
        <v>2023</v>
      </c>
      <c r="R86">
        <v>2017</v>
      </c>
      <c r="S86" s="1">
        <v>45843</v>
      </c>
      <c r="T86" s="1">
        <v>45827</v>
      </c>
      <c r="U86" t="s">
        <v>16</v>
      </c>
    </row>
    <row r="87" spans="1:21" x14ac:dyDescent="0.25">
      <c r="A87">
        <v>86</v>
      </c>
      <c r="B87">
        <v>32283133</v>
      </c>
      <c r="C87" t="s">
        <v>2543</v>
      </c>
      <c r="D87" t="s">
        <v>248</v>
      </c>
      <c r="E87" t="s">
        <v>125</v>
      </c>
      <c r="F87" t="s">
        <v>126</v>
      </c>
      <c r="H87" t="s">
        <v>3019</v>
      </c>
      <c r="I87" s="5" t="s">
        <v>2901</v>
      </c>
      <c r="J87" t="s">
        <v>1668</v>
      </c>
      <c r="K87" t="s">
        <v>2488</v>
      </c>
      <c r="L87">
        <v>528</v>
      </c>
      <c r="P87" t="s">
        <v>2494</v>
      </c>
      <c r="Q87">
        <v>2017</v>
      </c>
      <c r="R87">
        <v>2017</v>
      </c>
      <c r="S87" s="1">
        <v>45020</v>
      </c>
      <c r="T87" s="1">
        <v>45735</v>
      </c>
      <c r="U87" t="s">
        <v>16</v>
      </c>
    </row>
    <row r="88" spans="1:21" x14ac:dyDescent="0.25">
      <c r="A88">
        <v>87</v>
      </c>
      <c r="B88">
        <v>41949647</v>
      </c>
      <c r="C88" t="s">
        <v>249</v>
      </c>
      <c r="D88" t="s">
        <v>17</v>
      </c>
      <c r="E88" t="s">
        <v>250</v>
      </c>
      <c r="F88" t="s">
        <v>251</v>
      </c>
      <c r="H88" t="s">
        <v>3020</v>
      </c>
      <c r="I88" s="5" t="s">
        <v>2901</v>
      </c>
      <c r="J88" t="s">
        <v>1668</v>
      </c>
      <c r="K88" t="s">
        <v>2488</v>
      </c>
      <c r="L88">
        <v>368</v>
      </c>
      <c r="P88" t="s">
        <v>2494</v>
      </c>
      <c r="Q88">
        <v>2018</v>
      </c>
      <c r="R88">
        <v>2017</v>
      </c>
      <c r="S88" s="1">
        <v>45837</v>
      </c>
      <c r="T88" s="1">
        <v>45830</v>
      </c>
      <c r="U88" t="s">
        <v>16</v>
      </c>
    </row>
    <row r="89" spans="1:21" x14ac:dyDescent="0.25">
      <c r="A89">
        <v>88</v>
      </c>
      <c r="B89">
        <v>52957731</v>
      </c>
      <c r="C89" t="s">
        <v>3021</v>
      </c>
      <c r="D89" t="s">
        <v>253</v>
      </c>
      <c r="E89" t="s">
        <v>163</v>
      </c>
      <c r="F89" t="s">
        <v>164</v>
      </c>
      <c r="G89" t="s">
        <v>2524</v>
      </c>
      <c r="H89" t="s">
        <v>3022</v>
      </c>
      <c r="I89" s="5" t="s">
        <v>2901</v>
      </c>
      <c r="J89" t="s">
        <v>2525</v>
      </c>
      <c r="K89" t="s">
        <v>112</v>
      </c>
      <c r="L89">
        <v>492</v>
      </c>
      <c r="M89">
        <v>0.92500000000000004</v>
      </c>
      <c r="N89">
        <v>22.200000000000003</v>
      </c>
      <c r="O89" t="s">
        <v>3923</v>
      </c>
      <c r="P89" t="s">
        <v>2494</v>
      </c>
      <c r="Q89">
        <v>2022</v>
      </c>
      <c r="R89">
        <v>2016</v>
      </c>
      <c r="S89" s="1">
        <v>45832</v>
      </c>
      <c r="T89" s="1">
        <v>45827</v>
      </c>
      <c r="U89" t="s">
        <v>16</v>
      </c>
    </row>
    <row r="90" spans="1:21" x14ac:dyDescent="0.25">
      <c r="A90">
        <v>89</v>
      </c>
      <c r="B90">
        <v>32855534</v>
      </c>
      <c r="C90" t="s">
        <v>254</v>
      </c>
      <c r="D90" t="s">
        <v>17</v>
      </c>
      <c r="E90" t="s">
        <v>255</v>
      </c>
      <c r="F90" t="s">
        <v>256</v>
      </c>
      <c r="H90" t="s">
        <v>3023</v>
      </c>
      <c r="I90" s="5" t="s">
        <v>2890</v>
      </c>
      <c r="J90" t="s">
        <v>1777</v>
      </c>
      <c r="K90" t="s">
        <v>2488</v>
      </c>
      <c r="L90">
        <v>352</v>
      </c>
      <c r="P90" t="s">
        <v>2486</v>
      </c>
      <c r="Q90">
        <v>2012</v>
      </c>
      <c r="R90">
        <v>1995</v>
      </c>
      <c r="S90" s="1">
        <v>45828</v>
      </c>
      <c r="T90" s="1">
        <v>45825</v>
      </c>
      <c r="U90" t="s">
        <v>16</v>
      </c>
    </row>
    <row r="91" spans="1:21" x14ac:dyDescent="0.25">
      <c r="A91">
        <v>90</v>
      </c>
      <c r="B91">
        <v>52308182</v>
      </c>
      <c r="C91" t="s">
        <v>3024</v>
      </c>
      <c r="D91" t="s">
        <v>258</v>
      </c>
      <c r="E91" t="s">
        <v>163</v>
      </c>
      <c r="F91" t="s">
        <v>164</v>
      </c>
      <c r="G91" t="s">
        <v>2524</v>
      </c>
      <c r="H91" t="s">
        <v>3025</v>
      </c>
      <c r="I91" s="5" t="s">
        <v>2901</v>
      </c>
      <c r="J91" t="s">
        <v>2525</v>
      </c>
      <c r="K91" t="s">
        <v>112</v>
      </c>
      <c r="L91">
        <v>500</v>
      </c>
      <c r="M91">
        <v>0.89583333333333337</v>
      </c>
      <c r="N91">
        <v>21.5</v>
      </c>
      <c r="O91" t="s">
        <v>3924</v>
      </c>
      <c r="P91" t="s">
        <v>2494</v>
      </c>
      <c r="Q91">
        <v>2019</v>
      </c>
      <c r="R91">
        <v>2015</v>
      </c>
      <c r="S91" s="1">
        <v>45827</v>
      </c>
      <c r="T91" s="1">
        <v>45820</v>
      </c>
      <c r="U91" t="s">
        <v>16</v>
      </c>
    </row>
    <row r="92" spans="1:21" x14ac:dyDescent="0.25">
      <c r="A92">
        <v>91</v>
      </c>
      <c r="B92">
        <v>221130838</v>
      </c>
      <c r="C92" t="s">
        <v>3026</v>
      </c>
      <c r="D92" t="s">
        <v>260</v>
      </c>
      <c r="E92" t="s">
        <v>261</v>
      </c>
      <c r="F92" t="s">
        <v>262</v>
      </c>
      <c r="H92" t="s">
        <v>3027</v>
      </c>
      <c r="I92" s="5" t="s">
        <v>2901</v>
      </c>
      <c r="J92" t="s">
        <v>1780</v>
      </c>
      <c r="K92" t="s">
        <v>57</v>
      </c>
      <c r="L92">
        <v>416</v>
      </c>
      <c r="P92" t="s">
        <v>2494</v>
      </c>
      <c r="Q92">
        <v>2024</v>
      </c>
      <c r="R92">
        <v>2018</v>
      </c>
      <c r="S92" s="1">
        <v>45825</v>
      </c>
      <c r="T92" s="1">
        <v>45823</v>
      </c>
      <c r="U92" t="s">
        <v>16</v>
      </c>
    </row>
    <row r="93" spans="1:21" x14ac:dyDescent="0.25">
      <c r="A93">
        <v>92</v>
      </c>
      <c r="B93">
        <v>51944995</v>
      </c>
      <c r="C93" t="s">
        <v>3028</v>
      </c>
      <c r="D93" t="s">
        <v>264</v>
      </c>
      <c r="E93" t="s">
        <v>163</v>
      </c>
      <c r="F93" t="s">
        <v>164</v>
      </c>
      <c r="G93" t="s">
        <v>2524</v>
      </c>
      <c r="H93" t="s">
        <v>3029</v>
      </c>
      <c r="I93" s="5" t="s">
        <v>2933</v>
      </c>
      <c r="J93" t="s">
        <v>2525</v>
      </c>
      <c r="K93" t="s">
        <v>112</v>
      </c>
      <c r="L93">
        <v>436</v>
      </c>
      <c r="M93">
        <v>0.79791666666666672</v>
      </c>
      <c r="N93">
        <v>19.150000000000002</v>
      </c>
      <c r="O93" t="s">
        <v>3925</v>
      </c>
      <c r="P93" t="s">
        <v>2494</v>
      </c>
      <c r="Q93">
        <v>2019</v>
      </c>
      <c r="R93">
        <v>2014</v>
      </c>
      <c r="S93" s="1">
        <v>45822</v>
      </c>
      <c r="T93" s="1">
        <v>45817</v>
      </c>
      <c r="U93" t="s">
        <v>16</v>
      </c>
    </row>
    <row r="94" spans="1:21" x14ac:dyDescent="0.25">
      <c r="A94">
        <v>93</v>
      </c>
      <c r="B94">
        <v>123206298</v>
      </c>
      <c r="C94" t="s">
        <v>3030</v>
      </c>
      <c r="D94" t="s">
        <v>268</v>
      </c>
      <c r="E94" t="s">
        <v>269</v>
      </c>
      <c r="F94" t="s">
        <v>270</v>
      </c>
      <c r="G94" t="s">
        <v>2544</v>
      </c>
      <c r="H94" t="s">
        <v>3031</v>
      </c>
      <c r="I94" s="5" t="s">
        <v>2890</v>
      </c>
      <c r="J94" t="s">
        <v>2545</v>
      </c>
      <c r="K94" t="s">
        <v>112</v>
      </c>
      <c r="L94">
        <v>688</v>
      </c>
      <c r="M94">
        <v>1.0263888888888888</v>
      </c>
      <c r="N94">
        <v>24.633333333333333</v>
      </c>
      <c r="O94" t="s">
        <v>3926</v>
      </c>
      <c r="P94" t="s">
        <v>2486</v>
      </c>
      <c r="Q94">
        <v>2023</v>
      </c>
      <c r="R94">
        <v>2023</v>
      </c>
      <c r="S94" s="1">
        <v>45820</v>
      </c>
      <c r="T94" s="1">
        <v>45810</v>
      </c>
      <c r="U94" t="s">
        <v>16</v>
      </c>
    </row>
    <row r="95" spans="1:21" x14ac:dyDescent="0.25">
      <c r="A95">
        <v>94</v>
      </c>
      <c r="B95">
        <v>5896223</v>
      </c>
      <c r="C95" t="s">
        <v>2546</v>
      </c>
      <c r="D95" t="s">
        <v>2547</v>
      </c>
      <c r="E95" t="s">
        <v>174</v>
      </c>
      <c r="F95" t="s">
        <v>175</v>
      </c>
      <c r="G95" t="s">
        <v>2548</v>
      </c>
      <c r="H95" t="s">
        <v>3032</v>
      </c>
      <c r="I95" s="5" t="s">
        <v>2917</v>
      </c>
      <c r="J95" t="s">
        <v>2492</v>
      </c>
      <c r="K95" t="s">
        <v>112</v>
      </c>
      <c r="L95">
        <v>280</v>
      </c>
      <c r="M95">
        <v>0.5493055555555556</v>
      </c>
      <c r="N95">
        <v>13.183333333333334</v>
      </c>
      <c r="O95" t="s">
        <v>3927</v>
      </c>
      <c r="P95" t="s">
        <v>2486</v>
      </c>
      <c r="Q95">
        <v>2003</v>
      </c>
      <c r="R95">
        <v>1995</v>
      </c>
      <c r="S95" s="1">
        <v>45800</v>
      </c>
      <c r="T95" s="1">
        <v>45784</v>
      </c>
      <c r="U95" t="s">
        <v>16</v>
      </c>
    </row>
    <row r="96" spans="1:21" x14ac:dyDescent="0.25">
      <c r="A96">
        <v>95</v>
      </c>
      <c r="B96">
        <v>57287122</v>
      </c>
      <c r="C96" t="s">
        <v>3033</v>
      </c>
      <c r="D96" t="s">
        <v>272</v>
      </c>
      <c r="E96" t="s">
        <v>203</v>
      </c>
      <c r="F96" t="s">
        <v>204</v>
      </c>
      <c r="G96" t="s">
        <v>2529</v>
      </c>
      <c r="H96" t="s">
        <v>3034</v>
      </c>
      <c r="I96" s="5" t="s">
        <v>2890</v>
      </c>
      <c r="J96" t="s">
        <v>1753</v>
      </c>
      <c r="K96" t="s">
        <v>112</v>
      </c>
      <c r="L96">
        <v>328</v>
      </c>
      <c r="M96">
        <v>0.4548611111111111</v>
      </c>
      <c r="N96">
        <v>10.916666666666666</v>
      </c>
      <c r="O96" t="s">
        <v>3928</v>
      </c>
      <c r="P96" t="s">
        <v>2486</v>
      </c>
      <c r="Q96">
        <v>2024</v>
      </c>
      <c r="R96">
        <v>2020</v>
      </c>
      <c r="S96" s="1">
        <v>45784</v>
      </c>
      <c r="T96" s="1">
        <v>45782</v>
      </c>
      <c r="U96" t="s">
        <v>16</v>
      </c>
    </row>
    <row r="97" spans="1:21" x14ac:dyDescent="0.25">
      <c r="A97">
        <v>96</v>
      </c>
      <c r="B97">
        <v>6838672</v>
      </c>
      <c r="C97" t="s">
        <v>3035</v>
      </c>
      <c r="D97" t="s">
        <v>274</v>
      </c>
      <c r="E97" t="s">
        <v>174</v>
      </c>
      <c r="F97" t="s">
        <v>175</v>
      </c>
      <c r="G97" t="s">
        <v>2528</v>
      </c>
      <c r="H97" t="s">
        <v>3036</v>
      </c>
      <c r="I97" s="5" t="s">
        <v>2890</v>
      </c>
      <c r="J97" t="s">
        <v>2492</v>
      </c>
      <c r="K97" t="s">
        <v>112</v>
      </c>
      <c r="L97">
        <v>430</v>
      </c>
      <c r="M97">
        <v>0.59583333333333333</v>
      </c>
      <c r="N97">
        <v>14.3</v>
      </c>
      <c r="O97" t="s">
        <v>3929</v>
      </c>
      <c r="P97" t="s">
        <v>2486</v>
      </c>
      <c r="Q97">
        <v>2019</v>
      </c>
      <c r="R97">
        <v>1993</v>
      </c>
      <c r="S97" s="1">
        <v>45781</v>
      </c>
      <c r="T97" s="1">
        <v>45780</v>
      </c>
      <c r="U97" t="s">
        <v>16</v>
      </c>
    </row>
    <row r="98" spans="1:21" x14ac:dyDescent="0.25">
      <c r="A98">
        <v>97</v>
      </c>
      <c r="B98">
        <v>40060160</v>
      </c>
      <c r="C98" t="s">
        <v>275</v>
      </c>
      <c r="D98" t="s">
        <v>17</v>
      </c>
      <c r="E98" t="s">
        <v>276</v>
      </c>
      <c r="F98" t="s">
        <v>277</v>
      </c>
      <c r="H98" t="s">
        <v>3037</v>
      </c>
      <c r="I98" s="5" t="s">
        <v>2890</v>
      </c>
      <c r="J98" t="s">
        <v>1668</v>
      </c>
      <c r="K98" t="s">
        <v>2488</v>
      </c>
      <c r="L98">
        <v>304</v>
      </c>
      <c r="P98" t="s">
        <v>2494</v>
      </c>
      <c r="Q98">
        <v>2018</v>
      </c>
      <c r="R98">
        <v>2018</v>
      </c>
      <c r="S98" s="1">
        <v>45780</v>
      </c>
      <c r="T98" s="1">
        <v>45774</v>
      </c>
      <c r="U98" t="s">
        <v>16</v>
      </c>
    </row>
    <row r="99" spans="1:21" x14ac:dyDescent="0.25">
      <c r="A99">
        <v>98</v>
      </c>
      <c r="B99">
        <v>54282843</v>
      </c>
      <c r="C99" t="s">
        <v>3038</v>
      </c>
      <c r="D99" t="s">
        <v>279</v>
      </c>
      <c r="E99" t="s">
        <v>280</v>
      </c>
      <c r="F99" t="s">
        <v>281</v>
      </c>
      <c r="G99" t="s">
        <v>2549</v>
      </c>
      <c r="H99" t="s">
        <v>3039</v>
      </c>
      <c r="I99" s="5" t="s">
        <v>2890</v>
      </c>
      <c r="J99" t="s">
        <v>2492</v>
      </c>
      <c r="K99" t="s">
        <v>112</v>
      </c>
      <c r="L99">
        <v>40</v>
      </c>
      <c r="M99">
        <v>5.6250000000000001E-2</v>
      </c>
      <c r="N99">
        <v>1.35</v>
      </c>
      <c r="O99" t="s">
        <v>3930</v>
      </c>
      <c r="P99" t="s">
        <v>2486</v>
      </c>
      <c r="Q99">
        <v>2022</v>
      </c>
      <c r="R99">
        <v>2010</v>
      </c>
      <c r="S99" s="1">
        <v>45780</v>
      </c>
      <c r="T99" s="1">
        <v>45780</v>
      </c>
      <c r="U99" t="s">
        <v>16</v>
      </c>
    </row>
    <row r="100" spans="1:21" x14ac:dyDescent="0.25">
      <c r="A100">
        <v>99</v>
      </c>
      <c r="B100">
        <v>53287344</v>
      </c>
      <c r="C100" t="s">
        <v>3040</v>
      </c>
      <c r="D100" t="s">
        <v>283</v>
      </c>
      <c r="E100" t="s">
        <v>203</v>
      </c>
      <c r="F100" t="s">
        <v>204</v>
      </c>
      <c r="G100" t="s">
        <v>2529</v>
      </c>
      <c r="H100" t="s">
        <v>3041</v>
      </c>
      <c r="I100" s="5" t="s">
        <v>2901</v>
      </c>
      <c r="J100" t="s">
        <v>1753</v>
      </c>
      <c r="K100" t="s">
        <v>112</v>
      </c>
      <c r="L100">
        <v>360</v>
      </c>
      <c r="M100">
        <v>0.48888888888888887</v>
      </c>
      <c r="N100">
        <v>11.733333333333333</v>
      </c>
      <c r="O100" t="s">
        <v>3931</v>
      </c>
      <c r="P100" t="s">
        <v>2486</v>
      </c>
      <c r="Q100">
        <v>2024</v>
      </c>
      <c r="R100">
        <v>2019</v>
      </c>
      <c r="S100" s="1">
        <v>45780</v>
      </c>
      <c r="T100" s="1">
        <v>45766</v>
      </c>
      <c r="U100" t="s">
        <v>16</v>
      </c>
    </row>
    <row r="101" spans="1:21" x14ac:dyDescent="0.25">
      <c r="A101">
        <v>100</v>
      </c>
      <c r="B101">
        <v>215173424</v>
      </c>
      <c r="C101" t="s">
        <v>3042</v>
      </c>
      <c r="D101" t="s">
        <v>285</v>
      </c>
      <c r="E101" t="s">
        <v>220</v>
      </c>
      <c r="F101" t="s">
        <v>221</v>
      </c>
      <c r="H101" t="s">
        <v>3043</v>
      </c>
      <c r="I101" s="5" t="s">
        <v>2901</v>
      </c>
      <c r="J101" t="s">
        <v>1789</v>
      </c>
      <c r="K101" t="s">
        <v>2488</v>
      </c>
      <c r="L101">
        <v>784</v>
      </c>
      <c r="P101" t="s">
        <v>2494</v>
      </c>
      <c r="Q101">
        <v>2024</v>
      </c>
      <c r="R101">
        <v>2023</v>
      </c>
      <c r="S101" s="1">
        <v>45773</v>
      </c>
      <c r="T101" s="1">
        <v>45759</v>
      </c>
      <c r="U101" t="s">
        <v>16</v>
      </c>
    </row>
    <row r="102" spans="1:21" x14ac:dyDescent="0.25">
      <c r="A102">
        <v>101</v>
      </c>
      <c r="B102">
        <v>171841186</v>
      </c>
      <c r="C102" t="s">
        <v>286</v>
      </c>
      <c r="D102" t="s">
        <v>17</v>
      </c>
      <c r="E102" t="s">
        <v>287</v>
      </c>
      <c r="F102" t="s">
        <v>288</v>
      </c>
      <c r="G102" t="s">
        <v>2550</v>
      </c>
      <c r="H102" t="s">
        <v>3044</v>
      </c>
      <c r="I102" s="5" t="s">
        <v>2901</v>
      </c>
      <c r="J102" t="s">
        <v>2492</v>
      </c>
      <c r="K102" t="s">
        <v>112</v>
      </c>
      <c r="L102">
        <v>724</v>
      </c>
      <c r="M102">
        <v>1.0347222222222223</v>
      </c>
      <c r="N102">
        <v>24.833333333333336</v>
      </c>
      <c r="O102" t="s">
        <v>3932</v>
      </c>
      <c r="P102" t="s">
        <v>2486</v>
      </c>
      <c r="Q102">
        <v>2023</v>
      </c>
      <c r="R102">
        <v>2022</v>
      </c>
      <c r="S102" s="1">
        <v>45772</v>
      </c>
      <c r="T102" s="1">
        <v>45767</v>
      </c>
      <c r="U102" t="s">
        <v>16</v>
      </c>
    </row>
    <row r="103" spans="1:21" x14ac:dyDescent="0.25">
      <c r="A103">
        <v>102</v>
      </c>
      <c r="B103">
        <v>123848434</v>
      </c>
      <c r="C103" t="s">
        <v>289</v>
      </c>
      <c r="D103" t="s">
        <v>17</v>
      </c>
      <c r="E103" t="s">
        <v>290</v>
      </c>
      <c r="F103" t="s">
        <v>291</v>
      </c>
      <c r="G103" t="s">
        <v>2551</v>
      </c>
      <c r="H103" t="s">
        <v>3045</v>
      </c>
      <c r="I103" s="5" t="s">
        <v>2917</v>
      </c>
      <c r="J103" t="s">
        <v>2545</v>
      </c>
      <c r="K103" t="s">
        <v>112</v>
      </c>
      <c r="L103">
        <v>232</v>
      </c>
      <c r="M103">
        <v>0.44930555555555557</v>
      </c>
      <c r="N103">
        <v>10.783333333333333</v>
      </c>
      <c r="O103" t="s">
        <v>3933</v>
      </c>
      <c r="P103" t="s">
        <v>2486</v>
      </c>
      <c r="Q103">
        <v>2024</v>
      </c>
      <c r="R103">
        <v>2023</v>
      </c>
      <c r="S103" s="1">
        <v>45760</v>
      </c>
      <c r="T103" s="1">
        <v>45759</v>
      </c>
      <c r="U103" t="s">
        <v>16</v>
      </c>
    </row>
    <row r="104" spans="1:21" x14ac:dyDescent="0.25">
      <c r="A104">
        <v>103</v>
      </c>
      <c r="B104">
        <v>202376351</v>
      </c>
      <c r="C104" t="s">
        <v>292</v>
      </c>
      <c r="D104" t="s">
        <v>17</v>
      </c>
      <c r="E104" t="s">
        <v>149</v>
      </c>
      <c r="F104" t="s">
        <v>150</v>
      </c>
      <c r="G104" t="s">
        <v>2552</v>
      </c>
      <c r="H104" t="s">
        <v>3046</v>
      </c>
      <c r="I104" s="5" t="s">
        <v>2890</v>
      </c>
      <c r="J104" t="s">
        <v>2553</v>
      </c>
      <c r="K104" t="s">
        <v>112</v>
      </c>
      <c r="L104">
        <v>304</v>
      </c>
      <c r="M104">
        <v>0.36944444444444446</v>
      </c>
      <c r="N104">
        <v>8.8666666666666671</v>
      </c>
      <c r="O104" t="s">
        <v>3879</v>
      </c>
      <c r="P104" t="s">
        <v>2494</v>
      </c>
      <c r="Q104">
        <v>2024</v>
      </c>
      <c r="R104">
        <v>2022</v>
      </c>
      <c r="S104" s="1">
        <v>45758</v>
      </c>
      <c r="T104" s="1">
        <v>45757</v>
      </c>
      <c r="U104" t="s">
        <v>16</v>
      </c>
    </row>
    <row r="105" spans="1:21" x14ac:dyDescent="0.25">
      <c r="A105">
        <v>104</v>
      </c>
      <c r="B105">
        <v>198656760</v>
      </c>
      <c r="C105" t="s">
        <v>3047</v>
      </c>
      <c r="D105" t="s">
        <v>294</v>
      </c>
      <c r="E105" t="s">
        <v>149</v>
      </c>
      <c r="F105" t="s">
        <v>150</v>
      </c>
      <c r="G105" t="s">
        <v>2554</v>
      </c>
      <c r="H105" t="s">
        <v>3048</v>
      </c>
      <c r="I105" s="5" t="s">
        <v>2901</v>
      </c>
      <c r="J105" t="s">
        <v>2499</v>
      </c>
      <c r="K105" t="s">
        <v>112</v>
      </c>
      <c r="L105">
        <v>304</v>
      </c>
      <c r="M105">
        <v>0.46111111111111114</v>
      </c>
      <c r="N105">
        <v>11.066666666666666</v>
      </c>
      <c r="O105" t="s">
        <v>3934</v>
      </c>
      <c r="P105" t="s">
        <v>2486</v>
      </c>
      <c r="Q105">
        <v>2024</v>
      </c>
      <c r="R105">
        <v>2022</v>
      </c>
      <c r="S105" s="1">
        <v>45757</v>
      </c>
      <c r="T105" s="1">
        <v>45756</v>
      </c>
      <c r="U105" t="s">
        <v>16</v>
      </c>
    </row>
    <row r="106" spans="1:21" x14ac:dyDescent="0.25">
      <c r="A106">
        <v>105</v>
      </c>
      <c r="B106">
        <v>201856416</v>
      </c>
      <c r="C106" t="s">
        <v>3049</v>
      </c>
      <c r="D106" t="s">
        <v>296</v>
      </c>
      <c r="E106" t="s">
        <v>220</v>
      </c>
      <c r="F106" t="s">
        <v>221</v>
      </c>
      <c r="H106" t="s">
        <v>3050</v>
      </c>
      <c r="I106" s="5" t="s">
        <v>2901</v>
      </c>
      <c r="J106" t="s">
        <v>1668</v>
      </c>
      <c r="K106" t="s">
        <v>2488</v>
      </c>
      <c r="L106">
        <v>544</v>
      </c>
      <c r="P106" t="s">
        <v>2494</v>
      </c>
      <c r="Q106">
        <v>2023</v>
      </c>
      <c r="R106">
        <v>2023</v>
      </c>
      <c r="S106" s="1">
        <v>45756</v>
      </c>
      <c r="T106" s="1">
        <v>45737</v>
      </c>
      <c r="U106" t="s">
        <v>16</v>
      </c>
    </row>
    <row r="107" spans="1:21" x14ac:dyDescent="0.25">
      <c r="A107">
        <v>106</v>
      </c>
      <c r="B107">
        <v>16160999</v>
      </c>
      <c r="C107" t="s">
        <v>297</v>
      </c>
      <c r="D107" t="s">
        <v>17</v>
      </c>
      <c r="E107" t="s">
        <v>298</v>
      </c>
      <c r="F107" t="s">
        <v>299</v>
      </c>
      <c r="G107" t="s">
        <v>2555</v>
      </c>
      <c r="H107" t="s">
        <v>3051</v>
      </c>
      <c r="I107" s="5" t="s">
        <v>3006</v>
      </c>
      <c r="J107" t="s">
        <v>1687</v>
      </c>
      <c r="K107" t="s">
        <v>112</v>
      </c>
      <c r="L107">
        <v>544</v>
      </c>
      <c r="M107">
        <v>0.84722222222222221</v>
      </c>
      <c r="N107">
        <v>20.333333333333332</v>
      </c>
      <c r="O107" t="s">
        <v>3935</v>
      </c>
      <c r="P107" t="s">
        <v>2486</v>
      </c>
      <c r="Q107">
        <v>2019</v>
      </c>
      <c r="R107">
        <v>2011</v>
      </c>
      <c r="S107" s="1">
        <v>45752</v>
      </c>
      <c r="T107" s="1">
        <v>45742</v>
      </c>
      <c r="U107" t="s">
        <v>16</v>
      </c>
    </row>
    <row r="108" spans="1:21" x14ac:dyDescent="0.25">
      <c r="A108">
        <v>107</v>
      </c>
      <c r="B108">
        <v>214448540</v>
      </c>
      <c r="C108" t="s">
        <v>3052</v>
      </c>
      <c r="D108" t="s">
        <v>301</v>
      </c>
      <c r="E108" t="s">
        <v>302</v>
      </c>
      <c r="F108" t="s">
        <v>303</v>
      </c>
      <c r="G108" t="s">
        <v>2556</v>
      </c>
      <c r="H108" t="s">
        <v>3053</v>
      </c>
      <c r="I108" s="5" t="s">
        <v>2890</v>
      </c>
      <c r="J108" t="s">
        <v>2499</v>
      </c>
      <c r="K108" t="s">
        <v>112</v>
      </c>
      <c r="L108">
        <v>616</v>
      </c>
      <c r="M108">
        <v>1.0152777777777777</v>
      </c>
      <c r="N108">
        <v>24.366666666666667</v>
      </c>
      <c r="O108" t="s">
        <v>3936</v>
      </c>
      <c r="P108" t="s">
        <v>2486</v>
      </c>
      <c r="Q108">
        <v>2024</v>
      </c>
      <c r="R108">
        <v>2023</v>
      </c>
      <c r="S108" s="1">
        <v>45745</v>
      </c>
      <c r="T108" s="1">
        <v>45731</v>
      </c>
      <c r="U108" t="s">
        <v>16</v>
      </c>
    </row>
    <row r="109" spans="1:21" x14ac:dyDescent="0.25">
      <c r="A109">
        <v>108</v>
      </c>
      <c r="B109">
        <v>838826</v>
      </c>
      <c r="C109" t="s">
        <v>2557</v>
      </c>
      <c r="D109" t="s">
        <v>17</v>
      </c>
      <c r="E109" t="s">
        <v>304</v>
      </c>
      <c r="F109" t="s">
        <v>305</v>
      </c>
      <c r="H109" t="s">
        <v>3054</v>
      </c>
      <c r="I109" s="5" t="s">
        <v>2890</v>
      </c>
      <c r="J109" t="s">
        <v>2558</v>
      </c>
      <c r="K109" t="s">
        <v>2488</v>
      </c>
      <c r="L109">
        <v>392</v>
      </c>
      <c r="P109" t="s">
        <v>2486</v>
      </c>
      <c r="Q109">
        <v>2004</v>
      </c>
      <c r="R109">
        <v>2003</v>
      </c>
      <c r="S109" s="1">
        <v>42902</v>
      </c>
      <c r="T109" s="1">
        <v>42850</v>
      </c>
      <c r="U109" t="s">
        <v>16</v>
      </c>
    </row>
    <row r="110" spans="1:21" x14ac:dyDescent="0.25">
      <c r="A110">
        <v>109</v>
      </c>
      <c r="B110">
        <v>25017458</v>
      </c>
      <c r="C110" t="s">
        <v>3055</v>
      </c>
      <c r="D110" t="s">
        <v>307</v>
      </c>
      <c r="E110" t="s">
        <v>127</v>
      </c>
      <c r="F110" t="s">
        <v>128</v>
      </c>
      <c r="H110" t="s">
        <v>3056</v>
      </c>
      <c r="I110" s="5" t="s">
        <v>2890</v>
      </c>
      <c r="J110" t="s">
        <v>1799</v>
      </c>
      <c r="K110" t="s">
        <v>57</v>
      </c>
      <c r="L110">
        <v>376</v>
      </c>
      <c r="P110" t="s">
        <v>2486</v>
      </c>
      <c r="Q110">
        <v>2015</v>
      </c>
      <c r="R110">
        <v>2012</v>
      </c>
      <c r="S110" s="1">
        <v>45743</v>
      </c>
      <c r="T110" s="1">
        <v>45677</v>
      </c>
      <c r="U110" t="s">
        <v>16</v>
      </c>
    </row>
    <row r="111" spans="1:21" x14ac:dyDescent="0.25">
      <c r="A111">
        <v>110</v>
      </c>
      <c r="B111">
        <v>197128050</v>
      </c>
      <c r="C111" t="s">
        <v>3057</v>
      </c>
      <c r="D111" t="s">
        <v>309</v>
      </c>
      <c r="E111" t="s">
        <v>27</v>
      </c>
      <c r="F111" t="s">
        <v>28</v>
      </c>
      <c r="H111" t="s">
        <v>3058</v>
      </c>
      <c r="I111" s="5" t="s">
        <v>2901</v>
      </c>
      <c r="J111" t="s">
        <v>1759</v>
      </c>
      <c r="K111" t="s">
        <v>2488</v>
      </c>
      <c r="L111">
        <v>432</v>
      </c>
      <c r="P111" t="s">
        <v>2494</v>
      </c>
      <c r="Q111">
        <v>2023</v>
      </c>
      <c r="R111">
        <v>2019</v>
      </c>
      <c r="S111" s="1">
        <v>45736</v>
      </c>
      <c r="T111" s="1">
        <v>45732</v>
      </c>
      <c r="U111" t="s">
        <v>16</v>
      </c>
    </row>
    <row r="112" spans="1:21" x14ac:dyDescent="0.25">
      <c r="A112">
        <v>111</v>
      </c>
      <c r="B112">
        <v>61473429</v>
      </c>
      <c r="C112" t="s">
        <v>3059</v>
      </c>
      <c r="D112" t="s">
        <v>311</v>
      </c>
      <c r="E112" t="s">
        <v>27</v>
      </c>
      <c r="F112" t="s">
        <v>28</v>
      </c>
      <c r="H112" t="s">
        <v>3060</v>
      </c>
      <c r="I112" s="5" t="s">
        <v>2901</v>
      </c>
      <c r="J112" t="s">
        <v>1759</v>
      </c>
      <c r="K112" t="s">
        <v>2488</v>
      </c>
      <c r="L112">
        <v>528</v>
      </c>
      <c r="P112" t="s">
        <v>2494</v>
      </c>
      <c r="Q112">
        <v>2022</v>
      </c>
      <c r="R112">
        <v>2018</v>
      </c>
      <c r="S112" s="1">
        <v>45732</v>
      </c>
      <c r="T112" s="1">
        <v>45726</v>
      </c>
      <c r="U112" t="s">
        <v>16</v>
      </c>
    </row>
    <row r="113" spans="1:21" x14ac:dyDescent="0.25">
      <c r="A113">
        <v>112</v>
      </c>
      <c r="B113">
        <v>58140538</v>
      </c>
      <c r="C113" t="s">
        <v>312</v>
      </c>
      <c r="D113" t="s">
        <v>2559</v>
      </c>
      <c r="E113" t="s">
        <v>302</v>
      </c>
      <c r="F113" t="s">
        <v>303</v>
      </c>
      <c r="G113" t="s">
        <v>2556</v>
      </c>
      <c r="H113" t="s">
        <v>3061</v>
      </c>
      <c r="I113" s="5" t="s">
        <v>2933</v>
      </c>
      <c r="J113" t="s">
        <v>2499</v>
      </c>
      <c r="K113" t="s">
        <v>112</v>
      </c>
      <c r="L113">
        <v>660</v>
      </c>
      <c r="M113">
        <v>1.1548611111111111</v>
      </c>
      <c r="N113">
        <v>27.716666666666669</v>
      </c>
      <c r="O113" t="s">
        <v>3937</v>
      </c>
      <c r="P113" t="s">
        <v>2486</v>
      </c>
      <c r="Q113">
        <v>2025</v>
      </c>
      <c r="R113">
        <v>2020</v>
      </c>
      <c r="S113" s="1">
        <v>45731</v>
      </c>
      <c r="T113" s="1">
        <v>45725</v>
      </c>
      <c r="U113" t="s">
        <v>16</v>
      </c>
    </row>
    <row r="114" spans="1:21" x14ac:dyDescent="0.25">
      <c r="A114">
        <v>113</v>
      </c>
      <c r="B114">
        <v>48731637</v>
      </c>
      <c r="C114" t="s">
        <v>3062</v>
      </c>
      <c r="D114" t="s">
        <v>314</v>
      </c>
      <c r="E114" t="s">
        <v>315</v>
      </c>
      <c r="F114" t="s">
        <v>316</v>
      </c>
      <c r="H114" t="s">
        <v>3063</v>
      </c>
      <c r="I114" s="5" t="s">
        <v>2901</v>
      </c>
      <c r="J114" t="s">
        <v>1780</v>
      </c>
      <c r="K114" t="s">
        <v>57</v>
      </c>
      <c r="L114">
        <v>368</v>
      </c>
      <c r="P114" t="s">
        <v>2486</v>
      </c>
      <c r="Q114">
        <v>2019</v>
      </c>
      <c r="R114">
        <v>2014</v>
      </c>
      <c r="S114" s="1">
        <v>45723</v>
      </c>
      <c r="T114" s="1">
        <v>45718</v>
      </c>
      <c r="U114" t="s">
        <v>16</v>
      </c>
    </row>
    <row r="115" spans="1:21" x14ac:dyDescent="0.25">
      <c r="A115">
        <v>114</v>
      </c>
      <c r="B115">
        <v>214189212</v>
      </c>
      <c r="C115" t="s">
        <v>317</v>
      </c>
      <c r="D115" t="s">
        <v>2560</v>
      </c>
      <c r="E115" t="s">
        <v>197</v>
      </c>
      <c r="F115" t="s">
        <v>198</v>
      </c>
      <c r="G115" t="s">
        <v>2561</v>
      </c>
      <c r="H115" t="s">
        <v>3064</v>
      </c>
      <c r="I115" s="5" t="s">
        <v>2917</v>
      </c>
      <c r="J115" t="s">
        <v>2492</v>
      </c>
      <c r="K115" t="s">
        <v>112</v>
      </c>
      <c r="L115">
        <v>399</v>
      </c>
      <c r="M115">
        <v>0.51875000000000004</v>
      </c>
      <c r="N115">
        <v>12.450000000000001</v>
      </c>
      <c r="O115" t="s">
        <v>3938</v>
      </c>
      <c r="P115" t="s">
        <v>2486</v>
      </c>
      <c r="Q115">
        <v>2024</v>
      </c>
      <c r="R115">
        <v>2022</v>
      </c>
      <c r="S115" s="1">
        <v>45722</v>
      </c>
      <c r="T115" s="1">
        <v>45711</v>
      </c>
      <c r="U115" t="s">
        <v>16</v>
      </c>
    </row>
    <row r="116" spans="1:21" x14ac:dyDescent="0.25">
      <c r="A116">
        <v>115</v>
      </c>
      <c r="B116">
        <v>223546129</v>
      </c>
      <c r="C116" t="s">
        <v>318</v>
      </c>
      <c r="D116" t="s">
        <v>17</v>
      </c>
      <c r="E116" t="s">
        <v>319</v>
      </c>
      <c r="F116" t="s">
        <v>320</v>
      </c>
      <c r="H116" t="s">
        <v>3065</v>
      </c>
      <c r="I116" s="5" t="s">
        <v>2890</v>
      </c>
      <c r="J116" t="s">
        <v>1759</v>
      </c>
      <c r="K116" t="s">
        <v>2488</v>
      </c>
      <c r="L116">
        <v>296</v>
      </c>
      <c r="P116" t="s">
        <v>2494</v>
      </c>
      <c r="Q116">
        <v>2024</v>
      </c>
      <c r="R116">
        <v>2018</v>
      </c>
      <c r="S116" s="1">
        <v>45716</v>
      </c>
      <c r="T116" s="1">
        <v>45714</v>
      </c>
      <c r="U116" t="s">
        <v>16</v>
      </c>
    </row>
    <row r="117" spans="1:21" x14ac:dyDescent="0.25">
      <c r="A117">
        <v>116</v>
      </c>
      <c r="B117">
        <v>222104861</v>
      </c>
      <c r="C117" t="s">
        <v>321</v>
      </c>
      <c r="D117" t="s">
        <v>17</v>
      </c>
      <c r="E117" t="s">
        <v>322</v>
      </c>
      <c r="F117" t="s">
        <v>323</v>
      </c>
      <c r="H117" t="s">
        <v>3066</v>
      </c>
      <c r="I117" s="5" t="s">
        <v>2901</v>
      </c>
      <c r="J117" t="s">
        <v>1730</v>
      </c>
      <c r="K117" t="s">
        <v>2488</v>
      </c>
      <c r="L117">
        <v>376</v>
      </c>
      <c r="P117" t="s">
        <v>2494</v>
      </c>
      <c r="Q117">
        <v>2024</v>
      </c>
      <c r="R117">
        <v>2024</v>
      </c>
      <c r="S117" s="1">
        <v>45712</v>
      </c>
      <c r="T117" s="1">
        <v>45711</v>
      </c>
      <c r="U117" t="s">
        <v>16</v>
      </c>
    </row>
    <row r="118" spans="1:21" x14ac:dyDescent="0.25">
      <c r="A118">
        <v>117</v>
      </c>
      <c r="B118">
        <v>63054226</v>
      </c>
      <c r="C118" t="s">
        <v>324</v>
      </c>
      <c r="D118" t="s">
        <v>17</v>
      </c>
      <c r="E118" t="s">
        <v>163</v>
      </c>
      <c r="F118" t="s">
        <v>164</v>
      </c>
      <c r="H118" t="s">
        <v>3067</v>
      </c>
      <c r="I118" s="5" t="s">
        <v>2901</v>
      </c>
      <c r="J118" t="s">
        <v>1723</v>
      </c>
      <c r="K118" t="s">
        <v>2488</v>
      </c>
      <c r="L118">
        <v>488</v>
      </c>
      <c r="P118" t="s">
        <v>2494</v>
      </c>
      <c r="Q118">
        <v>2022</v>
      </c>
      <c r="R118">
        <v>2013</v>
      </c>
      <c r="S118" s="1">
        <v>45708</v>
      </c>
      <c r="T118" s="1">
        <v>45703</v>
      </c>
      <c r="U118" t="s">
        <v>16</v>
      </c>
    </row>
    <row r="119" spans="1:21" x14ac:dyDescent="0.25">
      <c r="A119">
        <v>118</v>
      </c>
      <c r="B119">
        <v>30175251</v>
      </c>
      <c r="C119" t="s">
        <v>325</v>
      </c>
      <c r="D119" t="s">
        <v>17</v>
      </c>
      <c r="E119" t="s">
        <v>326</v>
      </c>
      <c r="F119" t="s">
        <v>327</v>
      </c>
      <c r="H119" t="s">
        <v>3068</v>
      </c>
      <c r="I119" s="5" t="s">
        <v>2901</v>
      </c>
      <c r="J119" t="s">
        <v>1809</v>
      </c>
      <c r="K119" t="s">
        <v>2488</v>
      </c>
      <c r="L119">
        <v>584</v>
      </c>
      <c r="P119" t="s">
        <v>2494</v>
      </c>
      <c r="Q119">
        <v>2016</v>
      </c>
      <c r="R119">
        <v>2013</v>
      </c>
      <c r="S119" s="1">
        <v>45702</v>
      </c>
      <c r="T119" s="1">
        <v>45697</v>
      </c>
      <c r="U119" t="s">
        <v>16</v>
      </c>
    </row>
    <row r="120" spans="1:21" x14ac:dyDescent="0.25">
      <c r="A120">
        <v>119</v>
      </c>
      <c r="B120">
        <v>18140158</v>
      </c>
      <c r="C120" t="s">
        <v>328</v>
      </c>
      <c r="D120" t="s">
        <v>17</v>
      </c>
      <c r="E120" t="s">
        <v>329</v>
      </c>
      <c r="F120" t="s">
        <v>330</v>
      </c>
      <c r="H120" t="s">
        <v>3069</v>
      </c>
      <c r="I120" s="5" t="s">
        <v>2901</v>
      </c>
      <c r="J120" t="s">
        <v>2492</v>
      </c>
      <c r="K120" t="s">
        <v>112</v>
      </c>
      <c r="L120">
        <v>396</v>
      </c>
      <c r="M120">
        <v>0.5444444444444444</v>
      </c>
      <c r="N120">
        <v>13.066666666666666</v>
      </c>
      <c r="O120" t="s">
        <v>3939</v>
      </c>
      <c r="P120" t="s">
        <v>2486</v>
      </c>
      <c r="Q120">
        <v>2019</v>
      </c>
      <c r="R120">
        <v>2013</v>
      </c>
      <c r="S120" s="1">
        <v>45702</v>
      </c>
      <c r="T120" s="1">
        <v>45699</v>
      </c>
      <c r="U120" t="s">
        <v>16</v>
      </c>
    </row>
    <row r="121" spans="1:21" x14ac:dyDescent="0.25">
      <c r="A121">
        <v>120</v>
      </c>
      <c r="B121">
        <v>56100387</v>
      </c>
      <c r="C121" t="s">
        <v>331</v>
      </c>
      <c r="D121" t="s">
        <v>17</v>
      </c>
      <c r="E121" t="s">
        <v>332</v>
      </c>
      <c r="F121" t="s">
        <v>333</v>
      </c>
      <c r="G121" t="s">
        <v>2562</v>
      </c>
      <c r="H121" t="s">
        <v>3070</v>
      </c>
      <c r="I121" s="5" t="s">
        <v>2901</v>
      </c>
      <c r="J121" t="s">
        <v>2525</v>
      </c>
      <c r="K121" t="s">
        <v>112</v>
      </c>
      <c r="L121">
        <v>304</v>
      </c>
      <c r="M121">
        <v>0.37638888888888888</v>
      </c>
      <c r="N121">
        <v>9.0333333333333332</v>
      </c>
      <c r="O121" t="s">
        <v>3940</v>
      </c>
      <c r="P121" t="s">
        <v>2494</v>
      </c>
      <c r="Q121">
        <v>2020</v>
      </c>
      <c r="R121">
        <v>2020</v>
      </c>
      <c r="S121" s="1">
        <v>45696</v>
      </c>
      <c r="T121" s="1">
        <v>45691</v>
      </c>
      <c r="U121" t="s">
        <v>16</v>
      </c>
    </row>
    <row r="122" spans="1:21" x14ac:dyDescent="0.25">
      <c r="A122">
        <v>121</v>
      </c>
      <c r="B122">
        <v>216642849</v>
      </c>
      <c r="C122" t="s">
        <v>334</v>
      </c>
      <c r="D122" t="s">
        <v>17</v>
      </c>
      <c r="E122" t="s">
        <v>335</v>
      </c>
      <c r="F122" t="s">
        <v>2563</v>
      </c>
      <c r="G122" t="s">
        <v>2564</v>
      </c>
      <c r="H122" t="s">
        <v>3071</v>
      </c>
      <c r="I122" s="5" t="s">
        <v>2917</v>
      </c>
      <c r="J122" t="s">
        <v>2565</v>
      </c>
      <c r="K122" t="s">
        <v>112</v>
      </c>
      <c r="L122">
        <v>264</v>
      </c>
      <c r="M122">
        <v>0.27361111111111114</v>
      </c>
      <c r="N122">
        <v>6.5666666666666673</v>
      </c>
      <c r="O122" t="s">
        <v>3941</v>
      </c>
      <c r="P122" t="s">
        <v>2494</v>
      </c>
      <c r="Q122">
        <v>2024</v>
      </c>
      <c r="R122">
        <v>2024</v>
      </c>
      <c r="S122" s="1">
        <v>45695</v>
      </c>
      <c r="T122" s="1">
        <v>45694</v>
      </c>
      <c r="U122" t="s">
        <v>16</v>
      </c>
    </row>
    <row r="123" spans="1:21" x14ac:dyDescent="0.25">
      <c r="A123">
        <v>122</v>
      </c>
      <c r="B123">
        <v>50251321</v>
      </c>
      <c r="C123" t="s">
        <v>336</v>
      </c>
      <c r="D123" t="s">
        <v>17</v>
      </c>
      <c r="E123" t="s">
        <v>337</v>
      </c>
      <c r="F123" t="s">
        <v>338</v>
      </c>
      <c r="G123" t="s">
        <v>2566</v>
      </c>
      <c r="H123" t="s">
        <v>3072</v>
      </c>
      <c r="I123" s="5" t="s">
        <v>2917</v>
      </c>
      <c r="J123" t="s">
        <v>2545</v>
      </c>
      <c r="K123" t="s">
        <v>112</v>
      </c>
      <c r="L123">
        <v>248</v>
      </c>
      <c r="M123">
        <v>0.24861111111111112</v>
      </c>
      <c r="N123">
        <v>5.9666666666666668</v>
      </c>
      <c r="O123" t="s">
        <v>3942</v>
      </c>
      <c r="P123" t="s">
        <v>2486</v>
      </c>
      <c r="Q123">
        <v>2020</v>
      </c>
      <c r="R123">
        <v>2020</v>
      </c>
      <c r="S123" s="1">
        <v>45694</v>
      </c>
      <c r="T123" s="1">
        <v>45694</v>
      </c>
      <c r="U123" t="s">
        <v>16</v>
      </c>
    </row>
    <row r="124" spans="1:21" x14ac:dyDescent="0.25">
      <c r="A124">
        <v>123</v>
      </c>
      <c r="B124">
        <v>43362928</v>
      </c>
      <c r="C124" t="s">
        <v>339</v>
      </c>
      <c r="D124" t="s">
        <v>17</v>
      </c>
      <c r="E124" t="s">
        <v>163</v>
      </c>
      <c r="F124" t="s">
        <v>164</v>
      </c>
      <c r="H124" t="s">
        <v>3073</v>
      </c>
      <c r="I124" s="5" t="s">
        <v>2901</v>
      </c>
      <c r="J124" t="s">
        <v>1816</v>
      </c>
      <c r="K124" t="s">
        <v>2488</v>
      </c>
      <c r="L124">
        <v>459</v>
      </c>
      <c r="P124" t="s">
        <v>2494</v>
      </c>
      <c r="Q124">
        <v>2018</v>
      </c>
      <c r="R124">
        <v>2016</v>
      </c>
      <c r="S124" s="1">
        <v>45691</v>
      </c>
      <c r="T124" s="1">
        <v>45689</v>
      </c>
      <c r="U124" t="s">
        <v>16</v>
      </c>
    </row>
    <row r="125" spans="1:21" x14ac:dyDescent="0.25">
      <c r="A125">
        <v>124</v>
      </c>
      <c r="B125">
        <v>57600275</v>
      </c>
      <c r="C125" t="s">
        <v>340</v>
      </c>
      <c r="D125" t="s">
        <v>17</v>
      </c>
      <c r="E125" t="s">
        <v>341</v>
      </c>
      <c r="F125" t="s">
        <v>342</v>
      </c>
      <c r="H125" t="s">
        <v>3074</v>
      </c>
      <c r="I125" s="5" t="s">
        <v>2901</v>
      </c>
      <c r="J125" t="s">
        <v>1770</v>
      </c>
      <c r="K125" t="s">
        <v>2488</v>
      </c>
      <c r="L125">
        <v>352</v>
      </c>
      <c r="P125" t="s">
        <v>2494</v>
      </c>
      <c r="Q125">
        <v>2021</v>
      </c>
      <c r="R125">
        <v>2019</v>
      </c>
      <c r="S125" s="1">
        <v>45684</v>
      </c>
      <c r="T125" s="1">
        <v>45677</v>
      </c>
      <c r="U125" t="s">
        <v>16</v>
      </c>
    </row>
    <row r="126" spans="1:21" x14ac:dyDescent="0.25">
      <c r="A126">
        <v>125</v>
      </c>
      <c r="B126">
        <v>199215534</v>
      </c>
      <c r="C126" t="s">
        <v>343</v>
      </c>
      <c r="D126" t="s">
        <v>17</v>
      </c>
      <c r="E126" t="s">
        <v>344</v>
      </c>
      <c r="F126" t="s">
        <v>345</v>
      </c>
      <c r="G126" t="s">
        <v>2567</v>
      </c>
      <c r="H126" t="s">
        <v>3075</v>
      </c>
      <c r="I126" s="5" t="s">
        <v>2917</v>
      </c>
      <c r="J126" t="s">
        <v>1725</v>
      </c>
      <c r="K126" t="s">
        <v>112</v>
      </c>
      <c r="L126">
        <v>245</v>
      </c>
      <c r="M126">
        <v>0.24236111111111111</v>
      </c>
      <c r="N126">
        <v>5.8166666666666664</v>
      </c>
      <c r="O126" t="s">
        <v>3943</v>
      </c>
      <c r="P126" t="s">
        <v>2486</v>
      </c>
      <c r="Q126">
        <v>2023</v>
      </c>
      <c r="R126">
        <v>2023</v>
      </c>
      <c r="S126" s="1">
        <v>45683</v>
      </c>
      <c r="T126" s="1">
        <v>45683</v>
      </c>
      <c r="U126" t="s">
        <v>16</v>
      </c>
    </row>
    <row r="127" spans="1:21" x14ac:dyDescent="0.25">
      <c r="A127">
        <v>126</v>
      </c>
      <c r="B127">
        <v>206322815</v>
      </c>
      <c r="C127" t="s">
        <v>3076</v>
      </c>
      <c r="D127" t="s">
        <v>347</v>
      </c>
      <c r="E127" t="s">
        <v>241</v>
      </c>
      <c r="F127" t="s">
        <v>242</v>
      </c>
      <c r="G127" t="s">
        <v>2568</v>
      </c>
      <c r="H127" t="s">
        <v>3077</v>
      </c>
      <c r="I127" s="5" t="s">
        <v>2890</v>
      </c>
      <c r="J127" t="s">
        <v>2545</v>
      </c>
      <c r="K127" t="s">
        <v>112</v>
      </c>
      <c r="L127">
        <v>1152</v>
      </c>
      <c r="M127">
        <v>1.9395833333333334</v>
      </c>
      <c r="N127">
        <v>46.550000000000004</v>
      </c>
      <c r="O127" t="s">
        <v>3944</v>
      </c>
      <c r="P127" t="s">
        <v>2486</v>
      </c>
      <c r="Q127">
        <v>2024</v>
      </c>
      <c r="R127">
        <v>2022</v>
      </c>
      <c r="S127" s="1">
        <v>45681</v>
      </c>
      <c r="T127" s="1">
        <v>45660</v>
      </c>
      <c r="U127" t="s">
        <v>16</v>
      </c>
    </row>
    <row r="128" spans="1:21" x14ac:dyDescent="0.25">
      <c r="A128">
        <v>127</v>
      </c>
      <c r="B128">
        <v>72417922</v>
      </c>
      <c r="C128" t="s">
        <v>348</v>
      </c>
      <c r="D128" t="s">
        <v>17</v>
      </c>
      <c r="E128" t="s">
        <v>349</v>
      </c>
      <c r="F128" t="s">
        <v>350</v>
      </c>
      <c r="H128" t="s">
        <v>3078</v>
      </c>
      <c r="I128" s="5" t="s">
        <v>2901</v>
      </c>
      <c r="J128" t="s">
        <v>1822</v>
      </c>
      <c r="K128" t="s">
        <v>2488</v>
      </c>
      <c r="L128">
        <v>360</v>
      </c>
      <c r="P128" t="s">
        <v>2494</v>
      </c>
      <c r="Q128">
        <v>2022</v>
      </c>
      <c r="R128">
        <v>2007</v>
      </c>
      <c r="S128" s="1">
        <v>45681</v>
      </c>
      <c r="T128" s="1">
        <v>45678</v>
      </c>
      <c r="U128" t="s">
        <v>16</v>
      </c>
    </row>
    <row r="129" spans="1:21" x14ac:dyDescent="0.25">
      <c r="A129">
        <v>128</v>
      </c>
      <c r="B129">
        <v>40691871</v>
      </c>
      <c r="C129" t="s">
        <v>351</v>
      </c>
      <c r="D129" t="s">
        <v>17</v>
      </c>
      <c r="E129" t="s">
        <v>352</v>
      </c>
      <c r="F129" t="s">
        <v>353</v>
      </c>
      <c r="H129" t="s">
        <v>3079</v>
      </c>
      <c r="I129" s="5" t="s">
        <v>2901</v>
      </c>
      <c r="J129" t="s">
        <v>1668</v>
      </c>
      <c r="K129" t="s">
        <v>2488</v>
      </c>
      <c r="L129">
        <v>280</v>
      </c>
      <c r="P129" t="s">
        <v>2494</v>
      </c>
      <c r="Q129">
        <v>2018</v>
      </c>
      <c r="R129">
        <v>2018</v>
      </c>
      <c r="S129" s="1">
        <v>45634</v>
      </c>
      <c r="T129" s="1">
        <v>45627</v>
      </c>
      <c r="U129" t="s">
        <v>16</v>
      </c>
    </row>
    <row r="130" spans="1:21" x14ac:dyDescent="0.25">
      <c r="A130">
        <v>129</v>
      </c>
      <c r="B130">
        <v>199134543</v>
      </c>
      <c r="C130" t="s">
        <v>354</v>
      </c>
      <c r="D130" t="s">
        <v>17</v>
      </c>
      <c r="E130" t="s">
        <v>62</v>
      </c>
      <c r="F130" t="s">
        <v>63</v>
      </c>
      <c r="H130" t="s">
        <v>3080</v>
      </c>
      <c r="I130" s="5" t="s">
        <v>2890</v>
      </c>
      <c r="J130" t="s">
        <v>1668</v>
      </c>
      <c r="K130" t="s">
        <v>2488</v>
      </c>
      <c r="L130">
        <v>464</v>
      </c>
      <c r="P130" t="s">
        <v>2494</v>
      </c>
      <c r="Q130">
        <v>2023</v>
      </c>
      <c r="R130">
        <v>2023</v>
      </c>
      <c r="S130" s="1">
        <v>45674</v>
      </c>
      <c r="T130" s="1">
        <v>45672</v>
      </c>
      <c r="U130" t="s">
        <v>16</v>
      </c>
    </row>
    <row r="131" spans="1:21" x14ac:dyDescent="0.25">
      <c r="A131">
        <v>130</v>
      </c>
      <c r="B131">
        <v>40493858</v>
      </c>
      <c r="C131" t="s">
        <v>355</v>
      </c>
      <c r="D131" t="s">
        <v>17</v>
      </c>
      <c r="E131" t="s">
        <v>356</v>
      </c>
      <c r="F131" t="s">
        <v>357</v>
      </c>
      <c r="H131" t="s">
        <v>3081</v>
      </c>
      <c r="I131" s="5" t="s">
        <v>2901</v>
      </c>
      <c r="J131" t="s">
        <v>1668</v>
      </c>
      <c r="K131" t="s">
        <v>2488</v>
      </c>
      <c r="L131">
        <v>320</v>
      </c>
      <c r="P131" t="s">
        <v>2494</v>
      </c>
      <c r="Q131">
        <v>2018</v>
      </c>
      <c r="R131">
        <v>2015</v>
      </c>
      <c r="S131" s="1">
        <v>45667</v>
      </c>
      <c r="T131" s="1">
        <v>45663</v>
      </c>
      <c r="U131" t="s">
        <v>16</v>
      </c>
    </row>
    <row r="132" spans="1:21" x14ac:dyDescent="0.25">
      <c r="A132">
        <v>131</v>
      </c>
      <c r="B132">
        <v>169757740</v>
      </c>
      <c r="C132" t="s">
        <v>358</v>
      </c>
      <c r="D132" t="s">
        <v>17</v>
      </c>
      <c r="E132" t="s">
        <v>359</v>
      </c>
      <c r="F132" t="s">
        <v>360</v>
      </c>
      <c r="G132" t="s">
        <v>2518</v>
      </c>
      <c r="H132" t="s">
        <v>3082</v>
      </c>
      <c r="I132" s="5" t="s">
        <v>2917</v>
      </c>
      <c r="J132" t="s">
        <v>2519</v>
      </c>
      <c r="K132" t="s">
        <v>112</v>
      </c>
      <c r="L132">
        <v>288</v>
      </c>
      <c r="M132">
        <v>0.29375000000000001</v>
      </c>
      <c r="N132">
        <v>7.0500000000000007</v>
      </c>
      <c r="O132" t="s">
        <v>3945</v>
      </c>
      <c r="P132" t="s">
        <v>2494</v>
      </c>
      <c r="Q132">
        <v>2023</v>
      </c>
      <c r="R132">
        <v>2023</v>
      </c>
      <c r="S132" s="1">
        <v>45660</v>
      </c>
      <c r="T132" s="1">
        <v>45658</v>
      </c>
      <c r="U132" t="s">
        <v>16</v>
      </c>
    </row>
    <row r="133" spans="1:21" x14ac:dyDescent="0.25">
      <c r="A133">
        <v>132</v>
      </c>
      <c r="B133">
        <v>58340727</v>
      </c>
      <c r="C133" t="s">
        <v>2569</v>
      </c>
      <c r="D133" t="s">
        <v>17</v>
      </c>
      <c r="E133" t="s">
        <v>361</v>
      </c>
      <c r="F133" t="s">
        <v>362</v>
      </c>
      <c r="H133" t="s">
        <v>3083</v>
      </c>
      <c r="I133" s="5" t="s">
        <v>2890</v>
      </c>
      <c r="J133" t="s">
        <v>1828</v>
      </c>
      <c r="K133" t="s">
        <v>57</v>
      </c>
      <c r="L133">
        <v>375</v>
      </c>
      <c r="P133" t="s">
        <v>2486</v>
      </c>
      <c r="Q133">
        <v>2022</v>
      </c>
      <c r="R133">
        <v>2022</v>
      </c>
      <c r="S133" s="1">
        <v>45658</v>
      </c>
      <c r="T133" s="1">
        <v>45638</v>
      </c>
      <c r="U133" t="s">
        <v>16</v>
      </c>
    </row>
    <row r="134" spans="1:21" x14ac:dyDescent="0.25">
      <c r="A134">
        <v>133</v>
      </c>
      <c r="B134">
        <v>36286765</v>
      </c>
      <c r="C134" t="s">
        <v>363</v>
      </c>
      <c r="D134" t="s">
        <v>17</v>
      </c>
      <c r="E134" t="s">
        <v>364</v>
      </c>
      <c r="F134" t="s">
        <v>365</v>
      </c>
      <c r="H134" t="s">
        <v>3084</v>
      </c>
      <c r="I134" s="5" t="s">
        <v>2890</v>
      </c>
      <c r="J134" t="s">
        <v>1829</v>
      </c>
      <c r="K134" t="s">
        <v>57</v>
      </c>
      <c r="L134">
        <v>140</v>
      </c>
      <c r="P134" t="s">
        <v>2486</v>
      </c>
      <c r="Q134">
        <v>2017</v>
      </c>
      <c r="R134">
        <v>2006</v>
      </c>
      <c r="S134" s="1">
        <v>44802</v>
      </c>
      <c r="T134" s="1">
        <v>44801</v>
      </c>
      <c r="U134" t="s">
        <v>16</v>
      </c>
    </row>
    <row r="135" spans="1:21" x14ac:dyDescent="0.25">
      <c r="A135">
        <v>134</v>
      </c>
      <c r="B135">
        <v>59462661</v>
      </c>
      <c r="C135" t="s">
        <v>366</v>
      </c>
      <c r="D135" t="s">
        <v>17</v>
      </c>
      <c r="E135" t="s">
        <v>367</v>
      </c>
      <c r="F135" t="s">
        <v>368</v>
      </c>
      <c r="G135" t="s">
        <v>2552</v>
      </c>
      <c r="H135" t="s">
        <v>3085</v>
      </c>
      <c r="I135" s="5" t="s">
        <v>2901</v>
      </c>
      <c r="J135" t="s">
        <v>2532</v>
      </c>
      <c r="K135" t="s">
        <v>112</v>
      </c>
      <c r="L135">
        <v>336</v>
      </c>
      <c r="M135">
        <v>0.40486111111111112</v>
      </c>
      <c r="N135">
        <v>9.7166666666666668</v>
      </c>
      <c r="O135" t="s">
        <v>3946</v>
      </c>
      <c r="P135" t="s">
        <v>2494</v>
      </c>
      <c r="Q135">
        <v>2024</v>
      </c>
      <c r="R135">
        <v>2020</v>
      </c>
      <c r="S135" s="1">
        <v>45656</v>
      </c>
      <c r="T135" s="1">
        <v>45641</v>
      </c>
      <c r="U135" t="s">
        <v>16</v>
      </c>
    </row>
    <row r="136" spans="1:21" x14ac:dyDescent="0.25">
      <c r="A136">
        <v>135</v>
      </c>
      <c r="B136">
        <v>51107630</v>
      </c>
      <c r="C136" t="s">
        <v>369</v>
      </c>
      <c r="D136" t="s">
        <v>17</v>
      </c>
      <c r="E136" t="s">
        <v>370</v>
      </c>
      <c r="F136" t="s">
        <v>371</v>
      </c>
      <c r="G136" t="s">
        <v>2570</v>
      </c>
      <c r="H136" t="s">
        <v>3086</v>
      </c>
      <c r="I136" s="5" t="s">
        <v>2890</v>
      </c>
      <c r="J136" t="s">
        <v>2571</v>
      </c>
      <c r="K136" t="s">
        <v>112</v>
      </c>
      <c r="L136">
        <v>312</v>
      </c>
      <c r="M136">
        <v>0.60624999999999996</v>
      </c>
      <c r="N136">
        <v>14.549999999999999</v>
      </c>
      <c r="O136" t="s">
        <v>3947</v>
      </c>
      <c r="P136" t="s">
        <v>2486</v>
      </c>
      <c r="Q136">
        <v>2024</v>
      </c>
      <c r="R136">
        <v>2018</v>
      </c>
      <c r="S136" s="1">
        <v>45653</v>
      </c>
      <c r="T136" s="1">
        <v>45643</v>
      </c>
      <c r="U136" t="s">
        <v>16</v>
      </c>
    </row>
    <row r="137" spans="1:21" x14ac:dyDescent="0.25">
      <c r="A137">
        <v>136</v>
      </c>
      <c r="B137">
        <v>149124848</v>
      </c>
      <c r="C137" t="s">
        <v>372</v>
      </c>
      <c r="D137" t="s">
        <v>17</v>
      </c>
      <c r="E137" t="s">
        <v>373</v>
      </c>
      <c r="F137" t="s">
        <v>374</v>
      </c>
      <c r="G137" t="s">
        <v>2572</v>
      </c>
      <c r="H137" t="s">
        <v>3087</v>
      </c>
      <c r="I137" s="5" t="s">
        <v>2890</v>
      </c>
      <c r="J137" t="s">
        <v>1868</v>
      </c>
      <c r="K137" t="s">
        <v>112</v>
      </c>
      <c r="L137">
        <v>416</v>
      </c>
      <c r="M137">
        <v>0.39374999999999999</v>
      </c>
      <c r="N137">
        <v>9.4499999999999993</v>
      </c>
      <c r="O137" t="s">
        <v>3948</v>
      </c>
      <c r="P137" t="s">
        <v>2486</v>
      </c>
      <c r="Q137">
        <v>2023</v>
      </c>
      <c r="R137">
        <v>2023</v>
      </c>
      <c r="S137" s="1">
        <v>45652</v>
      </c>
      <c r="T137" s="1">
        <v>45647</v>
      </c>
      <c r="U137" t="s">
        <v>16</v>
      </c>
    </row>
    <row r="138" spans="1:21" x14ac:dyDescent="0.25">
      <c r="A138">
        <v>137</v>
      </c>
      <c r="B138">
        <v>57438620</v>
      </c>
      <c r="C138" t="s">
        <v>375</v>
      </c>
      <c r="D138" t="s">
        <v>17</v>
      </c>
      <c r="E138" t="s">
        <v>376</v>
      </c>
      <c r="F138" t="s">
        <v>377</v>
      </c>
      <c r="H138" t="s">
        <v>3088</v>
      </c>
      <c r="I138" s="5" t="s">
        <v>2890</v>
      </c>
      <c r="J138" t="s">
        <v>1668</v>
      </c>
      <c r="K138" t="s">
        <v>2488</v>
      </c>
      <c r="L138">
        <v>432</v>
      </c>
      <c r="P138" t="s">
        <v>2494</v>
      </c>
      <c r="Q138">
        <v>2018</v>
      </c>
      <c r="R138">
        <v>2016</v>
      </c>
      <c r="S138" s="1">
        <v>45648</v>
      </c>
      <c r="T138" s="1">
        <v>45636</v>
      </c>
      <c r="U138" t="s">
        <v>16</v>
      </c>
    </row>
    <row r="139" spans="1:21" x14ac:dyDescent="0.25">
      <c r="A139">
        <v>138</v>
      </c>
      <c r="B139">
        <v>38260409</v>
      </c>
      <c r="C139" t="s">
        <v>378</v>
      </c>
      <c r="D139" t="s">
        <v>17</v>
      </c>
      <c r="E139" t="s">
        <v>379</v>
      </c>
      <c r="F139" t="s">
        <v>380</v>
      </c>
      <c r="G139" t="s">
        <v>2573</v>
      </c>
      <c r="H139" t="s">
        <v>3089</v>
      </c>
      <c r="I139" s="5" t="s">
        <v>2890</v>
      </c>
      <c r="J139" t="s">
        <v>1834</v>
      </c>
      <c r="K139" t="s">
        <v>112</v>
      </c>
      <c r="L139">
        <v>212</v>
      </c>
      <c r="M139">
        <v>0.38263888888888886</v>
      </c>
      <c r="N139">
        <v>9.1833333333333336</v>
      </c>
      <c r="O139" t="s">
        <v>3949</v>
      </c>
      <c r="P139" t="s">
        <v>2494</v>
      </c>
      <c r="Q139">
        <v>2018</v>
      </c>
      <c r="R139">
        <v>2018</v>
      </c>
      <c r="S139" s="1">
        <v>45647</v>
      </c>
      <c r="T139" s="1">
        <v>45646</v>
      </c>
      <c r="U139" t="s">
        <v>16</v>
      </c>
    </row>
    <row r="140" spans="1:21" x14ac:dyDescent="0.25">
      <c r="A140">
        <v>139</v>
      </c>
      <c r="B140">
        <v>40691923</v>
      </c>
      <c r="C140" t="s">
        <v>381</v>
      </c>
      <c r="D140" t="s">
        <v>17</v>
      </c>
      <c r="E140" t="s">
        <v>382</v>
      </c>
      <c r="F140" t="s">
        <v>383</v>
      </c>
      <c r="H140" t="s">
        <v>3090</v>
      </c>
      <c r="I140" s="5" t="s">
        <v>2890</v>
      </c>
      <c r="J140" t="s">
        <v>1836</v>
      </c>
      <c r="K140" t="s">
        <v>57</v>
      </c>
      <c r="L140">
        <v>360</v>
      </c>
      <c r="P140" t="s">
        <v>2486</v>
      </c>
      <c r="Q140">
        <v>2018</v>
      </c>
      <c r="R140">
        <v>2017</v>
      </c>
      <c r="S140" s="1">
        <v>45646</v>
      </c>
      <c r="T140" s="1">
        <v>45552</v>
      </c>
      <c r="U140" t="s">
        <v>16</v>
      </c>
    </row>
    <row r="141" spans="1:21" x14ac:dyDescent="0.25">
      <c r="A141">
        <v>140</v>
      </c>
      <c r="B141">
        <v>39071691</v>
      </c>
      <c r="C141" t="s">
        <v>2574</v>
      </c>
      <c r="D141" t="s">
        <v>17</v>
      </c>
      <c r="E141" t="s">
        <v>384</v>
      </c>
      <c r="F141" t="s">
        <v>385</v>
      </c>
      <c r="G141" t="s">
        <v>2575</v>
      </c>
      <c r="H141" t="s">
        <v>3091</v>
      </c>
      <c r="I141" s="5" t="s">
        <v>2917</v>
      </c>
      <c r="J141" t="s">
        <v>1687</v>
      </c>
      <c r="K141" t="s">
        <v>112</v>
      </c>
      <c r="L141">
        <v>336</v>
      </c>
      <c r="M141">
        <v>0.28819444444444442</v>
      </c>
      <c r="N141">
        <v>6.9166666666666661</v>
      </c>
      <c r="O141" t="s">
        <v>3950</v>
      </c>
      <c r="P141" t="s">
        <v>2486</v>
      </c>
      <c r="Q141">
        <v>2018</v>
      </c>
      <c r="R141">
        <v>2018</v>
      </c>
      <c r="S141" s="1">
        <v>45644</v>
      </c>
      <c r="T141" s="1">
        <v>45644</v>
      </c>
      <c r="U141" t="s">
        <v>16</v>
      </c>
    </row>
    <row r="142" spans="1:21" x14ac:dyDescent="0.25">
      <c r="A142">
        <v>141</v>
      </c>
      <c r="B142">
        <v>64394054</v>
      </c>
      <c r="C142" t="s">
        <v>386</v>
      </c>
      <c r="D142" t="s">
        <v>2577</v>
      </c>
      <c r="E142" t="s">
        <v>215</v>
      </c>
      <c r="F142" t="s">
        <v>216</v>
      </c>
      <c r="G142" t="s">
        <v>2531</v>
      </c>
      <c r="H142" t="s">
        <v>3092</v>
      </c>
      <c r="I142" s="5" t="s">
        <v>2901</v>
      </c>
      <c r="J142" t="s">
        <v>2532</v>
      </c>
      <c r="K142" t="s">
        <v>112</v>
      </c>
      <c r="L142">
        <v>350</v>
      </c>
      <c r="M142">
        <v>0.56041666666666667</v>
      </c>
      <c r="N142">
        <v>13.45</v>
      </c>
      <c r="O142" t="s">
        <v>3951</v>
      </c>
      <c r="P142" t="s">
        <v>2494</v>
      </c>
      <c r="Q142">
        <v>2022</v>
      </c>
      <c r="R142">
        <v>2022</v>
      </c>
      <c r="S142" s="1">
        <v>45643</v>
      </c>
      <c r="T142" s="1">
        <v>45640</v>
      </c>
      <c r="U142" t="s">
        <v>16</v>
      </c>
    </row>
    <row r="143" spans="1:21" x14ac:dyDescent="0.25">
      <c r="A143">
        <v>142</v>
      </c>
      <c r="B143">
        <v>61159091</v>
      </c>
      <c r="C143" t="s">
        <v>387</v>
      </c>
      <c r="D143" t="s">
        <v>2576</v>
      </c>
      <c r="E143" t="s">
        <v>215</v>
      </c>
      <c r="F143" t="s">
        <v>216</v>
      </c>
      <c r="G143" t="s">
        <v>2531</v>
      </c>
      <c r="H143" t="s">
        <v>3093</v>
      </c>
      <c r="I143" s="5" t="s">
        <v>2890</v>
      </c>
      <c r="J143" t="s">
        <v>2532</v>
      </c>
      <c r="K143" t="s">
        <v>112</v>
      </c>
      <c r="L143">
        <v>352</v>
      </c>
      <c r="M143">
        <v>0.55902777777777779</v>
      </c>
      <c r="N143">
        <v>13.416666666666668</v>
      </c>
      <c r="O143" t="s">
        <v>3952</v>
      </c>
      <c r="P143" t="s">
        <v>2494</v>
      </c>
      <c r="Q143">
        <v>2022</v>
      </c>
      <c r="R143">
        <v>2022</v>
      </c>
      <c r="S143" s="1">
        <v>45640</v>
      </c>
      <c r="T143" s="1">
        <v>45633</v>
      </c>
      <c r="U143" t="s">
        <v>16</v>
      </c>
    </row>
    <row r="144" spans="1:21" x14ac:dyDescent="0.25">
      <c r="A144">
        <v>143</v>
      </c>
      <c r="B144">
        <v>59746850</v>
      </c>
      <c r="C144" t="s">
        <v>388</v>
      </c>
      <c r="D144" t="s">
        <v>2578</v>
      </c>
      <c r="E144" t="s">
        <v>215</v>
      </c>
      <c r="F144" t="s">
        <v>216</v>
      </c>
      <c r="G144" t="s">
        <v>2531</v>
      </c>
      <c r="H144" t="s">
        <v>3094</v>
      </c>
      <c r="I144" s="5" t="s">
        <v>2890</v>
      </c>
      <c r="J144" t="s">
        <v>2532</v>
      </c>
      <c r="K144" t="s">
        <v>112</v>
      </c>
      <c r="L144">
        <v>296</v>
      </c>
      <c r="M144">
        <v>0.44791666666666669</v>
      </c>
      <c r="N144">
        <v>10.75</v>
      </c>
      <c r="O144" t="s">
        <v>3953</v>
      </c>
      <c r="P144" t="s">
        <v>2494</v>
      </c>
      <c r="Q144">
        <v>2021</v>
      </c>
      <c r="R144">
        <v>2021</v>
      </c>
      <c r="S144" s="1">
        <v>45633</v>
      </c>
      <c r="T144" s="1">
        <v>45630</v>
      </c>
      <c r="U144" t="s">
        <v>16</v>
      </c>
    </row>
    <row r="145" spans="1:21" x14ac:dyDescent="0.25">
      <c r="A145">
        <v>144</v>
      </c>
      <c r="B145">
        <v>58375854</v>
      </c>
      <c r="C145" t="s">
        <v>389</v>
      </c>
      <c r="D145" t="s">
        <v>2579</v>
      </c>
      <c r="E145" t="s">
        <v>215</v>
      </c>
      <c r="F145" t="s">
        <v>216</v>
      </c>
      <c r="G145" t="s">
        <v>2531</v>
      </c>
      <c r="H145" t="s">
        <v>3095</v>
      </c>
      <c r="I145" s="5" t="s">
        <v>2890</v>
      </c>
      <c r="J145" t="s">
        <v>2532</v>
      </c>
      <c r="K145" t="s">
        <v>112</v>
      </c>
      <c r="L145">
        <v>328</v>
      </c>
      <c r="M145">
        <v>0.50277777777777777</v>
      </c>
      <c r="N145">
        <v>12.066666666666666</v>
      </c>
      <c r="O145" t="s">
        <v>3903</v>
      </c>
      <c r="P145" t="s">
        <v>2494</v>
      </c>
      <c r="Q145">
        <v>2021</v>
      </c>
      <c r="R145">
        <v>2021</v>
      </c>
      <c r="S145" s="1">
        <v>45630</v>
      </c>
      <c r="T145" s="1">
        <v>45627</v>
      </c>
      <c r="U145" t="s">
        <v>16</v>
      </c>
    </row>
    <row r="146" spans="1:21" x14ac:dyDescent="0.25">
      <c r="A146">
        <v>145</v>
      </c>
      <c r="B146">
        <v>221096109</v>
      </c>
      <c r="C146" t="s">
        <v>390</v>
      </c>
      <c r="D146" t="s">
        <v>17</v>
      </c>
      <c r="E146" t="s">
        <v>302</v>
      </c>
      <c r="F146" t="s">
        <v>303</v>
      </c>
      <c r="H146" t="s">
        <v>3096</v>
      </c>
      <c r="I146" s="5" t="s">
        <v>2901</v>
      </c>
      <c r="J146" t="s">
        <v>1723</v>
      </c>
      <c r="K146" t="s">
        <v>2488</v>
      </c>
      <c r="L146">
        <v>320</v>
      </c>
      <c r="P146" t="s">
        <v>2494</v>
      </c>
      <c r="Q146">
        <v>2024</v>
      </c>
      <c r="R146">
        <v>1978</v>
      </c>
      <c r="S146" s="1">
        <v>45628</v>
      </c>
      <c r="T146" s="1">
        <v>45618</v>
      </c>
      <c r="U146" t="s">
        <v>16</v>
      </c>
    </row>
    <row r="147" spans="1:21" x14ac:dyDescent="0.25">
      <c r="A147">
        <v>146</v>
      </c>
      <c r="B147">
        <v>56258811</v>
      </c>
      <c r="C147" t="s">
        <v>391</v>
      </c>
      <c r="D147" t="s">
        <v>2580</v>
      </c>
      <c r="E147" t="s">
        <v>215</v>
      </c>
      <c r="F147" t="s">
        <v>216</v>
      </c>
      <c r="G147" t="s">
        <v>2531</v>
      </c>
      <c r="H147" t="s">
        <v>3097</v>
      </c>
      <c r="I147" s="5" t="s">
        <v>2890</v>
      </c>
      <c r="J147" t="s">
        <v>2532</v>
      </c>
      <c r="K147" t="s">
        <v>112</v>
      </c>
      <c r="L147">
        <v>304</v>
      </c>
      <c r="M147">
        <v>0.41875000000000001</v>
      </c>
      <c r="N147">
        <v>10.050000000000001</v>
      </c>
      <c r="O147" t="s">
        <v>3954</v>
      </c>
      <c r="P147" t="s">
        <v>2494</v>
      </c>
      <c r="Q147">
        <v>2020</v>
      </c>
      <c r="R147">
        <v>2020</v>
      </c>
      <c r="S147" s="1">
        <v>45627</v>
      </c>
      <c r="T147" s="1">
        <v>45620</v>
      </c>
      <c r="U147" t="s">
        <v>16</v>
      </c>
    </row>
    <row r="148" spans="1:21" x14ac:dyDescent="0.25">
      <c r="A148">
        <v>147</v>
      </c>
      <c r="B148">
        <v>54753963</v>
      </c>
      <c r="C148" t="s">
        <v>392</v>
      </c>
      <c r="D148" t="s">
        <v>2581</v>
      </c>
      <c r="E148" t="s">
        <v>215</v>
      </c>
      <c r="F148" t="s">
        <v>216</v>
      </c>
      <c r="G148" t="s">
        <v>2531</v>
      </c>
      <c r="H148" t="s">
        <v>3098</v>
      </c>
      <c r="I148" s="5" t="s">
        <v>2890</v>
      </c>
      <c r="J148" t="s">
        <v>2532</v>
      </c>
      <c r="K148" t="s">
        <v>112</v>
      </c>
      <c r="L148">
        <v>304</v>
      </c>
      <c r="M148">
        <v>0.45416666666666666</v>
      </c>
      <c r="N148">
        <v>10.9</v>
      </c>
      <c r="O148" t="s">
        <v>3955</v>
      </c>
      <c r="P148" t="s">
        <v>2494</v>
      </c>
      <c r="Q148">
        <v>2020</v>
      </c>
      <c r="R148">
        <v>2020</v>
      </c>
      <c r="S148" s="1">
        <v>45620</v>
      </c>
      <c r="T148" s="1">
        <v>45619</v>
      </c>
      <c r="U148" t="s">
        <v>16</v>
      </c>
    </row>
    <row r="149" spans="1:21" x14ac:dyDescent="0.25">
      <c r="A149">
        <v>148</v>
      </c>
      <c r="B149">
        <v>28456341</v>
      </c>
      <c r="C149" t="s">
        <v>393</v>
      </c>
      <c r="D149" t="s">
        <v>17</v>
      </c>
      <c r="E149" t="s">
        <v>394</v>
      </c>
      <c r="F149" t="s">
        <v>395</v>
      </c>
      <c r="H149" t="s">
        <v>3099</v>
      </c>
      <c r="I149" s="5" t="s">
        <v>2901</v>
      </c>
      <c r="J149" t="s">
        <v>1668</v>
      </c>
      <c r="K149" t="s">
        <v>2488</v>
      </c>
      <c r="L149">
        <v>272</v>
      </c>
      <c r="P149" t="s">
        <v>2494</v>
      </c>
      <c r="Q149">
        <v>2014</v>
      </c>
      <c r="R149">
        <v>2014</v>
      </c>
      <c r="S149" s="1">
        <v>45619</v>
      </c>
      <c r="T149" s="1">
        <v>45606</v>
      </c>
      <c r="U149" t="s">
        <v>16</v>
      </c>
    </row>
    <row r="150" spans="1:21" x14ac:dyDescent="0.25">
      <c r="A150">
        <v>149</v>
      </c>
      <c r="B150">
        <v>49050237</v>
      </c>
      <c r="C150" t="s">
        <v>396</v>
      </c>
      <c r="D150" t="s">
        <v>2582</v>
      </c>
      <c r="E150" t="s">
        <v>215</v>
      </c>
      <c r="F150" t="s">
        <v>216</v>
      </c>
      <c r="G150" t="s">
        <v>2531</v>
      </c>
      <c r="H150" t="s">
        <v>3100</v>
      </c>
      <c r="I150" s="5" t="s">
        <v>2901</v>
      </c>
      <c r="J150" t="s">
        <v>2532</v>
      </c>
      <c r="K150" t="s">
        <v>112</v>
      </c>
      <c r="L150">
        <v>328</v>
      </c>
      <c r="M150">
        <v>0.47847222222222224</v>
      </c>
      <c r="N150">
        <v>11.483333333333334</v>
      </c>
      <c r="O150" t="s">
        <v>3956</v>
      </c>
      <c r="P150" t="s">
        <v>2494</v>
      </c>
      <c r="Q150">
        <v>2019</v>
      </c>
      <c r="R150">
        <v>2019</v>
      </c>
      <c r="S150" s="1">
        <v>45619</v>
      </c>
      <c r="T150" s="1">
        <v>45618</v>
      </c>
      <c r="U150" t="s">
        <v>16</v>
      </c>
    </row>
    <row r="151" spans="1:21" x14ac:dyDescent="0.25">
      <c r="A151">
        <v>150</v>
      </c>
      <c r="B151">
        <v>51065113</v>
      </c>
      <c r="C151" t="s">
        <v>397</v>
      </c>
      <c r="D151" t="s">
        <v>2583</v>
      </c>
      <c r="E151" t="s">
        <v>215</v>
      </c>
      <c r="F151" t="s">
        <v>216</v>
      </c>
      <c r="G151" t="s">
        <v>2531</v>
      </c>
      <c r="H151" t="s">
        <v>3101</v>
      </c>
      <c r="I151" s="5" t="s">
        <v>2901</v>
      </c>
      <c r="J151" t="s">
        <v>2532</v>
      </c>
      <c r="K151" t="s">
        <v>112</v>
      </c>
      <c r="L151">
        <v>320</v>
      </c>
      <c r="M151">
        <v>0.46388888888888891</v>
      </c>
      <c r="N151">
        <v>11.133333333333333</v>
      </c>
      <c r="O151" t="s">
        <v>3957</v>
      </c>
      <c r="P151" t="s">
        <v>2494</v>
      </c>
      <c r="Q151">
        <v>2019</v>
      </c>
      <c r="R151">
        <v>2019</v>
      </c>
      <c r="S151" s="1">
        <v>45616</v>
      </c>
      <c r="T151" s="1">
        <v>45615</v>
      </c>
      <c r="U151" t="s">
        <v>16</v>
      </c>
    </row>
    <row r="152" spans="1:21" x14ac:dyDescent="0.25">
      <c r="A152">
        <v>151</v>
      </c>
      <c r="B152">
        <v>58791517</v>
      </c>
      <c r="C152" t="s">
        <v>398</v>
      </c>
      <c r="D152" t="s">
        <v>17</v>
      </c>
      <c r="E152" t="s">
        <v>399</v>
      </c>
      <c r="F152" t="s">
        <v>400</v>
      </c>
      <c r="G152" t="s">
        <v>2564</v>
      </c>
      <c r="H152" t="s">
        <v>3102</v>
      </c>
      <c r="I152" s="5" t="s">
        <v>2890</v>
      </c>
      <c r="J152" t="s">
        <v>2584</v>
      </c>
      <c r="K152" t="s">
        <v>112</v>
      </c>
      <c r="L152">
        <v>256</v>
      </c>
      <c r="M152">
        <v>0.32222222222222224</v>
      </c>
      <c r="N152">
        <v>7.7333333333333343</v>
      </c>
      <c r="O152" t="s">
        <v>3958</v>
      </c>
      <c r="P152" t="s">
        <v>2494</v>
      </c>
      <c r="Q152">
        <v>2021</v>
      </c>
      <c r="R152">
        <v>2020</v>
      </c>
      <c r="S152" s="1">
        <v>45614</v>
      </c>
      <c r="T152" s="1">
        <v>45606</v>
      </c>
      <c r="U152" t="s">
        <v>16</v>
      </c>
    </row>
    <row r="153" spans="1:21" x14ac:dyDescent="0.25">
      <c r="A153">
        <v>152</v>
      </c>
      <c r="B153">
        <v>43180566</v>
      </c>
      <c r="C153" t="s">
        <v>401</v>
      </c>
      <c r="D153" t="s">
        <v>2585</v>
      </c>
      <c r="E153" t="s">
        <v>215</v>
      </c>
      <c r="F153" t="s">
        <v>216</v>
      </c>
      <c r="G153" t="s">
        <v>2531</v>
      </c>
      <c r="H153" t="s">
        <v>3103</v>
      </c>
      <c r="I153" s="5" t="s">
        <v>2890</v>
      </c>
      <c r="J153" t="s">
        <v>2532</v>
      </c>
      <c r="K153" t="s">
        <v>112</v>
      </c>
      <c r="L153">
        <v>320</v>
      </c>
      <c r="M153">
        <v>0.50694444444444442</v>
      </c>
      <c r="N153">
        <v>12.166666666666666</v>
      </c>
      <c r="O153" t="s">
        <v>3891</v>
      </c>
      <c r="P153" t="s">
        <v>2494</v>
      </c>
      <c r="Q153">
        <v>2018</v>
      </c>
      <c r="R153">
        <v>2018</v>
      </c>
      <c r="S153" s="1">
        <v>45610</v>
      </c>
      <c r="T153" s="1">
        <v>45610</v>
      </c>
      <c r="U153" t="s">
        <v>16</v>
      </c>
    </row>
    <row r="154" spans="1:21" x14ac:dyDescent="0.25">
      <c r="A154">
        <v>153</v>
      </c>
      <c r="B154">
        <v>35227660</v>
      </c>
      <c r="C154" t="s">
        <v>402</v>
      </c>
      <c r="D154" t="s">
        <v>17</v>
      </c>
      <c r="E154" t="s">
        <v>403</v>
      </c>
      <c r="F154" t="s">
        <v>404</v>
      </c>
      <c r="H154" t="s">
        <v>3104</v>
      </c>
      <c r="I154" s="5" t="s">
        <v>2901</v>
      </c>
      <c r="J154" t="s">
        <v>1668</v>
      </c>
      <c r="K154" t="s">
        <v>2488</v>
      </c>
      <c r="L154">
        <v>376</v>
      </c>
      <c r="P154" t="s">
        <v>2494</v>
      </c>
      <c r="Q154">
        <v>2017</v>
      </c>
      <c r="R154">
        <v>2016</v>
      </c>
      <c r="S154" s="1">
        <v>45606</v>
      </c>
      <c r="T154" s="1">
        <v>45605</v>
      </c>
      <c r="U154" t="s">
        <v>16</v>
      </c>
    </row>
    <row r="155" spans="1:21" x14ac:dyDescent="0.25">
      <c r="A155">
        <v>154</v>
      </c>
      <c r="B155">
        <v>40131394</v>
      </c>
      <c r="C155" t="s">
        <v>405</v>
      </c>
      <c r="D155" t="s">
        <v>2586</v>
      </c>
      <c r="E155" t="s">
        <v>215</v>
      </c>
      <c r="F155" t="s">
        <v>216</v>
      </c>
      <c r="G155" t="s">
        <v>2587</v>
      </c>
      <c r="H155" t="s">
        <v>3105</v>
      </c>
      <c r="I155" s="5" t="s">
        <v>2890</v>
      </c>
      <c r="J155" t="s">
        <v>2532</v>
      </c>
      <c r="K155" t="s">
        <v>112</v>
      </c>
      <c r="L155">
        <v>320</v>
      </c>
      <c r="M155">
        <v>0.46527777777777779</v>
      </c>
      <c r="N155">
        <v>11.166666666666668</v>
      </c>
      <c r="O155" t="s">
        <v>3959</v>
      </c>
      <c r="P155" t="s">
        <v>2494</v>
      </c>
      <c r="Q155">
        <v>2018</v>
      </c>
      <c r="R155">
        <v>2018</v>
      </c>
      <c r="S155" s="1">
        <v>45605</v>
      </c>
      <c r="T155" s="1">
        <v>45605</v>
      </c>
      <c r="U155" t="s">
        <v>16</v>
      </c>
    </row>
    <row r="156" spans="1:21" x14ac:dyDescent="0.25">
      <c r="A156">
        <v>155</v>
      </c>
      <c r="B156">
        <v>36269189</v>
      </c>
      <c r="C156" t="s">
        <v>406</v>
      </c>
      <c r="D156" t="s">
        <v>2588</v>
      </c>
      <c r="E156" t="s">
        <v>215</v>
      </c>
      <c r="F156" t="s">
        <v>216</v>
      </c>
      <c r="G156" t="s">
        <v>2587</v>
      </c>
      <c r="H156" t="s">
        <v>3106</v>
      </c>
      <c r="I156" s="5" t="s">
        <v>2917</v>
      </c>
      <c r="J156" t="s">
        <v>2532</v>
      </c>
      <c r="K156" t="s">
        <v>112</v>
      </c>
      <c r="L156">
        <v>250</v>
      </c>
      <c r="M156">
        <v>0.43263888888888891</v>
      </c>
      <c r="N156">
        <v>10.383333333333333</v>
      </c>
      <c r="O156" t="s">
        <v>3960</v>
      </c>
      <c r="P156" t="s">
        <v>2494</v>
      </c>
      <c r="Q156">
        <v>2017</v>
      </c>
      <c r="R156">
        <v>2017</v>
      </c>
      <c r="S156" s="1">
        <v>45600</v>
      </c>
      <c r="T156" s="1">
        <v>45600</v>
      </c>
      <c r="U156" t="s">
        <v>16</v>
      </c>
    </row>
    <row r="157" spans="1:21" x14ac:dyDescent="0.25">
      <c r="A157">
        <v>156</v>
      </c>
      <c r="B157">
        <v>34395011</v>
      </c>
      <c r="C157" t="s">
        <v>407</v>
      </c>
      <c r="D157" t="s">
        <v>17</v>
      </c>
      <c r="E157" t="s">
        <v>408</v>
      </c>
      <c r="F157" t="s">
        <v>409</v>
      </c>
      <c r="H157" t="s">
        <v>3107</v>
      </c>
      <c r="I157" s="5" t="s">
        <v>2890</v>
      </c>
      <c r="J157" t="s">
        <v>1668</v>
      </c>
      <c r="K157" t="s">
        <v>2488</v>
      </c>
      <c r="L157">
        <v>312</v>
      </c>
      <c r="P157" t="s">
        <v>2494</v>
      </c>
      <c r="Q157">
        <v>2017</v>
      </c>
      <c r="R157">
        <v>2016</v>
      </c>
      <c r="S157" s="1">
        <v>45593</v>
      </c>
      <c r="T157" s="1">
        <v>45591</v>
      </c>
      <c r="U157" t="s">
        <v>16</v>
      </c>
    </row>
    <row r="158" spans="1:21" x14ac:dyDescent="0.25">
      <c r="A158">
        <v>157</v>
      </c>
      <c r="B158">
        <v>34503255</v>
      </c>
      <c r="C158" t="s">
        <v>410</v>
      </c>
      <c r="D158" t="s">
        <v>2589</v>
      </c>
      <c r="E158" t="s">
        <v>215</v>
      </c>
      <c r="F158" t="s">
        <v>216</v>
      </c>
      <c r="G158" t="s">
        <v>2587</v>
      </c>
      <c r="H158" t="s">
        <v>3108</v>
      </c>
      <c r="I158" s="5" t="s">
        <v>2890</v>
      </c>
      <c r="J158" t="s">
        <v>2532</v>
      </c>
      <c r="K158" t="s">
        <v>112</v>
      </c>
      <c r="L158">
        <v>300</v>
      </c>
      <c r="M158">
        <v>0.44791666666666669</v>
      </c>
      <c r="N158">
        <v>10.75</v>
      </c>
      <c r="O158" t="s">
        <v>3953</v>
      </c>
      <c r="P158" t="s">
        <v>2494</v>
      </c>
      <c r="Q158">
        <v>2017</v>
      </c>
      <c r="R158">
        <v>2017</v>
      </c>
      <c r="S158" s="1">
        <v>45591</v>
      </c>
      <c r="T158" s="1">
        <v>45591</v>
      </c>
      <c r="U158" t="s">
        <v>16</v>
      </c>
    </row>
    <row r="159" spans="1:21" x14ac:dyDescent="0.25">
      <c r="A159">
        <v>158</v>
      </c>
      <c r="B159">
        <v>15726069</v>
      </c>
      <c r="C159" t="s">
        <v>411</v>
      </c>
      <c r="D159" t="s">
        <v>17</v>
      </c>
      <c r="E159" t="s">
        <v>412</v>
      </c>
      <c r="F159" t="s">
        <v>413</v>
      </c>
      <c r="H159" t="s">
        <v>3109</v>
      </c>
      <c r="I159" s="5" t="s">
        <v>2917</v>
      </c>
      <c r="J159" t="s">
        <v>1668</v>
      </c>
      <c r="K159" t="s">
        <v>2488</v>
      </c>
      <c r="L159">
        <v>192</v>
      </c>
      <c r="P159" t="s">
        <v>2494</v>
      </c>
      <c r="Q159">
        <v>2012</v>
      </c>
      <c r="R159">
        <v>2012</v>
      </c>
      <c r="S159" s="1">
        <v>45591</v>
      </c>
      <c r="T159" s="1">
        <v>45584</v>
      </c>
      <c r="U159" t="s">
        <v>16</v>
      </c>
    </row>
    <row r="160" spans="1:21" x14ac:dyDescent="0.25">
      <c r="A160">
        <v>159</v>
      </c>
      <c r="B160">
        <v>52962494</v>
      </c>
      <c r="C160" t="s">
        <v>414</v>
      </c>
      <c r="D160" t="s">
        <v>17</v>
      </c>
      <c r="E160" t="s">
        <v>415</v>
      </c>
      <c r="F160" t="s">
        <v>416</v>
      </c>
      <c r="H160" t="s">
        <v>3110</v>
      </c>
      <c r="I160" s="5" t="s">
        <v>2933</v>
      </c>
      <c r="J160" t="s">
        <v>1673</v>
      </c>
      <c r="K160" t="s">
        <v>2488</v>
      </c>
      <c r="L160">
        <v>432</v>
      </c>
      <c r="P160" t="s">
        <v>2494</v>
      </c>
      <c r="Q160">
        <v>2019</v>
      </c>
      <c r="R160">
        <v>2018</v>
      </c>
      <c r="S160" s="1">
        <v>45583</v>
      </c>
      <c r="T160" s="1">
        <v>45579</v>
      </c>
      <c r="U160" t="s">
        <v>16</v>
      </c>
    </row>
    <row r="161" spans="1:21" x14ac:dyDescent="0.25">
      <c r="A161">
        <v>160</v>
      </c>
      <c r="B161">
        <v>6459567</v>
      </c>
      <c r="C161" t="s">
        <v>417</v>
      </c>
      <c r="D161" t="s">
        <v>17</v>
      </c>
      <c r="E161" t="s">
        <v>418</v>
      </c>
      <c r="F161" t="s">
        <v>419</v>
      </c>
      <c r="G161" t="s">
        <v>2550</v>
      </c>
      <c r="H161" t="s">
        <v>3111</v>
      </c>
      <c r="I161" s="5" t="s">
        <v>2917</v>
      </c>
      <c r="J161" t="s">
        <v>2590</v>
      </c>
      <c r="K161" t="s">
        <v>112</v>
      </c>
      <c r="L161">
        <v>302</v>
      </c>
      <c r="M161">
        <v>0.58194444444444449</v>
      </c>
      <c r="N161">
        <v>13.966666666666669</v>
      </c>
      <c r="O161" t="s">
        <v>3918</v>
      </c>
      <c r="P161" t="s">
        <v>2486</v>
      </c>
      <c r="Q161">
        <v>2019</v>
      </c>
      <c r="R161">
        <v>1996</v>
      </c>
      <c r="S161" s="1">
        <v>45583</v>
      </c>
      <c r="T161" s="1">
        <v>45575</v>
      </c>
      <c r="U161" t="s">
        <v>16</v>
      </c>
    </row>
    <row r="162" spans="1:21" x14ac:dyDescent="0.25">
      <c r="A162">
        <v>161</v>
      </c>
      <c r="B162">
        <v>33195277</v>
      </c>
      <c r="C162" t="s">
        <v>3112</v>
      </c>
      <c r="D162" t="s">
        <v>421</v>
      </c>
      <c r="E162" t="s">
        <v>422</v>
      </c>
      <c r="F162" t="s">
        <v>423</v>
      </c>
      <c r="H162" t="s">
        <v>3113</v>
      </c>
      <c r="I162" s="5" t="s">
        <v>2890</v>
      </c>
      <c r="J162" t="s">
        <v>1859</v>
      </c>
      <c r="K162" t="s">
        <v>57</v>
      </c>
      <c r="L162">
        <v>285</v>
      </c>
      <c r="P162" t="s">
        <v>2486</v>
      </c>
      <c r="Q162">
        <v>2017</v>
      </c>
      <c r="R162">
        <v>2016</v>
      </c>
      <c r="S162" s="1">
        <v>45579</v>
      </c>
      <c r="T162" s="1">
        <v>45560</v>
      </c>
      <c r="U162" t="s">
        <v>16</v>
      </c>
    </row>
    <row r="163" spans="1:21" x14ac:dyDescent="0.25">
      <c r="A163">
        <v>162</v>
      </c>
      <c r="B163">
        <v>55469489</v>
      </c>
      <c r="C163" t="s">
        <v>3114</v>
      </c>
      <c r="D163" t="s">
        <v>425</v>
      </c>
      <c r="E163" t="s">
        <v>203</v>
      </c>
      <c r="F163" t="s">
        <v>204</v>
      </c>
      <c r="G163" t="s">
        <v>2529</v>
      </c>
      <c r="H163" t="s">
        <v>3115</v>
      </c>
      <c r="I163" s="5" t="s">
        <v>2890</v>
      </c>
      <c r="J163" t="s">
        <v>1898</v>
      </c>
      <c r="K163" t="s">
        <v>112</v>
      </c>
      <c r="L163">
        <v>352</v>
      </c>
      <c r="M163">
        <v>0.46805555555555556</v>
      </c>
      <c r="N163">
        <v>11.233333333333334</v>
      </c>
      <c r="O163" t="s">
        <v>3961</v>
      </c>
      <c r="P163" t="s">
        <v>2486</v>
      </c>
      <c r="Q163">
        <v>2020</v>
      </c>
      <c r="R163">
        <v>2018</v>
      </c>
      <c r="S163" s="1">
        <v>45575</v>
      </c>
      <c r="T163" s="1">
        <v>45554</v>
      </c>
      <c r="U163" t="s">
        <v>16</v>
      </c>
    </row>
    <row r="164" spans="1:21" x14ac:dyDescent="0.25">
      <c r="A164">
        <v>163</v>
      </c>
      <c r="B164">
        <v>203855568</v>
      </c>
      <c r="C164" t="s">
        <v>426</v>
      </c>
      <c r="D164" t="s">
        <v>17</v>
      </c>
      <c r="E164" t="s">
        <v>121</v>
      </c>
      <c r="F164" t="s">
        <v>122</v>
      </c>
      <c r="G164" t="s">
        <v>2591</v>
      </c>
      <c r="H164" t="s">
        <v>3116</v>
      </c>
      <c r="I164" s="5" t="s">
        <v>2890</v>
      </c>
      <c r="J164" t="s">
        <v>2492</v>
      </c>
      <c r="K164" t="s">
        <v>112</v>
      </c>
      <c r="L164">
        <v>248</v>
      </c>
      <c r="M164">
        <v>0.26944444444444443</v>
      </c>
      <c r="N164">
        <v>6.4666666666666668</v>
      </c>
      <c r="O164" t="s">
        <v>3962</v>
      </c>
      <c r="P164" t="s">
        <v>2486</v>
      </c>
      <c r="Q164">
        <v>2023</v>
      </c>
      <c r="R164">
        <v>2022</v>
      </c>
      <c r="S164" s="1">
        <v>45573</v>
      </c>
      <c r="T164" s="1">
        <v>45573</v>
      </c>
      <c r="U164" t="s">
        <v>16</v>
      </c>
    </row>
    <row r="165" spans="1:21" x14ac:dyDescent="0.25">
      <c r="A165">
        <v>164</v>
      </c>
      <c r="B165">
        <v>10770635</v>
      </c>
      <c r="C165" t="s">
        <v>3117</v>
      </c>
      <c r="D165" t="s">
        <v>428</v>
      </c>
      <c r="E165" t="s">
        <v>429</v>
      </c>
      <c r="F165" t="s">
        <v>430</v>
      </c>
      <c r="G165" t="s">
        <v>2592</v>
      </c>
      <c r="H165" t="s">
        <v>3118</v>
      </c>
      <c r="I165" s="5" t="s">
        <v>2917</v>
      </c>
      <c r="J165" t="s">
        <v>2593</v>
      </c>
      <c r="K165" t="s">
        <v>112</v>
      </c>
      <c r="L165">
        <v>477</v>
      </c>
      <c r="M165">
        <v>0.70625000000000004</v>
      </c>
      <c r="N165">
        <v>16.950000000000003</v>
      </c>
      <c r="O165" t="s">
        <v>3963</v>
      </c>
      <c r="P165" t="s">
        <v>2486</v>
      </c>
      <c r="Q165">
        <v>2021</v>
      </c>
      <c r="R165">
        <v>1982</v>
      </c>
      <c r="S165" s="1">
        <v>45570</v>
      </c>
      <c r="T165" s="1">
        <v>45564</v>
      </c>
      <c r="U165" t="s">
        <v>16</v>
      </c>
    </row>
    <row r="166" spans="1:21" x14ac:dyDescent="0.25">
      <c r="A166">
        <v>165</v>
      </c>
      <c r="B166">
        <v>32148248</v>
      </c>
      <c r="C166" t="s">
        <v>431</v>
      </c>
      <c r="D166" t="s">
        <v>2594</v>
      </c>
      <c r="E166" t="s">
        <v>215</v>
      </c>
      <c r="F166" t="s">
        <v>216</v>
      </c>
      <c r="G166" t="s">
        <v>2587</v>
      </c>
      <c r="H166" t="s">
        <v>3119</v>
      </c>
      <c r="I166" s="5" t="s">
        <v>2890</v>
      </c>
      <c r="J166" t="s">
        <v>2532</v>
      </c>
      <c r="K166" t="s">
        <v>112</v>
      </c>
      <c r="L166">
        <v>320</v>
      </c>
      <c r="M166">
        <v>0.44513888888888886</v>
      </c>
      <c r="N166">
        <v>10.683333333333334</v>
      </c>
      <c r="O166" t="s">
        <v>3964</v>
      </c>
      <c r="P166" t="s">
        <v>2494</v>
      </c>
      <c r="Q166">
        <v>2016</v>
      </c>
      <c r="R166">
        <v>2016</v>
      </c>
      <c r="S166" s="1">
        <v>45570</v>
      </c>
      <c r="T166" s="1">
        <v>45570</v>
      </c>
      <c r="U166" t="s">
        <v>16</v>
      </c>
    </row>
    <row r="167" spans="1:21" x14ac:dyDescent="0.25">
      <c r="A167">
        <v>166</v>
      </c>
      <c r="B167">
        <v>23253176</v>
      </c>
      <c r="C167" t="s">
        <v>432</v>
      </c>
      <c r="D167" t="s">
        <v>2595</v>
      </c>
      <c r="E167" t="s">
        <v>215</v>
      </c>
      <c r="F167" t="s">
        <v>216</v>
      </c>
      <c r="G167" t="s">
        <v>2587</v>
      </c>
      <c r="H167" t="s">
        <v>3120</v>
      </c>
      <c r="I167" s="5" t="s">
        <v>2890</v>
      </c>
      <c r="J167" t="s">
        <v>2532</v>
      </c>
      <c r="K167" t="s">
        <v>112</v>
      </c>
      <c r="L167">
        <v>344</v>
      </c>
      <c r="M167">
        <v>0.49027777777777776</v>
      </c>
      <c r="N167">
        <v>11.766666666666666</v>
      </c>
      <c r="O167" t="s">
        <v>3914</v>
      </c>
      <c r="P167" t="s">
        <v>2494</v>
      </c>
      <c r="Q167">
        <v>2014</v>
      </c>
      <c r="R167">
        <v>2014</v>
      </c>
      <c r="S167" s="1">
        <v>45568</v>
      </c>
      <c r="T167" s="1">
        <v>45567</v>
      </c>
      <c r="U167" t="s">
        <v>16</v>
      </c>
    </row>
    <row r="168" spans="1:21" x14ac:dyDescent="0.25">
      <c r="A168">
        <v>167</v>
      </c>
      <c r="B168">
        <v>13206900</v>
      </c>
      <c r="C168" t="s">
        <v>3121</v>
      </c>
      <c r="D168" t="s">
        <v>434</v>
      </c>
      <c r="E168" t="s">
        <v>422</v>
      </c>
      <c r="F168" t="s">
        <v>423</v>
      </c>
      <c r="H168" t="s">
        <v>3122</v>
      </c>
      <c r="I168" s="5" t="s">
        <v>2890</v>
      </c>
      <c r="J168" t="s">
        <v>1866</v>
      </c>
      <c r="K168" t="s">
        <v>57</v>
      </c>
      <c r="L168">
        <v>827</v>
      </c>
      <c r="P168" t="s">
        <v>2486</v>
      </c>
      <c r="Q168">
        <v>2015</v>
      </c>
      <c r="R168">
        <v>2015</v>
      </c>
      <c r="S168" s="1">
        <v>45560</v>
      </c>
      <c r="T168" s="1">
        <v>45507</v>
      </c>
      <c r="U168" t="s">
        <v>16</v>
      </c>
    </row>
    <row r="169" spans="1:21" x14ac:dyDescent="0.25">
      <c r="A169">
        <v>168</v>
      </c>
      <c r="B169">
        <v>63123734</v>
      </c>
      <c r="C169" t="s">
        <v>435</v>
      </c>
      <c r="D169" t="s">
        <v>17</v>
      </c>
      <c r="E169" t="s">
        <v>436</v>
      </c>
      <c r="F169" t="s">
        <v>437</v>
      </c>
      <c r="G169" t="s">
        <v>2596</v>
      </c>
      <c r="H169" t="s">
        <v>3123</v>
      </c>
      <c r="I169" s="5" t="s">
        <v>2890</v>
      </c>
      <c r="J169" t="s">
        <v>1868</v>
      </c>
      <c r="K169" t="s">
        <v>112</v>
      </c>
      <c r="L169">
        <v>400</v>
      </c>
      <c r="M169">
        <v>0.33680555555555558</v>
      </c>
      <c r="N169">
        <v>8.0833333333333339</v>
      </c>
      <c r="O169" t="s">
        <v>3965</v>
      </c>
      <c r="P169" t="s">
        <v>2486</v>
      </c>
      <c r="Q169">
        <v>2022</v>
      </c>
      <c r="R169">
        <v>2022</v>
      </c>
      <c r="S169" s="1">
        <v>45559</v>
      </c>
      <c r="T169" s="1">
        <v>45550</v>
      </c>
      <c r="U169" t="s">
        <v>16</v>
      </c>
    </row>
    <row r="170" spans="1:21" x14ac:dyDescent="0.25">
      <c r="A170">
        <v>169</v>
      </c>
      <c r="B170">
        <v>18481413</v>
      </c>
      <c r="C170" t="s">
        <v>438</v>
      </c>
      <c r="D170" t="s">
        <v>2597</v>
      </c>
      <c r="E170" t="s">
        <v>215</v>
      </c>
      <c r="F170" t="s">
        <v>216</v>
      </c>
      <c r="G170" t="s">
        <v>2587</v>
      </c>
      <c r="H170" t="s">
        <v>3124</v>
      </c>
      <c r="I170" s="5" t="s">
        <v>2890</v>
      </c>
      <c r="J170" t="s">
        <v>2532</v>
      </c>
      <c r="K170" t="s">
        <v>112</v>
      </c>
      <c r="L170">
        <v>335</v>
      </c>
      <c r="M170">
        <v>0.48749999999999999</v>
      </c>
      <c r="N170">
        <v>11.7</v>
      </c>
      <c r="O170" t="s">
        <v>3966</v>
      </c>
      <c r="P170" t="s">
        <v>2494</v>
      </c>
      <c r="Q170">
        <v>2013</v>
      </c>
      <c r="R170">
        <v>2013</v>
      </c>
      <c r="S170" s="1">
        <v>45553</v>
      </c>
      <c r="T170" s="1">
        <v>45550</v>
      </c>
      <c r="U170" t="s">
        <v>16</v>
      </c>
    </row>
    <row r="171" spans="1:21" x14ac:dyDescent="0.25">
      <c r="A171">
        <v>170</v>
      </c>
      <c r="B171">
        <v>39717764</v>
      </c>
      <c r="C171" t="s">
        <v>3125</v>
      </c>
      <c r="D171" t="s">
        <v>440</v>
      </c>
      <c r="E171" t="s">
        <v>441</v>
      </c>
      <c r="F171" t="s">
        <v>442</v>
      </c>
      <c r="H171" t="s">
        <v>3126</v>
      </c>
      <c r="I171" s="5" t="s">
        <v>2890</v>
      </c>
      <c r="J171" t="s">
        <v>1871</v>
      </c>
      <c r="K171" t="s">
        <v>57</v>
      </c>
      <c r="L171">
        <v>384</v>
      </c>
      <c r="P171" t="s">
        <v>2494</v>
      </c>
      <c r="Q171">
        <v>2018</v>
      </c>
      <c r="R171">
        <v>2009</v>
      </c>
      <c r="S171" s="1">
        <v>45551</v>
      </c>
      <c r="T171" s="1">
        <v>45527</v>
      </c>
      <c r="U171" t="s">
        <v>16</v>
      </c>
    </row>
    <row r="172" spans="1:21" x14ac:dyDescent="0.25">
      <c r="A172">
        <v>171</v>
      </c>
      <c r="B172">
        <v>32053009</v>
      </c>
      <c r="C172" t="s">
        <v>3127</v>
      </c>
      <c r="D172" t="s">
        <v>444</v>
      </c>
      <c r="E172" t="s">
        <v>445</v>
      </c>
      <c r="F172" t="s">
        <v>446</v>
      </c>
      <c r="H172" t="s">
        <v>3128</v>
      </c>
      <c r="I172" s="5" t="s">
        <v>2917</v>
      </c>
      <c r="J172" t="s">
        <v>1719</v>
      </c>
      <c r="K172" t="s">
        <v>57</v>
      </c>
      <c r="L172">
        <v>608</v>
      </c>
      <c r="P172" t="s">
        <v>2486</v>
      </c>
      <c r="Q172">
        <v>2016</v>
      </c>
      <c r="R172">
        <v>2015</v>
      </c>
      <c r="S172" s="1">
        <v>45550</v>
      </c>
      <c r="T172" s="1">
        <v>45485</v>
      </c>
      <c r="U172" t="s">
        <v>16</v>
      </c>
    </row>
    <row r="173" spans="1:21" x14ac:dyDescent="0.25">
      <c r="A173">
        <v>172</v>
      </c>
      <c r="B173">
        <v>16046955</v>
      </c>
      <c r="C173" t="s">
        <v>447</v>
      </c>
      <c r="D173" t="s">
        <v>2598</v>
      </c>
      <c r="E173" t="s">
        <v>215</v>
      </c>
      <c r="F173" t="s">
        <v>216</v>
      </c>
      <c r="G173" t="s">
        <v>2587</v>
      </c>
      <c r="H173" t="s">
        <v>3129</v>
      </c>
      <c r="I173" s="5" t="s">
        <v>2890</v>
      </c>
      <c r="J173" t="s">
        <v>2532</v>
      </c>
      <c r="K173" t="s">
        <v>112</v>
      </c>
      <c r="L173">
        <v>310</v>
      </c>
      <c r="M173">
        <v>0.42708333333333331</v>
      </c>
      <c r="N173">
        <v>10.25</v>
      </c>
      <c r="O173" t="s">
        <v>3967</v>
      </c>
      <c r="P173" t="s">
        <v>2494</v>
      </c>
      <c r="Q173">
        <v>2015</v>
      </c>
      <c r="R173">
        <v>2012</v>
      </c>
      <c r="S173" s="1">
        <v>45550</v>
      </c>
      <c r="T173" s="1">
        <v>45547</v>
      </c>
      <c r="U173" t="s">
        <v>16</v>
      </c>
    </row>
    <row r="174" spans="1:21" x14ac:dyDescent="0.25">
      <c r="A174">
        <v>173</v>
      </c>
      <c r="B174">
        <v>13307094</v>
      </c>
      <c r="C174" t="s">
        <v>448</v>
      </c>
      <c r="D174" t="s">
        <v>2599</v>
      </c>
      <c r="E174" t="s">
        <v>215</v>
      </c>
      <c r="F174" t="s">
        <v>216</v>
      </c>
      <c r="G174" t="s">
        <v>2531</v>
      </c>
      <c r="H174" t="s">
        <v>3130</v>
      </c>
      <c r="I174" s="5" t="s">
        <v>2890</v>
      </c>
      <c r="J174" t="s">
        <v>2532</v>
      </c>
      <c r="K174" t="s">
        <v>112</v>
      </c>
      <c r="L174">
        <v>288</v>
      </c>
      <c r="M174">
        <v>0.44722222222222224</v>
      </c>
      <c r="N174">
        <v>10.733333333333334</v>
      </c>
      <c r="O174" t="s">
        <v>3968</v>
      </c>
      <c r="P174" t="s">
        <v>2494</v>
      </c>
      <c r="Q174">
        <v>2022</v>
      </c>
      <c r="R174">
        <v>2011</v>
      </c>
      <c r="S174" s="1">
        <v>45547</v>
      </c>
      <c r="T174" s="1">
        <v>45542</v>
      </c>
      <c r="U174" t="s">
        <v>16</v>
      </c>
    </row>
    <row r="175" spans="1:21" x14ac:dyDescent="0.25">
      <c r="A175">
        <v>174</v>
      </c>
      <c r="B175">
        <v>215507550</v>
      </c>
      <c r="C175" t="s">
        <v>449</v>
      </c>
      <c r="D175" t="s">
        <v>17</v>
      </c>
      <c r="E175" t="s">
        <v>450</v>
      </c>
      <c r="F175" t="s">
        <v>451</v>
      </c>
      <c r="G175" t="s">
        <v>2600</v>
      </c>
      <c r="H175" t="s">
        <v>3131</v>
      </c>
      <c r="I175" s="5" t="s">
        <v>2917</v>
      </c>
      <c r="J175" t="s">
        <v>2499</v>
      </c>
      <c r="K175" t="s">
        <v>112</v>
      </c>
      <c r="L175">
        <v>320</v>
      </c>
      <c r="M175">
        <v>0.28611111111111109</v>
      </c>
      <c r="N175">
        <v>6.8666666666666663</v>
      </c>
      <c r="O175" t="s">
        <v>3969</v>
      </c>
      <c r="P175" t="s">
        <v>2494</v>
      </c>
      <c r="Q175">
        <v>2024</v>
      </c>
      <c r="R175">
        <v>2023</v>
      </c>
      <c r="S175" s="1">
        <v>45542</v>
      </c>
      <c r="T175" s="1">
        <v>45472</v>
      </c>
      <c r="U175" t="s">
        <v>16</v>
      </c>
    </row>
    <row r="176" spans="1:21" x14ac:dyDescent="0.25">
      <c r="A176">
        <v>175</v>
      </c>
      <c r="B176">
        <v>11772810</v>
      </c>
      <c r="C176" t="s">
        <v>452</v>
      </c>
      <c r="D176" t="s">
        <v>2601</v>
      </c>
      <c r="E176" t="s">
        <v>215</v>
      </c>
      <c r="F176" t="s">
        <v>216</v>
      </c>
      <c r="G176" t="s">
        <v>2587</v>
      </c>
      <c r="H176" t="s">
        <v>3132</v>
      </c>
      <c r="I176" s="5" t="s">
        <v>2890</v>
      </c>
      <c r="J176" t="s">
        <v>2532</v>
      </c>
      <c r="K176" t="s">
        <v>112</v>
      </c>
      <c r="L176">
        <v>352</v>
      </c>
      <c r="M176">
        <v>0.52430555555555558</v>
      </c>
      <c r="N176">
        <v>12.583333333333334</v>
      </c>
      <c r="O176" t="s">
        <v>3970</v>
      </c>
      <c r="P176" t="s">
        <v>2494</v>
      </c>
      <c r="Q176">
        <v>2017</v>
      </c>
      <c r="R176">
        <v>2011</v>
      </c>
      <c r="S176" s="1">
        <v>45540</v>
      </c>
      <c r="T176" s="1">
        <v>45540</v>
      </c>
      <c r="U176" t="s">
        <v>16</v>
      </c>
    </row>
    <row r="177" spans="1:21" x14ac:dyDescent="0.25">
      <c r="A177">
        <v>176</v>
      </c>
      <c r="B177">
        <v>15869810</v>
      </c>
      <c r="C177" t="s">
        <v>3133</v>
      </c>
      <c r="D177" t="s">
        <v>454</v>
      </c>
      <c r="E177" t="s">
        <v>455</v>
      </c>
      <c r="F177" t="s">
        <v>456</v>
      </c>
      <c r="G177" t="s">
        <v>2602</v>
      </c>
      <c r="H177" t="s">
        <v>3134</v>
      </c>
      <c r="I177" s="5" t="s">
        <v>2890</v>
      </c>
      <c r="J177" t="s">
        <v>2492</v>
      </c>
      <c r="K177" t="s">
        <v>112</v>
      </c>
      <c r="L177">
        <v>512</v>
      </c>
      <c r="M177">
        <v>1.711111111111111</v>
      </c>
      <c r="N177">
        <v>41.066666666666663</v>
      </c>
      <c r="O177" t="s">
        <v>3971</v>
      </c>
      <c r="P177" t="s">
        <v>2486</v>
      </c>
      <c r="Q177">
        <v>2022</v>
      </c>
      <c r="R177">
        <v>1990</v>
      </c>
      <c r="S177" s="1">
        <v>45535</v>
      </c>
      <c r="T177" s="1">
        <v>45492</v>
      </c>
      <c r="U177" t="s">
        <v>16</v>
      </c>
    </row>
    <row r="178" spans="1:21" x14ac:dyDescent="0.25">
      <c r="A178">
        <v>177</v>
      </c>
      <c r="B178">
        <v>38286254</v>
      </c>
      <c r="C178" t="s">
        <v>3135</v>
      </c>
      <c r="D178" t="s">
        <v>458</v>
      </c>
      <c r="E178" t="s">
        <v>459</v>
      </c>
      <c r="F178" t="s">
        <v>460</v>
      </c>
      <c r="H178" t="s">
        <v>3136</v>
      </c>
      <c r="I178" s="5" t="s">
        <v>2890</v>
      </c>
      <c r="J178" t="s">
        <v>1880</v>
      </c>
      <c r="K178" t="s">
        <v>57</v>
      </c>
      <c r="L178">
        <v>283</v>
      </c>
      <c r="P178" t="s">
        <v>2603</v>
      </c>
      <c r="Q178">
        <v>2018</v>
      </c>
      <c r="R178">
        <v>2014</v>
      </c>
      <c r="S178" s="1">
        <v>45527</v>
      </c>
      <c r="T178" s="1">
        <v>45493</v>
      </c>
      <c r="U178" t="s">
        <v>16</v>
      </c>
    </row>
    <row r="179" spans="1:21" x14ac:dyDescent="0.25">
      <c r="A179">
        <v>178</v>
      </c>
      <c r="B179">
        <v>10320691</v>
      </c>
      <c r="C179" t="s">
        <v>461</v>
      </c>
      <c r="D179" t="s">
        <v>2604</v>
      </c>
      <c r="E179" t="s">
        <v>215</v>
      </c>
      <c r="F179" t="s">
        <v>216</v>
      </c>
      <c r="G179" t="s">
        <v>2587</v>
      </c>
      <c r="H179" t="s">
        <v>3137</v>
      </c>
      <c r="I179" s="5" t="s">
        <v>2890</v>
      </c>
      <c r="J179" t="s">
        <v>2532</v>
      </c>
      <c r="K179" t="s">
        <v>112</v>
      </c>
      <c r="L179">
        <v>304</v>
      </c>
      <c r="M179">
        <v>0.44791666666666669</v>
      </c>
      <c r="N179">
        <v>10.75</v>
      </c>
      <c r="O179" t="s">
        <v>3953</v>
      </c>
      <c r="P179" t="s">
        <v>2494</v>
      </c>
      <c r="Q179">
        <v>2016</v>
      </c>
      <c r="R179">
        <v>2010</v>
      </c>
      <c r="S179" s="1">
        <v>45521</v>
      </c>
      <c r="T179" s="1">
        <v>45520</v>
      </c>
      <c r="U179" t="s">
        <v>16</v>
      </c>
    </row>
    <row r="180" spans="1:21" x14ac:dyDescent="0.25">
      <c r="A180">
        <v>179</v>
      </c>
      <c r="B180">
        <v>8497650</v>
      </c>
      <c r="C180" t="s">
        <v>462</v>
      </c>
      <c r="D180" t="s">
        <v>2605</v>
      </c>
      <c r="E180" t="s">
        <v>215</v>
      </c>
      <c r="F180" t="s">
        <v>216</v>
      </c>
      <c r="G180" t="s">
        <v>2587</v>
      </c>
      <c r="H180" t="s">
        <v>3138</v>
      </c>
      <c r="I180" s="5" t="s">
        <v>2890</v>
      </c>
      <c r="J180" t="s">
        <v>2532</v>
      </c>
      <c r="K180" t="s">
        <v>112</v>
      </c>
      <c r="L180">
        <v>312</v>
      </c>
      <c r="M180">
        <v>0.45833333333333331</v>
      </c>
      <c r="N180">
        <v>11</v>
      </c>
      <c r="O180" t="s">
        <v>3972</v>
      </c>
      <c r="P180" t="s">
        <v>2494</v>
      </c>
      <c r="Q180">
        <v>2015</v>
      </c>
      <c r="R180">
        <v>2009</v>
      </c>
      <c r="S180" s="1">
        <v>45520</v>
      </c>
      <c r="T180" s="1">
        <v>45517</v>
      </c>
      <c r="U180" t="s">
        <v>16</v>
      </c>
    </row>
    <row r="181" spans="1:21" x14ac:dyDescent="0.25">
      <c r="A181">
        <v>180</v>
      </c>
      <c r="B181">
        <v>10753010</v>
      </c>
      <c r="C181" t="s">
        <v>463</v>
      </c>
      <c r="D181" t="s">
        <v>2606</v>
      </c>
      <c r="E181" t="s">
        <v>215</v>
      </c>
      <c r="F181" t="s">
        <v>216</v>
      </c>
      <c r="G181" t="s">
        <v>2531</v>
      </c>
      <c r="H181" t="s">
        <v>3139</v>
      </c>
      <c r="I181" s="5" t="s">
        <v>2890</v>
      </c>
      <c r="J181" t="s">
        <v>2532</v>
      </c>
      <c r="K181" t="s">
        <v>112</v>
      </c>
      <c r="L181">
        <v>380</v>
      </c>
      <c r="M181">
        <v>0.46597222222222223</v>
      </c>
      <c r="N181">
        <v>11.183333333333334</v>
      </c>
      <c r="O181" t="s">
        <v>3973</v>
      </c>
      <c r="P181" t="s">
        <v>2494</v>
      </c>
      <c r="Q181">
        <v>2021</v>
      </c>
      <c r="R181">
        <v>2008</v>
      </c>
      <c r="S181" s="1">
        <v>45514</v>
      </c>
      <c r="T181" s="1">
        <v>45514</v>
      </c>
      <c r="U181" t="s">
        <v>16</v>
      </c>
    </row>
    <row r="182" spans="1:21" x14ac:dyDescent="0.25">
      <c r="A182">
        <v>181</v>
      </c>
      <c r="B182">
        <v>10395407</v>
      </c>
      <c r="C182" t="s">
        <v>464</v>
      </c>
      <c r="D182" t="s">
        <v>2607</v>
      </c>
      <c r="E182" t="s">
        <v>215</v>
      </c>
      <c r="F182" t="s">
        <v>216</v>
      </c>
      <c r="G182" t="s">
        <v>2531</v>
      </c>
      <c r="H182" t="s">
        <v>3140</v>
      </c>
      <c r="I182" s="5" t="s">
        <v>2890</v>
      </c>
      <c r="J182" t="s">
        <v>2532</v>
      </c>
      <c r="K182" t="s">
        <v>112</v>
      </c>
      <c r="L182">
        <v>334</v>
      </c>
      <c r="M182">
        <v>0.4777777777777778</v>
      </c>
      <c r="N182">
        <v>11.466666666666667</v>
      </c>
      <c r="O182" t="s">
        <v>3974</v>
      </c>
      <c r="P182" t="s">
        <v>2494</v>
      </c>
      <c r="Q182">
        <v>2020</v>
      </c>
      <c r="R182">
        <v>2008</v>
      </c>
      <c r="S182" s="1">
        <v>45513</v>
      </c>
      <c r="T182" s="1">
        <v>45513</v>
      </c>
      <c r="U182" t="s">
        <v>16</v>
      </c>
    </row>
    <row r="183" spans="1:21" x14ac:dyDescent="0.25">
      <c r="A183">
        <v>182</v>
      </c>
      <c r="B183">
        <v>43186534</v>
      </c>
      <c r="C183" t="s">
        <v>3141</v>
      </c>
      <c r="D183" t="s">
        <v>466</v>
      </c>
      <c r="E183" t="s">
        <v>467</v>
      </c>
      <c r="F183" t="s">
        <v>468</v>
      </c>
      <c r="H183" t="s">
        <v>3142</v>
      </c>
      <c r="I183" s="5" t="s">
        <v>2890</v>
      </c>
      <c r="J183" t="s">
        <v>2608</v>
      </c>
      <c r="K183" t="s">
        <v>57</v>
      </c>
      <c r="L183">
        <v>343</v>
      </c>
      <c r="P183" t="s">
        <v>2603</v>
      </c>
      <c r="Q183">
        <v>2018</v>
      </c>
      <c r="R183">
        <v>2018</v>
      </c>
      <c r="S183" s="1">
        <v>45510</v>
      </c>
      <c r="T183" s="1">
        <v>45490</v>
      </c>
      <c r="U183" t="s">
        <v>16</v>
      </c>
    </row>
    <row r="184" spans="1:21" x14ac:dyDescent="0.25">
      <c r="A184">
        <v>183</v>
      </c>
      <c r="B184">
        <v>207694936</v>
      </c>
      <c r="C184" t="s">
        <v>3143</v>
      </c>
      <c r="D184" t="s">
        <v>470</v>
      </c>
      <c r="E184" t="s">
        <v>471</v>
      </c>
      <c r="F184" t="s">
        <v>472</v>
      </c>
      <c r="G184" t="s">
        <v>2609</v>
      </c>
      <c r="H184" t="s">
        <v>3144</v>
      </c>
      <c r="I184" s="5" t="s">
        <v>2890</v>
      </c>
      <c r="J184" t="s">
        <v>2492</v>
      </c>
      <c r="K184" t="s">
        <v>112</v>
      </c>
      <c r="L184">
        <v>583</v>
      </c>
      <c r="M184">
        <v>1.0798611111111112</v>
      </c>
      <c r="N184">
        <v>25.916666666666668</v>
      </c>
      <c r="O184" t="s">
        <v>3975</v>
      </c>
      <c r="P184" t="s">
        <v>2486</v>
      </c>
      <c r="Q184">
        <v>2024</v>
      </c>
      <c r="R184">
        <v>2022</v>
      </c>
      <c r="S184" s="1">
        <v>45510</v>
      </c>
      <c r="T184" s="1">
        <v>45504</v>
      </c>
      <c r="U184" t="s">
        <v>16</v>
      </c>
    </row>
    <row r="185" spans="1:21" x14ac:dyDescent="0.25">
      <c r="A185">
        <v>184</v>
      </c>
      <c r="B185">
        <v>22489107</v>
      </c>
      <c r="C185" t="s">
        <v>3145</v>
      </c>
      <c r="D185" t="s">
        <v>474</v>
      </c>
      <c r="E185" t="s">
        <v>422</v>
      </c>
      <c r="F185" t="s">
        <v>423</v>
      </c>
      <c r="H185" t="s">
        <v>3146</v>
      </c>
      <c r="I185" s="5" t="s">
        <v>2890</v>
      </c>
      <c r="J185" t="s">
        <v>1866</v>
      </c>
      <c r="K185" t="s">
        <v>57</v>
      </c>
      <c r="L185">
        <v>272</v>
      </c>
      <c r="P185" t="s">
        <v>2486</v>
      </c>
      <c r="Q185">
        <v>2015</v>
      </c>
      <c r="R185">
        <v>2015</v>
      </c>
      <c r="S185" s="1">
        <v>45507</v>
      </c>
      <c r="T185" s="1">
        <v>45504</v>
      </c>
      <c r="U185" t="s">
        <v>16</v>
      </c>
    </row>
    <row r="186" spans="1:21" x14ac:dyDescent="0.25">
      <c r="A186">
        <v>185</v>
      </c>
      <c r="B186">
        <v>6499374</v>
      </c>
      <c r="C186" t="s">
        <v>3147</v>
      </c>
      <c r="D186" t="s">
        <v>476</v>
      </c>
      <c r="E186" t="s">
        <v>174</v>
      </c>
      <c r="F186" t="s">
        <v>175</v>
      </c>
      <c r="G186" t="s">
        <v>2528</v>
      </c>
      <c r="H186" t="s">
        <v>3148</v>
      </c>
      <c r="I186" s="5" t="s">
        <v>2890</v>
      </c>
      <c r="J186" t="s">
        <v>2492</v>
      </c>
      <c r="K186" t="s">
        <v>112</v>
      </c>
      <c r="L186">
        <v>382</v>
      </c>
      <c r="M186">
        <v>0.5756944444444444</v>
      </c>
      <c r="N186">
        <v>13.816666666666666</v>
      </c>
      <c r="O186" t="s">
        <v>3976</v>
      </c>
      <c r="P186" t="s">
        <v>2486</v>
      </c>
      <c r="Q186">
        <v>2018</v>
      </c>
      <c r="R186">
        <v>1989</v>
      </c>
      <c r="S186" s="1">
        <v>45504</v>
      </c>
      <c r="T186" s="1">
        <v>45498</v>
      </c>
      <c r="U186" t="s">
        <v>16</v>
      </c>
    </row>
    <row r="187" spans="1:21" x14ac:dyDescent="0.25">
      <c r="A187">
        <v>186</v>
      </c>
      <c r="B187">
        <v>39752016</v>
      </c>
      <c r="C187" t="s">
        <v>3149</v>
      </c>
      <c r="D187" t="s">
        <v>478</v>
      </c>
      <c r="E187" t="s">
        <v>467</v>
      </c>
      <c r="F187" t="s">
        <v>468</v>
      </c>
      <c r="H187" t="s">
        <v>3150</v>
      </c>
      <c r="I187" s="5" t="s">
        <v>2890</v>
      </c>
      <c r="J187" t="s">
        <v>2608</v>
      </c>
      <c r="K187" t="s">
        <v>57</v>
      </c>
      <c r="L187">
        <v>358</v>
      </c>
      <c r="P187" t="s">
        <v>2603</v>
      </c>
      <c r="Q187">
        <v>2017</v>
      </c>
      <c r="R187">
        <v>2018</v>
      </c>
      <c r="S187" s="1">
        <v>45503</v>
      </c>
      <c r="T187" s="1">
        <v>45478</v>
      </c>
      <c r="U187" t="s">
        <v>16</v>
      </c>
    </row>
    <row r="188" spans="1:21" x14ac:dyDescent="0.25">
      <c r="A188">
        <v>187</v>
      </c>
      <c r="B188">
        <v>13206828</v>
      </c>
      <c r="C188" t="s">
        <v>3151</v>
      </c>
      <c r="D188" t="s">
        <v>480</v>
      </c>
      <c r="E188" t="s">
        <v>422</v>
      </c>
      <c r="F188" t="s">
        <v>423</v>
      </c>
      <c r="H188" t="s">
        <v>3152</v>
      </c>
      <c r="I188" s="5" t="s">
        <v>2890</v>
      </c>
      <c r="J188" t="s">
        <v>1866</v>
      </c>
      <c r="K188" t="s">
        <v>57</v>
      </c>
      <c r="L188">
        <v>552</v>
      </c>
      <c r="P188" t="s">
        <v>2486</v>
      </c>
      <c r="Q188">
        <v>2014</v>
      </c>
      <c r="R188">
        <v>2014</v>
      </c>
      <c r="S188" s="1">
        <v>45501</v>
      </c>
      <c r="T188" s="1">
        <v>45491</v>
      </c>
      <c r="U188" t="s">
        <v>16</v>
      </c>
    </row>
    <row r="189" spans="1:21" x14ac:dyDescent="0.25">
      <c r="A189">
        <v>188</v>
      </c>
      <c r="B189">
        <v>55304052</v>
      </c>
      <c r="C189" t="s">
        <v>481</v>
      </c>
      <c r="D189" t="s">
        <v>17</v>
      </c>
      <c r="E189" t="s">
        <v>482</v>
      </c>
      <c r="F189" t="s">
        <v>483</v>
      </c>
      <c r="G189" t="s">
        <v>2610</v>
      </c>
      <c r="H189" t="s">
        <v>3153</v>
      </c>
      <c r="I189" s="5" t="s">
        <v>2890</v>
      </c>
      <c r="J189" t="s">
        <v>2492</v>
      </c>
      <c r="K189" t="s">
        <v>112</v>
      </c>
      <c r="L189">
        <v>400</v>
      </c>
      <c r="M189">
        <v>0.61597222222222225</v>
      </c>
      <c r="N189">
        <v>14.783333333333335</v>
      </c>
      <c r="O189" t="s">
        <v>3977</v>
      </c>
      <c r="P189" t="s">
        <v>2486</v>
      </c>
      <c r="Q189">
        <v>2021</v>
      </c>
      <c r="R189">
        <v>2020</v>
      </c>
      <c r="S189" s="1">
        <v>45498</v>
      </c>
      <c r="T189" s="1">
        <v>45493</v>
      </c>
      <c r="U189" t="s">
        <v>16</v>
      </c>
    </row>
    <row r="190" spans="1:21" x14ac:dyDescent="0.25">
      <c r="A190">
        <v>189</v>
      </c>
      <c r="B190">
        <v>13206760</v>
      </c>
      <c r="C190" t="s">
        <v>3154</v>
      </c>
      <c r="D190" t="s">
        <v>485</v>
      </c>
      <c r="E190" t="s">
        <v>422</v>
      </c>
      <c r="F190" t="s">
        <v>423</v>
      </c>
      <c r="H190" t="s">
        <v>3155</v>
      </c>
      <c r="I190" s="5" t="s">
        <v>2890</v>
      </c>
      <c r="J190" t="s">
        <v>1866</v>
      </c>
      <c r="K190" t="s">
        <v>57</v>
      </c>
      <c r="L190">
        <v>454</v>
      </c>
      <c r="P190" t="s">
        <v>2486</v>
      </c>
      <c r="Q190">
        <v>2013</v>
      </c>
      <c r="R190">
        <v>2013</v>
      </c>
      <c r="S190" s="1">
        <v>45491</v>
      </c>
      <c r="T190" s="1">
        <v>45407</v>
      </c>
      <c r="U190" t="s">
        <v>16</v>
      </c>
    </row>
    <row r="191" spans="1:21" x14ac:dyDescent="0.25">
      <c r="A191">
        <v>190</v>
      </c>
      <c r="B191">
        <v>59431898</v>
      </c>
      <c r="C191" t="s">
        <v>486</v>
      </c>
      <c r="D191" t="s">
        <v>17</v>
      </c>
      <c r="E191" t="s">
        <v>487</v>
      </c>
      <c r="F191" t="s">
        <v>488</v>
      </c>
      <c r="G191" t="s">
        <v>2611</v>
      </c>
      <c r="H191" t="s">
        <v>3156</v>
      </c>
      <c r="I191" s="5" t="s">
        <v>2890</v>
      </c>
      <c r="J191" t="s">
        <v>2532</v>
      </c>
      <c r="K191" t="s">
        <v>112</v>
      </c>
      <c r="L191">
        <v>224</v>
      </c>
      <c r="M191">
        <v>0.44861111111111113</v>
      </c>
      <c r="N191">
        <v>10.766666666666667</v>
      </c>
      <c r="O191" t="s">
        <v>3978</v>
      </c>
      <c r="P191" t="s">
        <v>2494</v>
      </c>
      <c r="Q191">
        <v>2020</v>
      </c>
      <c r="R191">
        <v>2020</v>
      </c>
      <c r="S191" s="1">
        <v>45491</v>
      </c>
      <c r="T191" s="1">
        <v>45476</v>
      </c>
      <c r="U191" t="s">
        <v>16</v>
      </c>
    </row>
    <row r="192" spans="1:21" x14ac:dyDescent="0.25">
      <c r="A192">
        <v>191</v>
      </c>
      <c r="B192">
        <v>37458994</v>
      </c>
      <c r="C192" t="s">
        <v>489</v>
      </c>
      <c r="D192" t="s">
        <v>17</v>
      </c>
      <c r="E192" t="s">
        <v>418</v>
      </c>
      <c r="F192" t="s">
        <v>419</v>
      </c>
      <c r="G192" t="s">
        <v>2602</v>
      </c>
      <c r="H192" t="s">
        <v>3157</v>
      </c>
      <c r="I192" s="5" t="s">
        <v>2890</v>
      </c>
      <c r="J192" t="s">
        <v>2492</v>
      </c>
      <c r="K192" t="s">
        <v>112</v>
      </c>
      <c r="L192">
        <v>256</v>
      </c>
      <c r="M192">
        <v>0.26597222222222222</v>
      </c>
      <c r="N192">
        <v>6.3833333333333329</v>
      </c>
      <c r="O192" t="s">
        <v>3979</v>
      </c>
      <c r="P192" t="s">
        <v>2486</v>
      </c>
      <c r="Q192">
        <v>2018</v>
      </c>
      <c r="R192">
        <v>2017</v>
      </c>
      <c r="S192" s="1">
        <v>45490</v>
      </c>
      <c r="T192" s="1">
        <v>45487</v>
      </c>
      <c r="U192" t="s">
        <v>16</v>
      </c>
    </row>
    <row r="193" spans="1:21" x14ac:dyDescent="0.25">
      <c r="A193">
        <v>192</v>
      </c>
      <c r="B193">
        <v>55219456</v>
      </c>
      <c r="C193" t="s">
        <v>3158</v>
      </c>
      <c r="D193" t="s">
        <v>491</v>
      </c>
      <c r="E193" t="s">
        <v>459</v>
      </c>
      <c r="F193" t="s">
        <v>460</v>
      </c>
      <c r="H193" t="s">
        <v>3159</v>
      </c>
      <c r="I193" s="5" t="s">
        <v>2890</v>
      </c>
      <c r="J193" t="s">
        <v>2612</v>
      </c>
      <c r="K193" t="s">
        <v>2488</v>
      </c>
      <c r="L193">
        <v>268</v>
      </c>
      <c r="P193" t="s">
        <v>2494</v>
      </c>
      <c r="Q193">
        <v>2013</v>
      </c>
      <c r="R193">
        <v>2013</v>
      </c>
      <c r="S193" s="1">
        <v>45484</v>
      </c>
      <c r="T193" s="1">
        <v>45481</v>
      </c>
      <c r="U193" t="s">
        <v>16</v>
      </c>
    </row>
    <row r="194" spans="1:21" x14ac:dyDescent="0.25">
      <c r="A194">
        <v>193</v>
      </c>
      <c r="B194">
        <v>60778179</v>
      </c>
      <c r="C194" t="s">
        <v>492</v>
      </c>
      <c r="D194" t="s">
        <v>17</v>
      </c>
      <c r="E194" t="s">
        <v>493</v>
      </c>
      <c r="F194" t="s">
        <v>494</v>
      </c>
      <c r="G194" t="s">
        <v>2555</v>
      </c>
      <c r="H194" t="s">
        <v>3160</v>
      </c>
      <c r="I194" s="5" t="s">
        <v>2890</v>
      </c>
      <c r="J194" t="s">
        <v>1687</v>
      </c>
      <c r="K194" t="s">
        <v>112</v>
      </c>
      <c r="L194">
        <v>352</v>
      </c>
      <c r="M194">
        <v>0.4465277777777778</v>
      </c>
      <c r="N194">
        <v>10.716666666666667</v>
      </c>
      <c r="O194" t="s">
        <v>3895</v>
      </c>
      <c r="P194" t="s">
        <v>2486</v>
      </c>
      <c r="Q194">
        <v>2019</v>
      </c>
      <c r="R194">
        <v>2018</v>
      </c>
      <c r="S194" s="1">
        <v>45483</v>
      </c>
      <c r="T194" s="1">
        <v>45478</v>
      </c>
      <c r="U194" t="s">
        <v>16</v>
      </c>
    </row>
    <row r="195" spans="1:21" x14ac:dyDescent="0.25">
      <c r="A195">
        <v>194</v>
      </c>
      <c r="B195">
        <v>8497627</v>
      </c>
      <c r="C195" t="s">
        <v>495</v>
      </c>
      <c r="D195" t="s">
        <v>2613</v>
      </c>
      <c r="E195" t="s">
        <v>215</v>
      </c>
      <c r="F195" t="s">
        <v>216</v>
      </c>
      <c r="G195" t="s">
        <v>2587</v>
      </c>
      <c r="H195">
        <v>9788080853556</v>
      </c>
      <c r="I195" s="5" t="s">
        <v>2890</v>
      </c>
      <c r="J195" t="s">
        <v>2532</v>
      </c>
      <c r="K195" t="s">
        <v>112</v>
      </c>
      <c r="L195">
        <v>264</v>
      </c>
      <c r="M195">
        <v>0.46527777777777779</v>
      </c>
      <c r="N195">
        <v>11.166666666666668</v>
      </c>
      <c r="O195" t="s">
        <v>3959</v>
      </c>
      <c r="P195" t="s">
        <v>2494</v>
      </c>
      <c r="Q195">
        <v>2017</v>
      </c>
      <c r="R195">
        <v>2007</v>
      </c>
      <c r="S195" s="1">
        <v>45482</v>
      </c>
      <c r="T195" s="1">
        <v>45481</v>
      </c>
      <c r="U195" t="s">
        <v>16</v>
      </c>
    </row>
    <row r="196" spans="1:21" x14ac:dyDescent="0.25">
      <c r="A196">
        <v>195</v>
      </c>
      <c r="B196">
        <v>13544067</v>
      </c>
      <c r="C196" t="s">
        <v>3162</v>
      </c>
      <c r="D196" t="s">
        <v>497</v>
      </c>
      <c r="E196" t="s">
        <v>459</v>
      </c>
      <c r="F196" t="s">
        <v>460</v>
      </c>
      <c r="H196" t="s">
        <v>3163</v>
      </c>
      <c r="I196" s="5" t="s">
        <v>2890</v>
      </c>
      <c r="J196" t="s">
        <v>1859</v>
      </c>
      <c r="K196" t="s">
        <v>2488</v>
      </c>
      <c r="L196">
        <v>312</v>
      </c>
      <c r="P196" t="s">
        <v>2494</v>
      </c>
      <c r="Q196">
        <v>2012</v>
      </c>
      <c r="R196">
        <v>2012</v>
      </c>
      <c r="S196" s="1">
        <v>45481</v>
      </c>
      <c r="T196" s="1">
        <v>45479</v>
      </c>
      <c r="U196" t="s">
        <v>16</v>
      </c>
    </row>
    <row r="197" spans="1:21" x14ac:dyDescent="0.25">
      <c r="A197">
        <v>196</v>
      </c>
      <c r="B197">
        <v>10227357</v>
      </c>
      <c r="C197" t="s">
        <v>498</v>
      </c>
      <c r="D197" t="s">
        <v>2614</v>
      </c>
      <c r="E197" t="s">
        <v>215</v>
      </c>
      <c r="F197" t="s">
        <v>216</v>
      </c>
      <c r="G197" t="s">
        <v>2587</v>
      </c>
      <c r="H197" t="s">
        <v>3164</v>
      </c>
      <c r="I197" s="5" t="s">
        <v>2901</v>
      </c>
      <c r="J197" t="s">
        <v>2532</v>
      </c>
      <c r="K197" t="s">
        <v>112</v>
      </c>
      <c r="L197">
        <v>320</v>
      </c>
      <c r="M197">
        <v>0.56527777777777777</v>
      </c>
      <c r="N197">
        <v>13.566666666666666</v>
      </c>
      <c r="O197" t="s">
        <v>3980</v>
      </c>
      <c r="P197" t="s">
        <v>2494</v>
      </c>
      <c r="Q197">
        <v>2017</v>
      </c>
      <c r="R197">
        <v>2005</v>
      </c>
      <c r="S197" s="1">
        <v>45480</v>
      </c>
      <c r="T197" s="1">
        <v>45479</v>
      </c>
      <c r="U197" t="s">
        <v>16</v>
      </c>
    </row>
    <row r="198" spans="1:21" x14ac:dyDescent="0.25">
      <c r="A198">
        <v>197</v>
      </c>
      <c r="B198">
        <v>195913987</v>
      </c>
      <c r="C198" t="s">
        <v>499</v>
      </c>
      <c r="D198" t="s">
        <v>17</v>
      </c>
      <c r="E198" t="s">
        <v>500</v>
      </c>
      <c r="F198" t="s">
        <v>501</v>
      </c>
      <c r="H198" t="s">
        <v>3165</v>
      </c>
      <c r="I198" s="5" t="s">
        <v>2890</v>
      </c>
      <c r="J198" t="s">
        <v>1898</v>
      </c>
      <c r="K198" t="s">
        <v>2488</v>
      </c>
      <c r="L198">
        <v>384</v>
      </c>
      <c r="P198" t="s">
        <v>2494</v>
      </c>
      <c r="Q198">
        <v>2023</v>
      </c>
      <c r="R198">
        <v>2022</v>
      </c>
      <c r="S198" s="1">
        <v>45476</v>
      </c>
      <c r="T198" s="1">
        <v>45468</v>
      </c>
      <c r="U198" t="s">
        <v>16</v>
      </c>
    </row>
    <row r="199" spans="1:21" x14ac:dyDescent="0.25">
      <c r="A199">
        <v>198</v>
      </c>
      <c r="B199">
        <v>37803101</v>
      </c>
      <c r="C199" t="s">
        <v>502</v>
      </c>
      <c r="D199" t="s">
        <v>17</v>
      </c>
      <c r="E199" t="s">
        <v>503</v>
      </c>
      <c r="F199" t="s">
        <v>504</v>
      </c>
      <c r="G199" t="s">
        <v>2615</v>
      </c>
      <c r="H199" t="s">
        <v>3166</v>
      </c>
      <c r="I199" s="5" t="s">
        <v>2917</v>
      </c>
      <c r="J199" t="s">
        <v>2492</v>
      </c>
      <c r="K199" t="s">
        <v>112</v>
      </c>
      <c r="L199">
        <v>90</v>
      </c>
      <c r="M199">
        <v>5.9722222222222225E-2</v>
      </c>
      <c r="N199">
        <v>1.4333333333333333</v>
      </c>
      <c r="O199" t="s">
        <v>3981</v>
      </c>
      <c r="P199" t="s">
        <v>2486</v>
      </c>
      <c r="Q199">
        <v>2018</v>
      </c>
      <c r="R199">
        <v>2015</v>
      </c>
      <c r="S199" s="1">
        <v>45476</v>
      </c>
      <c r="T199" s="1">
        <v>45472</v>
      </c>
      <c r="U199" t="s">
        <v>16</v>
      </c>
    </row>
    <row r="200" spans="1:21" x14ac:dyDescent="0.25">
      <c r="A200">
        <v>199</v>
      </c>
      <c r="B200">
        <v>58243582</v>
      </c>
      <c r="C200" t="s">
        <v>505</v>
      </c>
      <c r="D200" t="s">
        <v>2616</v>
      </c>
      <c r="E200" t="s">
        <v>506</v>
      </c>
      <c r="F200" t="s">
        <v>507</v>
      </c>
      <c r="G200" t="s">
        <v>2518</v>
      </c>
      <c r="H200" t="s">
        <v>3167</v>
      </c>
      <c r="I200" s="5" t="s">
        <v>2890</v>
      </c>
      <c r="J200" t="s">
        <v>2532</v>
      </c>
      <c r="K200" t="s">
        <v>112</v>
      </c>
      <c r="L200">
        <v>360</v>
      </c>
      <c r="M200">
        <v>0.53333333333333333</v>
      </c>
      <c r="N200">
        <v>12.8</v>
      </c>
      <c r="O200" t="s">
        <v>3982</v>
      </c>
      <c r="P200" t="s">
        <v>2494</v>
      </c>
      <c r="Q200">
        <v>2022</v>
      </c>
      <c r="R200">
        <v>2020</v>
      </c>
      <c r="S200" s="1">
        <v>45476</v>
      </c>
      <c r="T200" s="1">
        <v>45461</v>
      </c>
      <c r="U200" t="s">
        <v>16</v>
      </c>
    </row>
    <row r="201" spans="1:21" x14ac:dyDescent="0.25">
      <c r="A201">
        <v>200</v>
      </c>
      <c r="B201">
        <v>37877383</v>
      </c>
      <c r="C201" t="s">
        <v>508</v>
      </c>
      <c r="D201" t="s">
        <v>17</v>
      </c>
      <c r="E201" t="s">
        <v>509</v>
      </c>
      <c r="F201" t="s">
        <v>510</v>
      </c>
      <c r="G201" t="s">
        <v>2521</v>
      </c>
      <c r="H201" t="s">
        <v>3168</v>
      </c>
      <c r="I201" s="5" t="s">
        <v>2890</v>
      </c>
      <c r="J201" t="s">
        <v>2617</v>
      </c>
      <c r="K201" t="s">
        <v>112</v>
      </c>
      <c r="L201">
        <v>328</v>
      </c>
      <c r="M201">
        <v>0.43263888888888891</v>
      </c>
      <c r="N201">
        <v>10.383333333333333</v>
      </c>
      <c r="O201" t="s">
        <v>3960</v>
      </c>
      <c r="P201" t="s">
        <v>2486</v>
      </c>
      <c r="Q201">
        <v>2023</v>
      </c>
      <c r="R201">
        <v>2014</v>
      </c>
      <c r="S201" s="1">
        <v>45460</v>
      </c>
      <c r="T201" s="1">
        <v>45456</v>
      </c>
      <c r="U201" t="s">
        <v>16</v>
      </c>
    </row>
    <row r="202" spans="1:21" x14ac:dyDescent="0.25">
      <c r="A202">
        <v>201</v>
      </c>
      <c r="B202">
        <v>63375893</v>
      </c>
      <c r="C202" t="s">
        <v>511</v>
      </c>
      <c r="D202" t="s">
        <v>17</v>
      </c>
      <c r="E202" t="s">
        <v>512</v>
      </c>
      <c r="F202" t="s">
        <v>513</v>
      </c>
      <c r="G202" t="s">
        <v>2618</v>
      </c>
      <c r="H202" t="s">
        <v>3169</v>
      </c>
      <c r="I202" s="5" t="s">
        <v>2890</v>
      </c>
      <c r="J202" t="s">
        <v>2532</v>
      </c>
      <c r="K202" t="s">
        <v>112</v>
      </c>
      <c r="L202">
        <v>368</v>
      </c>
      <c r="M202">
        <v>0.67083333333333328</v>
      </c>
      <c r="N202">
        <v>16.099999999999998</v>
      </c>
      <c r="O202" t="s">
        <v>3983</v>
      </c>
      <c r="P202" t="s">
        <v>2494</v>
      </c>
      <c r="Q202">
        <v>2024</v>
      </c>
      <c r="R202">
        <v>2022</v>
      </c>
      <c r="S202" s="1">
        <v>45455</v>
      </c>
      <c r="T202" s="1">
        <v>45451</v>
      </c>
      <c r="U202" t="s">
        <v>16</v>
      </c>
    </row>
    <row r="203" spans="1:21" x14ac:dyDescent="0.25">
      <c r="A203">
        <v>202</v>
      </c>
      <c r="B203">
        <v>13596166</v>
      </c>
      <c r="C203" t="s">
        <v>514</v>
      </c>
      <c r="D203" t="s">
        <v>17</v>
      </c>
      <c r="E203" t="s">
        <v>287</v>
      </c>
      <c r="F203" t="s">
        <v>288</v>
      </c>
      <c r="H203" t="s">
        <v>3170</v>
      </c>
      <c r="I203" s="5" t="s">
        <v>2890</v>
      </c>
      <c r="J203" t="s">
        <v>1904</v>
      </c>
      <c r="K203" t="s">
        <v>2488</v>
      </c>
      <c r="L203">
        <v>285</v>
      </c>
      <c r="P203" t="s">
        <v>2494</v>
      </c>
      <c r="Q203">
        <v>2013</v>
      </c>
      <c r="R203">
        <v>2013</v>
      </c>
      <c r="S203" s="1">
        <v>45453</v>
      </c>
      <c r="T203" s="1">
        <v>45439</v>
      </c>
      <c r="U203" t="s">
        <v>16</v>
      </c>
    </row>
    <row r="204" spans="1:21" x14ac:dyDescent="0.25">
      <c r="A204">
        <v>203</v>
      </c>
      <c r="B204">
        <v>50888947</v>
      </c>
      <c r="C204" t="s">
        <v>2619</v>
      </c>
      <c r="D204" t="s">
        <v>515</v>
      </c>
      <c r="E204" t="s">
        <v>516</v>
      </c>
      <c r="F204" t="s">
        <v>517</v>
      </c>
      <c r="H204" t="s">
        <v>3171</v>
      </c>
      <c r="I204" s="5" t="s">
        <v>2890</v>
      </c>
      <c r="J204" t="s">
        <v>1770</v>
      </c>
      <c r="K204" t="s">
        <v>2488</v>
      </c>
      <c r="L204">
        <v>302</v>
      </c>
      <c r="P204" t="s">
        <v>2494</v>
      </c>
      <c r="Q204">
        <v>2023</v>
      </c>
      <c r="R204">
        <v>2020</v>
      </c>
      <c r="S204" s="1">
        <v>45448</v>
      </c>
      <c r="T204" s="1">
        <v>45444</v>
      </c>
      <c r="U204" t="s">
        <v>16</v>
      </c>
    </row>
    <row r="205" spans="1:21" x14ac:dyDescent="0.25">
      <c r="A205">
        <v>204</v>
      </c>
      <c r="B205">
        <v>24763063</v>
      </c>
      <c r="C205" t="s">
        <v>3172</v>
      </c>
      <c r="D205" t="s">
        <v>519</v>
      </c>
      <c r="E205" t="s">
        <v>280</v>
      </c>
      <c r="F205" t="s">
        <v>281</v>
      </c>
      <c r="G205" t="s">
        <v>2620</v>
      </c>
      <c r="H205" t="s">
        <v>3173</v>
      </c>
      <c r="I205" s="5" t="s">
        <v>2917</v>
      </c>
      <c r="J205" t="s">
        <v>2492</v>
      </c>
      <c r="K205" t="s">
        <v>112</v>
      </c>
      <c r="L205">
        <v>440</v>
      </c>
      <c r="M205">
        <v>0.47638888888888886</v>
      </c>
      <c r="N205">
        <v>11.433333333333334</v>
      </c>
      <c r="O205" t="s">
        <v>3984</v>
      </c>
      <c r="P205" t="s">
        <v>2486</v>
      </c>
      <c r="Q205">
        <v>2015</v>
      </c>
      <c r="R205">
        <v>1999</v>
      </c>
      <c r="S205" s="1">
        <v>45446</v>
      </c>
      <c r="T205" s="1">
        <v>45439</v>
      </c>
      <c r="U205" t="s">
        <v>16</v>
      </c>
    </row>
    <row r="206" spans="1:21" x14ac:dyDescent="0.25">
      <c r="A206">
        <v>205</v>
      </c>
      <c r="B206">
        <v>60628432</v>
      </c>
      <c r="C206" t="s">
        <v>3174</v>
      </c>
      <c r="D206" t="s">
        <v>521</v>
      </c>
      <c r="E206" t="s">
        <v>522</v>
      </c>
      <c r="F206" t="s">
        <v>523</v>
      </c>
      <c r="G206" t="s">
        <v>2621</v>
      </c>
      <c r="H206" t="s">
        <v>3175</v>
      </c>
      <c r="I206" s="5" t="s">
        <v>2890</v>
      </c>
      <c r="J206" t="s">
        <v>2492</v>
      </c>
      <c r="K206" t="s">
        <v>112</v>
      </c>
      <c r="L206">
        <v>432</v>
      </c>
      <c r="M206">
        <v>0.5708333333333333</v>
      </c>
      <c r="N206">
        <v>13.7</v>
      </c>
      <c r="O206" t="s">
        <v>3985</v>
      </c>
      <c r="P206" t="s">
        <v>2486</v>
      </c>
      <c r="Q206">
        <v>2023</v>
      </c>
      <c r="R206">
        <v>2018</v>
      </c>
      <c r="S206" s="1">
        <v>45437</v>
      </c>
      <c r="T206" s="1">
        <v>45435</v>
      </c>
      <c r="U206" t="s">
        <v>16</v>
      </c>
    </row>
    <row r="207" spans="1:21" x14ac:dyDescent="0.25">
      <c r="A207">
        <v>206</v>
      </c>
      <c r="B207">
        <v>61671048</v>
      </c>
      <c r="C207" t="s">
        <v>524</v>
      </c>
      <c r="D207" t="s">
        <v>17</v>
      </c>
      <c r="E207" t="s">
        <v>335</v>
      </c>
      <c r="F207" t="s">
        <v>2563</v>
      </c>
      <c r="G207" t="s">
        <v>2564</v>
      </c>
      <c r="H207" t="s">
        <v>3176</v>
      </c>
      <c r="I207" s="5" t="s">
        <v>2890</v>
      </c>
      <c r="J207" t="s">
        <v>2532</v>
      </c>
      <c r="K207" t="s">
        <v>112</v>
      </c>
      <c r="L207">
        <v>230</v>
      </c>
      <c r="M207">
        <v>0.21805555555555556</v>
      </c>
      <c r="N207">
        <v>5.2333333333333334</v>
      </c>
      <c r="O207" t="s">
        <v>3986</v>
      </c>
      <c r="P207" t="s">
        <v>2494</v>
      </c>
      <c r="Q207">
        <v>2022</v>
      </c>
      <c r="R207">
        <v>2022</v>
      </c>
      <c r="S207" s="1">
        <v>45435</v>
      </c>
      <c r="T207" s="1">
        <v>45432</v>
      </c>
      <c r="U207" t="s">
        <v>16</v>
      </c>
    </row>
    <row r="208" spans="1:21" x14ac:dyDescent="0.25">
      <c r="A208">
        <v>207</v>
      </c>
      <c r="B208">
        <v>18144052</v>
      </c>
      <c r="C208" t="s">
        <v>525</v>
      </c>
      <c r="D208" t="s">
        <v>17</v>
      </c>
      <c r="E208" t="s">
        <v>526</v>
      </c>
      <c r="F208" t="s">
        <v>527</v>
      </c>
      <c r="H208" t="s">
        <v>3177</v>
      </c>
      <c r="I208" s="5" t="s">
        <v>2890</v>
      </c>
      <c r="J208" t="s">
        <v>1910</v>
      </c>
      <c r="K208" t="s">
        <v>2488</v>
      </c>
      <c r="L208">
        <v>611</v>
      </c>
      <c r="P208" t="s">
        <v>2486</v>
      </c>
      <c r="Q208">
        <v>2012</v>
      </c>
      <c r="R208">
        <v>2006</v>
      </c>
      <c r="S208" s="1">
        <v>45432</v>
      </c>
      <c r="T208" s="1">
        <v>45418</v>
      </c>
      <c r="U208" t="s">
        <v>16</v>
      </c>
    </row>
    <row r="209" spans="1:21" x14ac:dyDescent="0.25">
      <c r="A209">
        <v>208</v>
      </c>
      <c r="B209">
        <v>156756628</v>
      </c>
      <c r="C209" t="s">
        <v>3178</v>
      </c>
      <c r="D209" t="s">
        <v>529</v>
      </c>
      <c r="E209" t="s">
        <v>530</v>
      </c>
      <c r="F209" t="s">
        <v>531</v>
      </c>
      <c r="H209" t="s">
        <v>3179</v>
      </c>
      <c r="I209" s="5" t="s">
        <v>2933</v>
      </c>
      <c r="J209" t="s">
        <v>1759</v>
      </c>
      <c r="K209" t="s">
        <v>2488</v>
      </c>
      <c r="L209">
        <v>400</v>
      </c>
      <c r="P209" t="s">
        <v>2494</v>
      </c>
      <c r="Q209">
        <v>2023</v>
      </c>
      <c r="R209">
        <v>2022</v>
      </c>
      <c r="S209" s="1">
        <v>45430</v>
      </c>
      <c r="T209" s="1">
        <v>45423</v>
      </c>
      <c r="U209" t="s">
        <v>16</v>
      </c>
    </row>
    <row r="210" spans="1:21" x14ac:dyDescent="0.25">
      <c r="A210">
        <v>209</v>
      </c>
      <c r="B210">
        <v>203417829</v>
      </c>
      <c r="C210" t="s">
        <v>3180</v>
      </c>
      <c r="D210" t="s">
        <v>533</v>
      </c>
      <c r="E210" t="s">
        <v>269</v>
      </c>
      <c r="F210" t="s">
        <v>270</v>
      </c>
      <c r="G210" t="s">
        <v>2622</v>
      </c>
      <c r="H210" t="s">
        <v>3181</v>
      </c>
      <c r="I210" s="5" t="s">
        <v>2890</v>
      </c>
      <c r="J210" t="s">
        <v>2545</v>
      </c>
      <c r="K210" t="s">
        <v>112</v>
      </c>
      <c r="L210">
        <v>312</v>
      </c>
      <c r="M210">
        <v>0.42916666666666664</v>
      </c>
      <c r="N210">
        <v>10.299999999999999</v>
      </c>
      <c r="O210" t="s">
        <v>3987</v>
      </c>
      <c r="P210" t="s">
        <v>2486</v>
      </c>
      <c r="Q210">
        <v>2023</v>
      </c>
      <c r="R210">
        <v>2023</v>
      </c>
      <c r="S210" s="1">
        <v>45430</v>
      </c>
      <c r="T210" s="1">
        <v>45430</v>
      </c>
      <c r="U210" t="s">
        <v>16</v>
      </c>
    </row>
    <row r="211" spans="1:21" x14ac:dyDescent="0.25">
      <c r="A211">
        <v>210</v>
      </c>
      <c r="B211">
        <v>156702380</v>
      </c>
      <c r="C211" t="s">
        <v>3182</v>
      </c>
      <c r="D211" t="s">
        <v>535</v>
      </c>
      <c r="E211" t="s">
        <v>536</v>
      </c>
      <c r="F211" t="s">
        <v>537</v>
      </c>
      <c r="H211" t="s">
        <v>3183</v>
      </c>
      <c r="I211" s="5" t="s">
        <v>2890</v>
      </c>
      <c r="J211" t="s">
        <v>1668</v>
      </c>
      <c r="K211" t="s">
        <v>2488</v>
      </c>
      <c r="L211">
        <v>296</v>
      </c>
      <c r="P211" t="s">
        <v>2494</v>
      </c>
      <c r="Q211">
        <v>2023</v>
      </c>
      <c r="R211">
        <v>2022</v>
      </c>
      <c r="S211" s="1">
        <v>45423</v>
      </c>
      <c r="T211" s="1">
        <v>45417</v>
      </c>
      <c r="U211" t="s">
        <v>16</v>
      </c>
    </row>
    <row r="212" spans="1:21" x14ac:dyDescent="0.25">
      <c r="A212">
        <v>211</v>
      </c>
      <c r="B212">
        <v>53479929</v>
      </c>
      <c r="C212" t="s">
        <v>3184</v>
      </c>
      <c r="D212" t="s">
        <v>539</v>
      </c>
      <c r="E212" t="s">
        <v>184</v>
      </c>
      <c r="F212" t="s">
        <v>185</v>
      </c>
      <c r="G212" t="s">
        <v>2527</v>
      </c>
      <c r="H212" t="s">
        <v>3185</v>
      </c>
      <c r="I212" s="5" t="s">
        <v>2933</v>
      </c>
      <c r="J212" t="s">
        <v>2492</v>
      </c>
      <c r="K212" t="s">
        <v>112</v>
      </c>
      <c r="L212">
        <v>720</v>
      </c>
      <c r="M212">
        <v>0.82222222222222219</v>
      </c>
      <c r="N212">
        <v>19.733333333333334</v>
      </c>
      <c r="O212" t="s">
        <v>3988</v>
      </c>
      <c r="P212" t="s">
        <v>2486</v>
      </c>
      <c r="Q212">
        <v>2018</v>
      </c>
      <c r="R212">
        <v>2018</v>
      </c>
      <c r="S212" s="1">
        <v>45428</v>
      </c>
      <c r="T212" s="1">
        <v>45418</v>
      </c>
      <c r="U212" t="s">
        <v>16</v>
      </c>
    </row>
    <row r="213" spans="1:21" x14ac:dyDescent="0.25">
      <c r="A213">
        <v>212</v>
      </c>
      <c r="B213">
        <v>56588018</v>
      </c>
      <c r="C213" t="s">
        <v>540</v>
      </c>
      <c r="D213" t="s">
        <v>17</v>
      </c>
      <c r="E213" t="s">
        <v>541</v>
      </c>
      <c r="F213" t="s">
        <v>542</v>
      </c>
      <c r="H213" t="s">
        <v>3186</v>
      </c>
      <c r="I213" s="5" t="s">
        <v>2901</v>
      </c>
      <c r="J213" t="s">
        <v>1668</v>
      </c>
      <c r="K213" t="s">
        <v>2488</v>
      </c>
      <c r="L213">
        <v>472</v>
      </c>
      <c r="P213" t="s">
        <v>2494</v>
      </c>
      <c r="Q213">
        <v>2021</v>
      </c>
      <c r="R213">
        <v>2019</v>
      </c>
      <c r="S213" s="1">
        <v>45416</v>
      </c>
      <c r="T213" s="1">
        <v>45418</v>
      </c>
      <c r="U213" t="s">
        <v>16</v>
      </c>
    </row>
    <row r="214" spans="1:21" x14ac:dyDescent="0.25">
      <c r="A214">
        <v>213</v>
      </c>
      <c r="B214">
        <v>61163588</v>
      </c>
      <c r="C214" t="s">
        <v>543</v>
      </c>
      <c r="D214" t="s">
        <v>17</v>
      </c>
      <c r="E214" t="s">
        <v>163</v>
      </c>
      <c r="F214" t="s">
        <v>164</v>
      </c>
      <c r="G214" t="s">
        <v>2623</v>
      </c>
      <c r="H214" t="s">
        <v>3187</v>
      </c>
      <c r="I214" s="5" t="s">
        <v>2901</v>
      </c>
      <c r="J214" t="s">
        <v>2532</v>
      </c>
      <c r="K214" t="s">
        <v>112</v>
      </c>
      <c r="L214">
        <v>328</v>
      </c>
      <c r="M214">
        <v>0.62638888888888888</v>
      </c>
      <c r="N214">
        <v>15.033333333333333</v>
      </c>
      <c r="O214" t="s">
        <v>3989</v>
      </c>
      <c r="P214" t="s">
        <v>2494</v>
      </c>
      <c r="Q214">
        <v>2022</v>
      </c>
      <c r="R214">
        <v>2022</v>
      </c>
      <c r="S214" s="1">
        <v>45416</v>
      </c>
      <c r="T214" s="1">
        <v>45413</v>
      </c>
      <c r="U214" t="s">
        <v>16</v>
      </c>
    </row>
    <row r="215" spans="1:21" x14ac:dyDescent="0.25">
      <c r="A215">
        <v>214</v>
      </c>
      <c r="B215">
        <v>59970454</v>
      </c>
      <c r="C215" t="s">
        <v>544</v>
      </c>
      <c r="D215" t="s">
        <v>17</v>
      </c>
      <c r="E215" t="s">
        <v>2624</v>
      </c>
      <c r="F215" t="s">
        <v>545</v>
      </c>
      <c r="G215" t="s">
        <v>546</v>
      </c>
      <c r="H215" t="s">
        <v>3188</v>
      </c>
      <c r="I215" s="5" t="s">
        <v>2890</v>
      </c>
      <c r="J215" t="s">
        <v>1919</v>
      </c>
      <c r="K215" t="s">
        <v>112</v>
      </c>
      <c r="L215">
        <v>256</v>
      </c>
      <c r="M215">
        <v>0.49722222222222223</v>
      </c>
      <c r="N215">
        <v>11.933333333333334</v>
      </c>
      <c r="O215" t="s">
        <v>3990</v>
      </c>
      <c r="P215" t="s">
        <v>2486</v>
      </c>
      <c r="Q215">
        <v>2021</v>
      </c>
      <c r="R215">
        <v>2010</v>
      </c>
      <c r="S215" s="1">
        <v>45410</v>
      </c>
      <c r="T215" s="1">
        <v>45355</v>
      </c>
      <c r="U215" t="s">
        <v>16</v>
      </c>
    </row>
    <row r="216" spans="1:21" x14ac:dyDescent="0.25">
      <c r="A216">
        <v>215</v>
      </c>
      <c r="B216">
        <v>29339869</v>
      </c>
      <c r="C216" t="s">
        <v>3189</v>
      </c>
      <c r="D216" t="s">
        <v>548</v>
      </c>
      <c r="E216" t="s">
        <v>184</v>
      </c>
      <c r="F216" t="s">
        <v>185</v>
      </c>
      <c r="G216" t="s">
        <v>2625</v>
      </c>
      <c r="H216" t="s">
        <v>3190</v>
      </c>
      <c r="I216" s="5" t="s">
        <v>2890</v>
      </c>
      <c r="J216" t="s">
        <v>2492</v>
      </c>
      <c r="K216" t="s">
        <v>112</v>
      </c>
      <c r="L216">
        <v>400</v>
      </c>
      <c r="M216">
        <v>0.5131944444444444</v>
      </c>
      <c r="N216">
        <v>12.316666666666666</v>
      </c>
      <c r="O216" t="s">
        <v>3991</v>
      </c>
      <c r="P216" t="s">
        <v>2486</v>
      </c>
      <c r="Q216">
        <v>2017</v>
      </c>
      <c r="R216">
        <v>2015</v>
      </c>
      <c r="S216" s="1">
        <v>45409</v>
      </c>
      <c r="T216" s="1">
        <v>45407</v>
      </c>
      <c r="U216" t="s">
        <v>16</v>
      </c>
    </row>
    <row r="217" spans="1:21" x14ac:dyDescent="0.25">
      <c r="A217">
        <v>216</v>
      </c>
      <c r="B217">
        <v>32307358</v>
      </c>
      <c r="C217" t="s">
        <v>2543</v>
      </c>
      <c r="D217" t="s">
        <v>248</v>
      </c>
      <c r="E217" t="s">
        <v>2626</v>
      </c>
      <c r="F217" t="s">
        <v>126</v>
      </c>
      <c r="H217" t="s">
        <v>3191</v>
      </c>
      <c r="I217" s="5" t="s">
        <v>2933</v>
      </c>
      <c r="J217" t="s">
        <v>1668</v>
      </c>
      <c r="K217" t="s">
        <v>2488</v>
      </c>
      <c r="L217">
        <v>480</v>
      </c>
      <c r="P217" t="s">
        <v>2494</v>
      </c>
      <c r="Q217">
        <v>2018</v>
      </c>
      <c r="R217">
        <v>2018</v>
      </c>
      <c r="S217" s="1">
        <v>45407</v>
      </c>
      <c r="T217" s="1">
        <v>45402</v>
      </c>
      <c r="U217" t="s">
        <v>16</v>
      </c>
    </row>
    <row r="218" spans="1:21" x14ac:dyDescent="0.25">
      <c r="A218">
        <v>217</v>
      </c>
      <c r="B218">
        <v>35382707</v>
      </c>
      <c r="C218" t="s">
        <v>3192</v>
      </c>
      <c r="D218" t="s">
        <v>550</v>
      </c>
      <c r="E218" t="s">
        <v>184</v>
      </c>
      <c r="F218" t="s">
        <v>185</v>
      </c>
      <c r="G218" t="s">
        <v>2527</v>
      </c>
      <c r="H218" t="s">
        <v>3193</v>
      </c>
      <c r="I218" s="5" t="s">
        <v>2890</v>
      </c>
      <c r="J218" t="s">
        <v>2492</v>
      </c>
      <c r="K218" t="s">
        <v>112</v>
      </c>
      <c r="L218">
        <v>512</v>
      </c>
      <c r="M218">
        <v>0.86319444444444449</v>
      </c>
      <c r="N218">
        <v>20.716666666666669</v>
      </c>
      <c r="O218" t="s">
        <v>3992</v>
      </c>
      <c r="P218" t="s">
        <v>2486</v>
      </c>
      <c r="Q218">
        <v>2017</v>
      </c>
      <c r="R218">
        <v>2016</v>
      </c>
      <c r="S218" s="1">
        <v>45403</v>
      </c>
      <c r="T218" s="1">
        <v>45401</v>
      </c>
      <c r="U218" t="s">
        <v>16</v>
      </c>
    </row>
    <row r="219" spans="1:21" x14ac:dyDescent="0.25">
      <c r="A219">
        <v>218</v>
      </c>
      <c r="B219">
        <v>199136685</v>
      </c>
      <c r="C219" t="s">
        <v>551</v>
      </c>
      <c r="D219" t="s">
        <v>2628</v>
      </c>
      <c r="E219" t="s">
        <v>552</v>
      </c>
      <c r="F219" t="s">
        <v>553</v>
      </c>
      <c r="G219" t="s">
        <v>2629</v>
      </c>
      <c r="H219" t="s">
        <v>3194</v>
      </c>
      <c r="I219" s="5" t="s">
        <v>2901</v>
      </c>
      <c r="J219" t="s">
        <v>2545</v>
      </c>
      <c r="K219" t="s">
        <v>112</v>
      </c>
      <c r="L219">
        <v>416</v>
      </c>
      <c r="M219">
        <v>0.52638888888888891</v>
      </c>
      <c r="N219">
        <v>12.633333333333333</v>
      </c>
      <c r="O219" t="s">
        <v>3993</v>
      </c>
      <c r="P219" t="s">
        <v>2486</v>
      </c>
      <c r="Q219">
        <v>2023</v>
      </c>
      <c r="R219">
        <v>2023</v>
      </c>
      <c r="S219" s="1">
        <v>45402</v>
      </c>
      <c r="T219" s="1">
        <v>45395</v>
      </c>
      <c r="U219" t="s">
        <v>16</v>
      </c>
    </row>
    <row r="220" spans="1:21" x14ac:dyDescent="0.25">
      <c r="A220">
        <v>219</v>
      </c>
      <c r="B220">
        <v>40524050</v>
      </c>
      <c r="C220" t="s">
        <v>3195</v>
      </c>
      <c r="D220" t="s">
        <v>555</v>
      </c>
      <c r="E220" t="s">
        <v>556</v>
      </c>
      <c r="F220" t="s">
        <v>557</v>
      </c>
      <c r="G220" t="s">
        <v>2630</v>
      </c>
      <c r="H220" t="s">
        <v>3196</v>
      </c>
      <c r="I220" s="5" t="s">
        <v>2917</v>
      </c>
      <c r="J220" t="s">
        <v>2627</v>
      </c>
      <c r="K220" t="s">
        <v>112</v>
      </c>
      <c r="L220">
        <v>752</v>
      </c>
      <c r="M220">
        <v>1.1055555555555556</v>
      </c>
      <c r="N220">
        <v>26.533333333333335</v>
      </c>
      <c r="O220" t="s">
        <v>3994</v>
      </c>
      <c r="P220" t="s">
        <v>2486</v>
      </c>
      <c r="Q220">
        <v>2019</v>
      </c>
      <c r="R220">
        <v>2010</v>
      </c>
      <c r="S220" s="1">
        <v>45397</v>
      </c>
      <c r="T220" s="1">
        <v>45388</v>
      </c>
      <c r="U220" t="s">
        <v>16</v>
      </c>
    </row>
    <row r="221" spans="1:21" x14ac:dyDescent="0.25">
      <c r="A221">
        <v>220</v>
      </c>
      <c r="B221">
        <v>157153179</v>
      </c>
      <c r="C221" t="s">
        <v>3197</v>
      </c>
      <c r="D221" t="s">
        <v>559</v>
      </c>
      <c r="E221" t="s">
        <v>133</v>
      </c>
      <c r="F221" t="s">
        <v>134</v>
      </c>
      <c r="H221" t="s">
        <v>3198</v>
      </c>
      <c r="I221" s="5" t="s">
        <v>2901</v>
      </c>
      <c r="J221" t="s">
        <v>1668</v>
      </c>
      <c r="K221" t="s">
        <v>2488</v>
      </c>
      <c r="L221">
        <v>416</v>
      </c>
      <c r="P221" t="s">
        <v>2494</v>
      </c>
      <c r="Q221">
        <v>2023</v>
      </c>
      <c r="R221">
        <v>2023</v>
      </c>
      <c r="S221" s="1">
        <v>45392</v>
      </c>
      <c r="T221" s="1">
        <v>45386</v>
      </c>
      <c r="U221" t="s">
        <v>16</v>
      </c>
    </row>
    <row r="222" spans="1:21" x14ac:dyDescent="0.25">
      <c r="A222">
        <v>221</v>
      </c>
      <c r="B222">
        <v>35155766</v>
      </c>
      <c r="C222" t="s">
        <v>3199</v>
      </c>
      <c r="D222" t="s">
        <v>561</v>
      </c>
      <c r="E222" t="s">
        <v>556</v>
      </c>
      <c r="F222" t="s">
        <v>557</v>
      </c>
      <c r="G222" t="s">
        <v>2630</v>
      </c>
      <c r="H222" t="s">
        <v>3200</v>
      </c>
      <c r="I222" s="5" t="s">
        <v>2890</v>
      </c>
      <c r="J222" t="s">
        <v>2627</v>
      </c>
      <c r="K222" t="s">
        <v>112</v>
      </c>
      <c r="L222">
        <v>600</v>
      </c>
      <c r="M222">
        <v>0.91874999999999996</v>
      </c>
      <c r="N222">
        <v>22.049999999999997</v>
      </c>
      <c r="O222" t="s">
        <v>3995</v>
      </c>
      <c r="P222" t="s">
        <v>2486</v>
      </c>
      <c r="Q222">
        <v>2018</v>
      </c>
      <c r="R222">
        <v>2008</v>
      </c>
      <c r="S222" s="1">
        <v>45388</v>
      </c>
      <c r="T222" s="1">
        <v>45379</v>
      </c>
      <c r="U222" t="s">
        <v>16</v>
      </c>
    </row>
    <row r="223" spans="1:21" x14ac:dyDescent="0.25">
      <c r="A223">
        <v>222</v>
      </c>
      <c r="B223">
        <v>58328656</v>
      </c>
      <c r="C223" t="s">
        <v>562</v>
      </c>
      <c r="D223" t="s">
        <v>17</v>
      </c>
      <c r="E223" t="s">
        <v>563</v>
      </c>
      <c r="F223" t="s">
        <v>564</v>
      </c>
      <c r="H223" t="s">
        <v>3201</v>
      </c>
      <c r="I223" s="5" t="s">
        <v>2901</v>
      </c>
      <c r="J223" t="s">
        <v>1927</v>
      </c>
      <c r="K223" t="s">
        <v>57</v>
      </c>
      <c r="L223">
        <v>536</v>
      </c>
      <c r="P223" t="s">
        <v>2486</v>
      </c>
      <c r="Q223">
        <v>2021</v>
      </c>
      <c r="R223">
        <v>2020</v>
      </c>
      <c r="S223" s="1">
        <v>45384</v>
      </c>
      <c r="T223" s="1">
        <v>45378</v>
      </c>
      <c r="U223" t="s">
        <v>16</v>
      </c>
    </row>
    <row r="224" spans="1:21" x14ac:dyDescent="0.25">
      <c r="A224">
        <v>223</v>
      </c>
      <c r="B224">
        <v>33819718</v>
      </c>
      <c r="C224" t="s">
        <v>3202</v>
      </c>
      <c r="D224" t="s">
        <v>566</v>
      </c>
      <c r="E224" t="s">
        <v>556</v>
      </c>
      <c r="F224" t="s">
        <v>557</v>
      </c>
      <c r="G224" t="s">
        <v>2630</v>
      </c>
      <c r="H224" t="s">
        <v>3203</v>
      </c>
      <c r="I224" s="5" t="s">
        <v>2890</v>
      </c>
      <c r="J224" t="s">
        <v>2627</v>
      </c>
      <c r="K224" t="s">
        <v>112</v>
      </c>
      <c r="L224">
        <v>447</v>
      </c>
      <c r="M224">
        <v>0.58958333333333335</v>
      </c>
      <c r="N224">
        <v>14.15</v>
      </c>
      <c r="O224" t="s">
        <v>3996</v>
      </c>
      <c r="P224" t="s">
        <v>2486</v>
      </c>
      <c r="Q224">
        <v>2017</v>
      </c>
      <c r="R224">
        <v>2006</v>
      </c>
      <c r="S224" s="1">
        <v>45379</v>
      </c>
      <c r="T224" s="1">
        <v>45375</v>
      </c>
      <c r="U224" t="s">
        <v>16</v>
      </c>
    </row>
    <row r="225" spans="1:21" x14ac:dyDescent="0.25">
      <c r="A225">
        <v>224</v>
      </c>
      <c r="B225">
        <v>27137615</v>
      </c>
      <c r="C225" t="s">
        <v>567</v>
      </c>
      <c r="D225" t="s">
        <v>17</v>
      </c>
      <c r="E225" t="s">
        <v>568</v>
      </c>
      <c r="F225" t="s">
        <v>569</v>
      </c>
      <c r="H225" t="s">
        <v>3204</v>
      </c>
      <c r="I225" s="5" t="s">
        <v>2901</v>
      </c>
      <c r="J225" t="s">
        <v>1930</v>
      </c>
      <c r="K225" t="s">
        <v>2488</v>
      </c>
      <c r="L225">
        <v>504</v>
      </c>
      <c r="P225" t="s">
        <v>2494</v>
      </c>
      <c r="Q225">
        <v>2015</v>
      </c>
      <c r="R225">
        <v>2015</v>
      </c>
      <c r="S225" s="1">
        <v>45376</v>
      </c>
      <c r="T225" s="1">
        <v>45371</v>
      </c>
      <c r="U225" t="s">
        <v>16</v>
      </c>
    </row>
    <row r="226" spans="1:21" x14ac:dyDescent="0.25">
      <c r="A226">
        <v>225</v>
      </c>
      <c r="B226">
        <v>18655716</v>
      </c>
      <c r="C226" t="s">
        <v>3205</v>
      </c>
      <c r="D226" t="s">
        <v>571</v>
      </c>
      <c r="E226" t="s">
        <v>184</v>
      </c>
      <c r="F226" t="s">
        <v>185</v>
      </c>
      <c r="G226" t="s">
        <v>2527</v>
      </c>
      <c r="H226" t="s">
        <v>3206</v>
      </c>
      <c r="I226" s="5" t="s">
        <v>2890</v>
      </c>
      <c r="J226" t="s">
        <v>2492</v>
      </c>
      <c r="K226" t="s">
        <v>112</v>
      </c>
      <c r="L226">
        <v>495</v>
      </c>
      <c r="M226">
        <v>0.49513888888888891</v>
      </c>
      <c r="N226">
        <v>11.883333333333333</v>
      </c>
      <c r="O226" t="s">
        <v>3997</v>
      </c>
      <c r="P226" t="s">
        <v>2486</v>
      </c>
      <c r="Q226">
        <v>2013</v>
      </c>
      <c r="R226">
        <v>2012</v>
      </c>
      <c r="S226" s="1">
        <v>45376</v>
      </c>
      <c r="T226" s="1">
        <v>45374</v>
      </c>
      <c r="U226" t="s">
        <v>16</v>
      </c>
    </row>
    <row r="227" spans="1:21" x14ac:dyDescent="0.25">
      <c r="A227">
        <v>226</v>
      </c>
      <c r="B227">
        <v>54965511</v>
      </c>
      <c r="C227" t="s">
        <v>572</v>
      </c>
      <c r="D227" t="s">
        <v>17</v>
      </c>
      <c r="E227" t="s">
        <v>573</v>
      </c>
      <c r="F227" t="s">
        <v>574</v>
      </c>
      <c r="H227" t="s">
        <v>3207</v>
      </c>
      <c r="I227" s="5" t="s">
        <v>2890</v>
      </c>
      <c r="J227" t="s">
        <v>1829</v>
      </c>
      <c r="K227" t="s">
        <v>2488</v>
      </c>
      <c r="L227">
        <v>336</v>
      </c>
      <c r="P227" t="s">
        <v>2494</v>
      </c>
      <c r="Q227">
        <v>2020</v>
      </c>
      <c r="R227">
        <v>2017</v>
      </c>
      <c r="S227" s="1">
        <v>45373</v>
      </c>
      <c r="T227" s="1">
        <v>45364</v>
      </c>
      <c r="U227" t="s">
        <v>16</v>
      </c>
    </row>
    <row r="228" spans="1:21" x14ac:dyDescent="0.25">
      <c r="A228">
        <v>227</v>
      </c>
      <c r="B228">
        <v>9200869</v>
      </c>
      <c r="C228" t="s">
        <v>2631</v>
      </c>
      <c r="D228" t="s">
        <v>575</v>
      </c>
      <c r="E228" t="s">
        <v>184</v>
      </c>
      <c r="F228" t="s">
        <v>185</v>
      </c>
      <c r="G228" t="s">
        <v>2527</v>
      </c>
      <c r="H228" t="s">
        <v>3208</v>
      </c>
      <c r="I228" s="5" t="s">
        <v>2917</v>
      </c>
      <c r="J228" t="s">
        <v>2492</v>
      </c>
      <c r="K228" t="s">
        <v>112</v>
      </c>
      <c r="L228">
        <v>561</v>
      </c>
      <c r="M228">
        <v>0.48888888888888887</v>
      </c>
      <c r="N228">
        <v>11.733333333333333</v>
      </c>
      <c r="O228" t="s">
        <v>3931</v>
      </c>
      <c r="P228" t="s">
        <v>2486</v>
      </c>
      <c r="Q228">
        <v>2015</v>
      </c>
      <c r="R228">
        <v>2010</v>
      </c>
      <c r="S228" s="1">
        <v>45372</v>
      </c>
      <c r="T228" s="1">
        <v>45371</v>
      </c>
      <c r="U228" t="s">
        <v>16</v>
      </c>
    </row>
    <row r="229" spans="1:21" x14ac:dyDescent="0.25">
      <c r="A229">
        <v>228</v>
      </c>
      <c r="B229">
        <v>52518016</v>
      </c>
      <c r="C229" t="s">
        <v>576</v>
      </c>
      <c r="D229" t="s">
        <v>17</v>
      </c>
      <c r="E229" t="s">
        <v>577</v>
      </c>
      <c r="F229" t="s">
        <v>578</v>
      </c>
      <c r="H229" t="s">
        <v>3209</v>
      </c>
      <c r="I229" s="5" t="s">
        <v>2917</v>
      </c>
      <c r="J229" t="s">
        <v>1723</v>
      </c>
      <c r="K229" t="s">
        <v>57</v>
      </c>
      <c r="L229">
        <v>296</v>
      </c>
      <c r="P229" t="s">
        <v>2486</v>
      </c>
      <c r="Q229">
        <v>2019</v>
      </c>
      <c r="R229">
        <v>2018</v>
      </c>
      <c r="S229" s="1">
        <v>45371</v>
      </c>
      <c r="T229" s="1">
        <v>45365</v>
      </c>
      <c r="U229" t="s">
        <v>16</v>
      </c>
    </row>
    <row r="230" spans="1:21" x14ac:dyDescent="0.25">
      <c r="A230">
        <v>229</v>
      </c>
      <c r="B230">
        <v>10057190</v>
      </c>
      <c r="C230" t="s">
        <v>3210</v>
      </c>
      <c r="D230" t="s">
        <v>580</v>
      </c>
      <c r="E230" t="s">
        <v>184</v>
      </c>
      <c r="F230" t="s">
        <v>185</v>
      </c>
      <c r="G230" t="s">
        <v>2527</v>
      </c>
      <c r="H230" t="s">
        <v>3211</v>
      </c>
      <c r="I230" s="5" t="s">
        <v>2890</v>
      </c>
      <c r="J230" t="s">
        <v>2492</v>
      </c>
      <c r="K230" t="s">
        <v>112</v>
      </c>
      <c r="L230">
        <v>534</v>
      </c>
      <c r="M230">
        <v>0.6875</v>
      </c>
      <c r="N230">
        <v>16.5</v>
      </c>
      <c r="O230" t="s">
        <v>3998</v>
      </c>
      <c r="P230" t="s">
        <v>2486</v>
      </c>
      <c r="Q230">
        <v>2013</v>
      </c>
      <c r="R230">
        <v>2009</v>
      </c>
      <c r="S230" s="1">
        <v>45365</v>
      </c>
      <c r="T230" s="1">
        <v>45360</v>
      </c>
      <c r="U230" t="s">
        <v>16</v>
      </c>
    </row>
    <row r="231" spans="1:21" x14ac:dyDescent="0.25">
      <c r="A231">
        <v>230</v>
      </c>
      <c r="B231">
        <v>58516913</v>
      </c>
      <c r="C231" t="s">
        <v>581</v>
      </c>
      <c r="D231" t="s">
        <v>17</v>
      </c>
      <c r="E231" t="s">
        <v>582</v>
      </c>
      <c r="F231" t="s">
        <v>583</v>
      </c>
      <c r="H231" t="s">
        <v>3212</v>
      </c>
      <c r="I231" s="5" t="s">
        <v>2890</v>
      </c>
      <c r="J231" t="s">
        <v>1937</v>
      </c>
      <c r="K231" t="s">
        <v>57</v>
      </c>
      <c r="L231">
        <v>264</v>
      </c>
      <c r="P231" t="s">
        <v>2486</v>
      </c>
      <c r="Q231">
        <v>2021</v>
      </c>
      <c r="R231">
        <v>1994</v>
      </c>
      <c r="S231" s="1">
        <v>45359</v>
      </c>
      <c r="T231" s="1">
        <v>45353</v>
      </c>
      <c r="U231" t="s">
        <v>16</v>
      </c>
    </row>
    <row r="232" spans="1:21" x14ac:dyDescent="0.25">
      <c r="A232">
        <v>231</v>
      </c>
      <c r="B232">
        <v>53831127</v>
      </c>
      <c r="C232" t="s">
        <v>584</v>
      </c>
      <c r="D232" t="s">
        <v>2632</v>
      </c>
      <c r="E232" t="s">
        <v>585</v>
      </c>
      <c r="F232" t="s">
        <v>586</v>
      </c>
      <c r="G232" t="s">
        <v>2633</v>
      </c>
      <c r="H232" t="s">
        <v>3213</v>
      </c>
      <c r="I232" s="5" t="s">
        <v>3006</v>
      </c>
      <c r="J232" t="s">
        <v>1939</v>
      </c>
      <c r="K232" t="s">
        <v>112</v>
      </c>
      <c r="L232">
        <v>552</v>
      </c>
      <c r="M232">
        <v>0.5493055555555556</v>
      </c>
      <c r="N232">
        <v>13.183333333333334</v>
      </c>
      <c r="O232" t="s">
        <v>3927</v>
      </c>
      <c r="P232" t="s">
        <v>2486</v>
      </c>
      <c r="Q232">
        <v>2022</v>
      </c>
      <c r="R232">
        <v>2020</v>
      </c>
      <c r="S232" s="1">
        <v>45353</v>
      </c>
      <c r="T232" s="1">
        <v>45348</v>
      </c>
      <c r="U232" t="s">
        <v>16</v>
      </c>
    </row>
    <row r="233" spans="1:21" x14ac:dyDescent="0.25">
      <c r="A233">
        <v>232</v>
      </c>
      <c r="B233">
        <v>50571356</v>
      </c>
      <c r="C233" t="s">
        <v>587</v>
      </c>
      <c r="D233" t="s">
        <v>17</v>
      </c>
      <c r="E233" t="s">
        <v>588</v>
      </c>
      <c r="F233" t="s">
        <v>589</v>
      </c>
      <c r="G233" t="s">
        <v>2634</v>
      </c>
      <c r="H233" t="s">
        <v>3214</v>
      </c>
      <c r="I233" s="5" t="s">
        <v>2890</v>
      </c>
      <c r="J233" t="s">
        <v>2492</v>
      </c>
      <c r="K233" t="s">
        <v>112</v>
      </c>
      <c r="L233">
        <v>248</v>
      </c>
      <c r="M233">
        <v>0.30416666666666664</v>
      </c>
      <c r="N233">
        <v>7.2999999999999989</v>
      </c>
      <c r="O233" t="s">
        <v>3999</v>
      </c>
      <c r="P233" t="s">
        <v>2486</v>
      </c>
      <c r="Q233">
        <v>2020</v>
      </c>
      <c r="R233">
        <v>2018</v>
      </c>
      <c r="S233" s="1">
        <v>45350</v>
      </c>
      <c r="T233" s="1">
        <v>45345</v>
      </c>
      <c r="U233" t="s">
        <v>16</v>
      </c>
    </row>
    <row r="234" spans="1:21" x14ac:dyDescent="0.25">
      <c r="A234">
        <v>233</v>
      </c>
      <c r="B234">
        <v>63038153</v>
      </c>
      <c r="C234" t="s">
        <v>590</v>
      </c>
      <c r="D234" t="s">
        <v>17</v>
      </c>
      <c r="E234" t="s">
        <v>591</v>
      </c>
      <c r="F234" t="s">
        <v>592</v>
      </c>
      <c r="H234" t="s">
        <v>3215</v>
      </c>
      <c r="I234" s="5" t="s">
        <v>2890</v>
      </c>
      <c r="J234" t="s">
        <v>1668</v>
      </c>
      <c r="K234" t="s">
        <v>2488</v>
      </c>
      <c r="L234">
        <v>256</v>
      </c>
      <c r="P234" t="s">
        <v>2494</v>
      </c>
      <c r="Q234">
        <v>2022</v>
      </c>
      <c r="R234">
        <v>2018</v>
      </c>
      <c r="S234" s="1">
        <v>45350</v>
      </c>
      <c r="T234" s="1">
        <v>45306</v>
      </c>
      <c r="U234" t="s">
        <v>16</v>
      </c>
    </row>
    <row r="235" spans="1:21" x14ac:dyDescent="0.25">
      <c r="A235">
        <v>234</v>
      </c>
      <c r="B235">
        <v>89572639</v>
      </c>
      <c r="C235" t="s">
        <v>593</v>
      </c>
      <c r="D235" t="s">
        <v>17</v>
      </c>
      <c r="E235" t="s">
        <v>329</v>
      </c>
      <c r="F235" t="s">
        <v>330</v>
      </c>
      <c r="G235" t="s">
        <v>2635</v>
      </c>
      <c r="H235" t="s">
        <v>3216</v>
      </c>
      <c r="I235" s="5" t="s">
        <v>2901</v>
      </c>
      <c r="J235" t="s">
        <v>2492</v>
      </c>
      <c r="K235" t="s">
        <v>112</v>
      </c>
      <c r="L235">
        <v>304</v>
      </c>
      <c r="M235">
        <v>0.36388888888888887</v>
      </c>
      <c r="N235">
        <v>8.7333333333333325</v>
      </c>
      <c r="O235" t="s">
        <v>4000</v>
      </c>
      <c r="P235" t="s">
        <v>2486</v>
      </c>
      <c r="Q235">
        <v>2023</v>
      </c>
      <c r="R235">
        <v>2023</v>
      </c>
      <c r="S235" s="1">
        <v>45350</v>
      </c>
      <c r="T235" s="1">
        <v>45346</v>
      </c>
      <c r="U235" t="s">
        <v>16</v>
      </c>
    </row>
    <row r="236" spans="1:21" x14ac:dyDescent="0.25">
      <c r="A236">
        <v>235</v>
      </c>
      <c r="B236">
        <v>54353369</v>
      </c>
      <c r="C236" t="s">
        <v>594</v>
      </c>
      <c r="D236" t="s">
        <v>17</v>
      </c>
      <c r="E236" t="s">
        <v>595</v>
      </c>
      <c r="F236" t="s">
        <v>596</v>
      </c>
      <c r="H236" t="s">
        <v>3217</v>
      </c>
      <c r="I236" s="5" t="s">
        <v>3006</v>
      </c>
      <c r="J236" t="s">
        <v>1944</v>
      </c>
      <c r="K236" t="s">
        <v>2488</v>
      </c>
      <c r="L236">
        <v>192</v>
      </c>
      <c r="P236" t="s">
        <v>2494</v>
      </c>
      <c r="Q236">
        <v>2020</v>
      </c>
      <c r="R236">
        <v>2020</v>
      </c>
      <c r="S236" s="1">
        <v>45348</v>
      </c>
      <c r="T236" s="1">
        <v>45338</v>
      </c>
      <c r="U236" t="s">
        <v>16</v>
      </c>
    </row>
    <row r="237" spans="1:21" x14ac:dyDescent="0.25">
      <c r="A237">
        <v>236</v>
      </c>
      <c r="B237">
        <v>50399402</v>
      </c>
      <c r="C237" t="s">
        <v>3218</v>
      </c>
      <c r="D237" t="s">
        <v>598</v>
      </c>
      <c r="E237" t="s">
        <v>599</v>
      </c>
      <c r="F237" t="s">
        <v>600</v>
      </c>
      <c r="G237" t="s">
        <v>2636</v>
      </c>
      <c r="H237" t="s">
        <v>3219</v>
      </c>
      <c r="I237" s="5" t="s">
        <v>2917</v>
      </c>
      <c r="J237" t="s">
        <v>2637</v>
      </c>
      <c r="K237" t="s">
        <v>112</v>
      </c>
      <c r="L237">
        <v>384</v>
      </c>
      <c r="M237">
        <v>0.61805555555555558</v>
      </c>
      <c r="N237">
        <v>14.833333333333334</v>
      </c>
      <c r="O237" t="s">
        <v>4001</v>
      </c>
      <c r="P237" t="s">
        <v>2486</v>
      </c>
      <c r="Q237">
        <v>2022</v>
      </c>
      <c r="R237">
        <v>2020</v>
      </c>
      <c r="S237" s="1">
        <v>45347</v>
      </c>
      <c r="T237" s="1">
        <v>45340</v>
      </c>
      <c r="U237" t="s">
        <v>16</v>
      </c>
    </row>
    <row r="238" spans="1:21" x14ac:dyDescent="0.25">
      <c r="A238">
        <v>237</v>
      </c>
      <c r="B238">
        <v>62678905</v>
      </c>
      <c r="C238" t="s">
        <v>601</v>
      </c>
      <c r="D238" t="s">
        <v>2638</v>
      </c>
      <c r="E238" t="s">
        <v>602</v>
      </c>
      <c r="F238" t="s">
        <v>603</v>
      </c>
      <c r="G238" t="s">
        <v>2639</v>
      </c>
      <c r="H238" t="s">
        <v>3220</v>
      </c>
      <c r="I238" s="5" t="s">
        <v>2901</v>
      </c>
      <c r="J238" t="s">
        <v>2499</v>
      </c>
      <c r="K238" t="s">
        <v>112</v>
      </c>
      <c r="L238">
        <v>331</v>
      </c>
      <c r="M238">
        <v>0.49652777777777779</v>
      </c>
      <c r="N238">
        <v>11.916666666666668</v>
      </c>
      <c r="O238" t="s">
        <v>4002</v>
      </c>
      <c r="P238" t="s">
        <v>2486</v>
      </c>
      <c r="Q238">
        <v>2022</v>
      </c>
      <c r="R238">
        <v>2022</v>
      </c>
      <c r="S238" s="1">
        <v>45346</v>
      </c>
      <c r="T238" s="1">
        <v>45344</v>
      </c>
      <c r="U238" t="s">
        <v>16</v>
      </c>
    </row>
    <row r="239" spans="1:21" x14ac:dyDescent="0.25">
      <c r="A239">
        <v>238</v>
      </c>
      <c r="B239">
        <v>37533587</v>
      </c>
      <c r="C239" t="s">
        <v>604</v>
      </c>
      <c r="D239" t="s">
        <v>17</v>
      </c>
      <c r="E239" t="s">
        <v>605</v>
      </c>
      <c r="F239" t="s">
        <v>606</v>
      </c>
      <c r="H239" t="s">
        <v>3221</v>
      </c>
      <c r="I239" s="5" t="s">
        <v>2890</v>
      </c>
      <c r="J239" t="s">
        <v>1809</v>
      </c>
      <c r="K239" t="s">
        <v>2488</v>
      </c>
      <c r="L239">
        <v>204</v>
      </c>
      <c r="P239" t="s">
        <v>2494</v>
      </c>
      <c r="Q239">
        <v>2021</v>
      </c>
      <c r="R239">
        <v>2018</v>
      </c>
      <c r="S239" s="1">
        <v>45344</v>
      </c>
      <c r="T239" s="1">
        <v>45344</v>
      </c>
      <c r="U239" t="s">
        <v>16</v>
      </c>
    </row>
    <row r="240" spans="1:21" x14ac:dyDescent="0.25">
      <c r="A240">
        <v>239</v>
      </c>
      <c r="B240">
        <v>55845655</v>
      </c>
      <c r="C240" t="s">
        <v>607</v>
      </c>
      <c r="D240" t="s">
        <v>17</v>
      </c>
      <c r="E240" t="s">
        <v>608</v>
      </c>
      <c r="F240" t="s">
        <v>609</v>
      </c>
      <c r="G240" t="s">
        <v>2640</v>
      </c>
      <c r="H240" t="s">
        <v>3222</v>
      </c>
      <c r="I240" s="5" t="s">
        <v>2917</v>
      </c>
      <c r="J240" t="s">
        <v>1939</v>
      </c>
      <c r="K240" t="s">
        <v>112</v>
      </c>
      <c r="L240">
        <v>166</v>
      </c>
      <c r="M240">
        <v>0.38680555555555557</v>
      </c>
      <c r="N240">
        <v>9.2833333333333332</v>
      </c>
      <c r="O240" t="s">
        <v>4003</v>
      </c>
      <c r="P240" t="s">
        <v>2486</v>
      </c>
      <c r="Q240">
        <v>2021</v>
      </c>
      <c r="R240">
        <v>2020</v>
      </c>
      <c r="S240" s="1">
        <v>45344</v>
      </c>
      <c r="T240" s="1">
        <v>45337</v>
      </c>
      <c r="U240" t="s">
        <v>16</v>
      </c>
    </row>
    <row r="241" spans="1:21" x14ac:dyDescent="0.25">
      <c r="A241">
        <v>240</v>
      </c>
      <c r="B241">
        <v>23290629</v>
      </c>
      <c r="C241" t="s">
        <v>3223</v>
      </c>
      <c r="D241" t="s">
        <v>611</v>
      </c>
      <c r="E241" t="s">
        <v>612</v>
      </c>
      <c r="F241" t="s">
        <v>613</v>
      </c>
      <c r="H241" t="s">
        <v>3224</v>
      </c>
      <c r="I241" s="5" t="s">
        <v>2890</v>
      </c>
      <c r="J241" t="s">
        <v>1950</v>
      </c>
      <c r="K241" t="s">
        <v>2488</v>
      </c>
      <c r="L241">
        <v>272</v>
      </c>
      <c r="P241" t="s">
        <v>2494</v>
      </c>
      <c r="Q241">
        <v>2014</v>
      </c>
      <c r="R241">
        <v>2014</v>
      </c>
      <c r="S241" s="1">
        <v>45344</v>
      </c>
      <c r="T241" s="1">
        <v>45338</v>
      </c>
      <c r="U241" t="s">
        <v>16</v>
      </c>
    </row>
    <row r="242" spans="1:21" x14ac:dyDescent="0.25">
      <c r="A242">
        <v>241</v>
      </c>
      <c r="B242">
        <v>123254125</v>
      </c>
      <c r="C242" t="s">
        <v>3225</v>
      </c>
      <c r="D242" t="s">
        <v>615</v>
      </c>
      <c r="E242" t="s">
        <v>616</v>
      </c>
      <c r="F242" t="s">
        <v>617</v>
      </c>
      <c r="H242" t="s">
        <v>3226</v>
      </c>
      <c r="I242" s="5" t="s">
        <v>2890</v>
      </c>
      <c r="J242" t="s">
        <v>1723</v>
      </c>
      <c r="K242" t="s">
        <v>2488</v>
      </c>
      <c r="L242">
        <v>368</v>
      </c>
      <c r="P242" t="s">
        <v>2494</v>
      </c>
      <c r="Q242">
        <v>2023</v>
      </c>
      <c r="R242">
        <v>2022</v>
      </c>
      <c r="S242" s="1">
        <v>45337</v>
      </c>
      <c r="T242" s="1">
        <v>45327</v>
      </c>
      <c r="U242" t="s">
        <v>16</v>
      </c>
    </row>
    <row r="243" spans="1:21" x14ac:dyDescent="0.25">
      <c r="A243">
        <v>242</v>
      </c>
      <c r="B243">
        <v>17935138</v>
      </c>
      <c r="C243" t="s">
        <v>618</v>
      </c>
      <c r="D243" t="s">
        <v>17</v>
      </c>
      <c r="E243" t="s">
        <v>155</v>
      </c>
      <c r="F243" t="s">
        <v>156</v>
      </c>
      <c r="G243" t="s">
        <v>2641</v>
      </c>
      <c r="H243" t="s">
        <v>3227</v>
      </c>
      <c r="I243" s="5" t="s">
        <v>2901</v>
      </c>
      <c r="J243" t="s">
        <v>1687</v>
      </c>
      <c r="K243" t="s">
        <v>112</v>
      </c>
      <c r="L243">
        <v>272</v>
      </c>
      <c r="M243">
        <v>0.14652777777777778</v>
      </c>
      <c r="N243">
        <v>3.5166666666666666</v>
      </c>
      <c r="O243" t="s">
        <v>4004</v>
      </c>
      <c r="P243" t="s">
        <v>2486</v>
      </c>
      <c r="Q243">
        <v>2025</v>
      </c>
      <c r="R243">
        <v>2013</v>
      </c>
      <c r="S243" s="1">
        <v>45335</v>
      </c>
      <c r="T243" s="1">
        <v>45335</v>
      </c>
      <c r="U243" t="s">
        <v>16</v>
      </c>
    </row>
    <row r="244" spans="1:21" x14ac:dyDescent="0.25">
      <c r="A244">
        <v>243</v>
      </c>
      <c r="B244">
        <v>44646576</v>
      </c>
      <c r="C244" t="s">
        <v>3228</v>
      </c>
      <c r="D244" t="s">
        <v>620</v>
      </c>
      <c r="E244" t="s">
        <v>621</v>
      </c>
      <c r="F244" t="s">
        <v>622</v>
      </c>
      <c r="G244" t="s">
        <v>2496</v>
      </c>
      <c r="H244" t="s">
        <v>3229</v>
      </c>
      <c r="I244" s="5" t="s">
        <v>2901</v>
      </c>
      <c r="J244" t="s">
        <v>2617</v>
      </c>
      <c r="K244" t="s">
        <v>112</v>
      </c>
      <c r="L244">
        <v>272</v>
      </c>
      <c r="M244">
        <v>0.3347222222222222</v>
      </c>
      <c r="N244">
        <v>8.0333333333333332</v>
      </c>
      <c r="O244" t="s">
        <v>4005</v>
      </c>
      <c r="P244" t="s">
        <v>2486</v>
      </c>
      <c r="Q244">
        <v>2023</v>
      </c>
      <c r="R244">
        <v>2014</v>
      </c>
      <c r="S244" s="1">
        <v>45334</v>
      </c>
      <c r="T244" s="1">
        <v>45328</v>
      </c>
      <c r="U244" t="s">
        <v>16</v>
      </c>
    </row>
    <row r="245" spans="1:21" x14ac:dyDescent="0.25">
      <c r="A245">
        <v>244</v>
      </c>
      <c r="B245">
        <v>199133310</v>
      </c>
      <c r="C245" t="s">
        <v>623</v>
      </c>
      <c r="D245" t="s">
        <v>17</v>
      </c>
      <c r="E245" t="s">
        <v>624</v>
      </c>
      <c r="F245" t="s">
        <v>625</v>
      </c>
      <c r="H245" t="s">
        <v>3230</v>
      </c>
      <c r="I245" s="5" t="s">
        <v>2933</v>
      </c>
      <c r="J245" t="s">
        <v>1668</v>
      </c>
      <c r="K245" t="s">
        <v>2488</v>
      </c>
      <c r="L245">
        <v>648</v>
      </c>
      <c r="P245" t="s">
        <v>2494</v>
      </c>
      <c r="Q245">
        <v>2023</v>
      </c>
      <c r="R245">
        <v>2021</v>
      </c>
      <c r="S245" s="1">
        <v>45333</v>
      </c>
      <c r="T245" s="1">
        <v>45322</v>
      </c>
      <c r="U245" t="s">
        <v>16</v>
      </c>
    </row>
    <row r="246" spans="1:21" x14ac:dyDescent="0.25">
      <c r="A246">
        <v>245</v>
      </c>
      <c r="B246">
        <v>62079699</v>
      </c>
      <c r="C246" t="s">
        <v>626</v>
      </c>
      <c r="D246" t="s">
        <v>17</v>
      </c>
      <c r="E246" t="s">
        <v>106</v>
      </c>
      <c r="F246" t="s">
        <v>107</v>
      </c>
      <c r="G246" t="s">
        <v>2491</v>
      </c>
      <c r="H246" t="s">
        <v>3231</v>
      </c>
      <c r="I246" s="5" t="s">
        <v>2901</v>
      </c>
      <c r="J246" t="s">
        <v>2492</v>
      </c>
      <c r="K246" t="s">
        <v>112</v>
      </c>
      <c r="L246">
        <v>376</v>
      </c>
      <c r="M246">
        <v>0.41249999999999998</v>
      </c>
      <c r="N246">
        <v>9.8999999999999986</v>
      </c>
      <c r="O246" t="s">
        <v>4006</v>
      </c>
      <c r="P246" t="s">
        <v>2486</v>
      </c>
      <c r="Q246">
        <v>2022</v>
      </c>
      <c r="R246">
        <v>2021</v>
      </c>
      <c r="S246" s="1">
        <v>45330</v>
      </c>
      <c r="T246" s="1">
        <v>45322</v>
      </c>
      <c r="U246" t="s">
        <v>16</v>
      </c>
    </row>
    <row r="247" spans="1:21" x14ac:dyDescent="0.25">
      <c r="A247">
        <v>246</v>
      </c>
      <c r="B247">
        <v>62706864</v>
      </c>
      <c r="C247" t="s">
        <v>627</v>
      </c>
      <c r="D247" t="s">
        <v>17</v>
      </c>
      <c r="E247" t="s">
        <v>628</v>
      </c>
      <c r="F247" t="s">
        <v>629</v>
      </c>
      <c r="G247" t="s">
        <v>2564</v>
      </c>
      <c r="H247" t="s">
        <v>3232</v>
      </c>
      <c r="I247" s="5" t="s">
        <v>2901</v>
      </c>
      <c r="J247" t="s">
        <v>2532</v>
      </c>
      <c r="K247" t="s">
        <v>112</v>
      </c>
      <c r="L247">
        <v>224</v>
      </c>
      <c r="M247">
        <v>0.30416666666666664</v>
      </c>
      <c r="N247">
        <v>7.2999999999999989</v>
      </c>
      <c r="O247" t="s">
        <v>3999</v>
      </c>
      <c r="P247" t="s">
        <v>2494</v>
      </c>
      <c r="Q247">
        <v>2023</v>
      </c>
      <c r="R247">
        <v>2022</v>
      </c>
      <c r="S247" s="1">
        <v>45325</v>
      </c>
      <c r="T247" s="1">
        <v>45320</v>
      </c>
      <c r="U247" t="s">
        <v>16</v>
      </c>
    </row>
    <row r="248" spans="1:21" x14ac:dyDescent="0.25">
      <c r="A248">
        <v>247</v>
      </c>
      <c r="B248">
        <v>18186644</v>
      </c>
      <c r="C248" t="s">
        <v>3233</v>
      </c>
      <c r="D248" t="s">
        <v>631</v>
      </c>
      <c r="E248" t="s">
        <v>632</v>
      </c>
      <c r="F248" t="s">
        <v>633</v>
      </c>
      <c r="G248" t="s">
        <v>2642</v>
      </c>
      <c r="H248" t="s">
        <v>3234</v>
      </c>
      <c r="I248" s="5" t="s">
        <v>2917</v>
      </c>
      <c r="J248" t="s">
        <v>2492</v>
      </c>
      <c r="K248" t="s">
        <v>112</v>
      </c>
      <c r="L248">
        <v>332</v>
      </c>
      <c r="M248">
        <v>0.68819444444444444</v>
      </c>
      <c r="N248">
        <v>16.516666666666666</v>
      </c>
      <c r="O248" t="s">
        <v>4007</v>
      </c>
      <c r="P248" t="s">
        <v>2486</v>
      </c>
      <c r="Q248">
        <v>2015</v>
      </c>
      <c r="R248">
        <v>2013</v>
      </c>
      <c r="S248" s="1">
        <v>45318</v>
      </c>
      <c r="T248" s="1">
        <v>45309</v>
      </c>
      <c r="U248" t="s">
        <v>16</v>
      </c>
    </row>
    <row r="249" spans="1:21" x14ac:dyDescent="0.25">
      <c r="A249">
        <v>248</v>
      </c>
      <c r="B249">
        <v>61813107</v>
      </c>
      <c r="C249" t="s">
        <v>2643</v>
      </c>
      <c r="D249" t="s">
        <v>17</v>
      </c>
      <c r="E249" t="s">
        <v>634</v>
      </c>
      <c r="F249" t="s">
        <v>635</v>
      </c>
      <c r="H249" t="s">
        <v>3235</v>
      </c>
      <c r="I249" s="5" t="s">
        <v>2901</v>
      </c>
      <c r="J249" t="s">
        <v>1962</v>
      </c>
      <c r="K249" t="s">
        <v>2488</v>
      </c>
      <c r="L249">
        <v>344</v>
      </c>
      <c r="P249" t="s">
        <v>2486</v>
      </c>
      <c r="Q249">
        <v>2023</v>
      </c>
      <c r="R249">
        <v>2023</v>
      </c>
      <c r="S249" s="1">
        <v>45310</v>
      </c>
      <c r="T249" s="1">
        <v>45272</v>
      </c>
      <c r="U249" t="s">
        <v>16</v>
      </c>
    </row>
    <row r="250" spans="1:21" x14ac:dyDescent="0.25">
      <c r="A250">
        <v>249</v>
      </c>
      <c r="B250">
        <v>36355792</v>
      </c>
      <c r="C250" t="s">
        <v>3236</v>
      </c>
      <c r="D250" t="s">
        <v>637</v>
      </c>
      <c r="E250" t="s">
        <v>467</v>
      </c>
      <c r="F250" t="s">
        <v>468</v>
      </c>
      <c r="H250" t="s">
        <v>3237</v>
      </c>
      <c r="I250" s="5" t="s">
        <v>2890</v>
      </c>
      <c r="J250" t="s">
        <v>2608</v>
      </c>
      <c r="K250" t="s">
        <v>57</v>
      </c>
      <c r="L250">
        <v>337</v>
      </c>
      <c r="P250" t="s">
        <v>2603</v>
      </c>
      <c r="Q250">
        <v>2017</v>
      </c>
      <c r="R250">
        <v>2017</v>
      </c>
      <c r="S250" s="1">
        <v>45304</v>
      </c>
      <c r="T250" s="1">
        <v>45274</v>
      </c>
      <c r="U250" t="s">
        <v>16</v>
      </c>
    </row>
    <row r="251" spans="1:21" x14ac:dyDescent="0.25">
      <c r="A251">
        <v>250</v>
      </c>
      <c r="B251">
        <v>17886604</v>
      </c>
      <c r="C251" t="s">
        <v>3238</v>
      </c>
      <c r="D251" t="s">
        <v>639</v>
      </c>
      <c r="E251" t="s">
        <v>632</v>
      </c>
      <c r="F251" t="s">
        <v>633</v>
      </c>
      <c r="G251" t="s">
        <v>2644</v>
      </c>
      <c r="H251" t="s">
        <v>3239</v>
      </c>
      <c r="I251" s="5" t="s">
        <v>2890</v>
      </c>
      <c r="J251" t="s">
        <v>2492</v>
      </c>
      <c r="K251" t="s">
        <v>112</v>
      </c>
      <c r="L251">
        <v>324</v>
      </c>
      <c r="M251">
        <v>0.53749999999999998</v>
      </c>
      <c r="N251">
        <v>12.899999999999999</v>
      </c>
      <c r="O251" t="s">
        <v>4008</v>
      </c>
      <c r="P251" t="s">
        <v>2486</v>
      </c>
      <c r="Q251">
        <v>2014</v>
      </c>
      <c r="R251">
        <v>2013</v>
      </c>
      <c r="S251" s="1">
        <v>45304</v>
      </c>
      <c r="T251" s="1">
        <v>45301</v>
      </c>
      <c r="U251" t="s">
        <v>16</v>
      </c>
    </row>
    <row r="252" spans="1:21" x14ac:dyDescent="0.25">
      <c r="A252">
        <v>251</v>
      </c>
      <c r="B252">
        <v>199814368</v>
      </c>
      <c r="C252" t="s">
        <v>3240</v>
      </c>
      <c r="D252" t="s">
        <v>641</v>
      </c>
      <c r="E252" t="s">
        <v>642</v>
      </c>
      <c r="F252" t="s">
        <v>643</v>
      </c>
      <c r="G252" t="s">
        <v>2645</v>
      </c>
      <c r="H252" t="s">
        <v>3241</v>
      </c>
      <c r="I252" s="5" t="s">
        <v>2901</v>
      </c>
      <c r="J252" t="s">
        <v>2617</v>
      </c>
      <c r="K252" t="s">
        <v>112</v>
      </c>
      <c r="L252">
        <v>264</v>
      </c>
      <c r="M252">
        <v>0.35833333333333334</v>
      </c>
      <c r="N252">
        <v>8.6</v>
      </c>
      <c r="O252" t="s">
        <v>4009</v>
      </c>
      <c r="P252" t="s">
        <v>2486</v>
      </c>
      <c r="Q252">
        <v>2023</v>
      </c>
      <c r="R252">
        <v>2021</v>
      </c>
      <c r="S252" s="1">
        <v>45298</v>
      </c>
      <c r="T252" s="1">
        <v>45298</v>
      </c>
      <c r="U252" t="s">
        <v>16</v>
      </c>
    </row>
    <row r="253" spans="1:21" x14ac:dyDescent="0.25">
      <c r="A253">
        <v>252</v>
      </c>
      <c r="B253">
        <v>55882657</v>
      </c>
      <c r="C253" t="s">
        <v>644</v>
      </c>
      <c r="D253" t="s">
        <v>17</v>
      </c>
      <c r="E253" t="s">
        <v>645</v>
      </c>
      <c r="F253" t="s">
        <v>646</v>
      </c>
      <c r="G253" t="s">
        <v>2646</v>
      </c>
      <c r="H253" t="s">
        <v>15</v>
      </c>
      <c r="I253" s="5" t="s">
        <v>2890</v>
      </c>
      <c r="J253" t="s">
        <v>2532</v>
      </c>
      <c r="K253" t="s">
        <v>112</v>
      </c>
      <c r="L253">
        <v>252</v>
      </c>
      <c r="M253">
        <v>0.34375</v>
      </c>
      <c r="N253">
        <v>8.25</v>
      </c>
      <c r="O253" t="s">
        <v>4010</v>
      </c>
      <c r="P253" t="s">
        <v>2494</v>
      </c>
      <c r="Q253">
        <v>2023</v>
      </c>
      <c r="R253">
        <v>2020</v>
      </c>
      <c r="S253" s="1">
        <v>45291</v>
      </c>
      <c r="T253" s="1">
        <v>45290</v>
      </c>
      <c r="U253" t="s">
        <v>16</v>
      </c>
    </row>
    <row r="254" spans="1:21" x14ac:dyDescent="0.25">
      <c r="A254">
        <v>253</v>
      </c>
      <c r="B254">
        <v>50255267</v>
      </c>
      <c r="C254" t="s">
        <v>647</v>
      </c>
      <c r="D254" t="s">
        <v>17</v>
      </c>
      <c r="E254" t="s">
        <v>648</v>
      </c>
      <c r="F254" t="s">
        <v>649</v>
      </c>
      <c r="H254" t="s">
        <v>3242</v>
      </c>
      <c r="I254" s="5" t="s">
        <v>2901</v>
      </c>
      <c r="J254" t="s">
        <v>1964</v>
      </c>
      <c r="K254" t="s">
        <v>2488</v>
      </c>
      <c r="L254">
        <v>144</v>
      </c>
      <c r="P254" t="s">
        <v>2494</v>
      </c>
      <c r="Q254">
        <v>2018</v>
      </c>
      <c r="R254">
        <v>2018</v>
      </c>
      <c r="S254" s="1">
        <v>45286</v>
      </c>
      <c r="T254" s="1">
        <v>45286</v>
      </c>
      <c r="U254" t="s">
        <v>16</v>
      </c>
    </row>
    <row r="255" spans="1:21" x14ac:dyDescent="0.25">
      <c r="A255">
        <v>254</v>
      </c>
      <c r="B255">
        <v>45913099</v>
      </c>
      <c r="C255" t="s">
        <v>650</v>
      </c>
      <c r="D255" t="s">
        <v>17</v>
      </c>
      <c r="E255" t="s">
        <v>651</v>
      </c>
      <c r="F255" t="s">
        <v>652</v>
      </c>
      <c r="H255" t="s">
        <v>3243</v>
      </c>
      <c r="I255" s="5" t="s">
        <v>2890</v>
      </c>
      <c r="J255" t="s">
        <v>1668</v>
      </c>
      <c r="K255" t="s">
        <v>2488</v>
      </c>
      <c r="L255">
        <v>280</v>
      </c>
      <c r="P255" t="s">
        <v>2494</v>
      </c>
      <c r="Q255">
        <v>2018</v>
      </c>
      <c r="R255">
        <v>2015</v>
      </c>
      <c r="S255" s="1">
        <v>45286</v>
      </c>
      <c r="T255" s="1">
        <v>45283</v>
      </c>
      <c r="U255" t="s">
        <v>16</v>
      </c>
    </row>
    <row r="256" spans="1:21" x14ac:dyDescent="0.25">
      <c r="A256">
        <v>255</v>
      </c>
      <c r="B256">
        <v>48816301</v>
      </c>
      <c r="C256" t="s">
        <v>653</v>
      </c>
      <c r="D256" t="s">
        <v>17</v>
      </c>
      <c r="E256" t="s">
        <v>654</v>
      </c>
      <c r="F256" t="s">
        <v>655</v>
      </c>
      <c r="G256" t="s">
        <v>2647</v>
      </c>
      <c r="H256" t="s">
        <v>3244</v>
      </c>
      <c r="I256" s="5" t="s">
        <v>2901</v>
      </c>
      <c r="J256" t="s">
        <v>2637</v>
      </c>
      <c r="K256" t="s">
        <v>112</v>
      </c>
      <c r="L256">
        <v>480</v>
      </c>
      <c r="M256">
        <v>0.49652777777777779</v>
      </c>
      <c r="N256">
        <v>11.916666666666668</v>
      </c>
      <c r="O256" t="s">
        <v>4002</v>
      </c>
      <c r="P256" t="s">
        <v>2486</v>
      </c>
      <c r="Q256">
        <v>2021</v>
      </c>
      <c r="R256">
        <v>2018</v>
      </c>
      <c r="S256" s="1">
        <v>45283</v>
      </c>
      <c r="T256" s="1">
        <v>45280</v>
      </c>
      <c r="U256" t="s">
        <v>16</v>
      </c>
    </row>
    <row r="257" spans="1:21" x14ac:dyDescent="0.25">
      <c r="A257">
        <v>256</v>
      </c>
      <c r="B257">
        <v>45913081</v>
      </c>
      <c r="C257" t="s">
        <v>656</v>
      </c>
      <c r="D257" t="s">
        <v>17</v>
      </c>
      <c r="E257" t="s">
        <v>651</v>
      </c>
      <c r="F257" t="s">
        <v>652</v>
      </c>
      <c r="H257" t="s">
        <v>3245</v>
      </c>
      <c r="I257" s="5" t="s">
        <v>2890</v>
      </c>
      <c r="J257" t="s">
        <v>1668</v>
      </c>
      <c r="K257" t="s">
        <v>2488</v>
      </c>
      <c r="L257">
        <v>272</v>
      </c>
      <c r="P257" t="s">
        <v>2494</v>
      </c>
      <c r="Q257">
        <v>2018</v>
      </c>
      <c r="R257">
        <v>2017</v>
      </c>
      <c r="S257" s="1">
        <v>45280</v>
      </c>
      <c r="T257" s="1">
        <v>45276</v>
      </c>
      <c r="U257" t="s">
        <v>16</v>
      </c>
    </row>
    <row r="258" spans="1:21" x14ac:dyDescent="0.25">
      <c r="A258">
        <v>257</v>
      </c>
      <c r="B258">
        <v>58140664</v>
      </c>
      <c r="C258" t="s">
        <v>657</v>
      </c>
      <c r="D258" t="s">
        <v>17</v>
      </c>
      <c r="E258" t="s">
        <v>658</v>
      </c>
      <c r="F258" t="s">
        <v>659</v>
      </c>
      <c r="H258" t="s">
        <v>3246</v>
      </c>
      <c r="I258" s="5" t="s">
        <v>2890</v>
      </c>
      <c r="J258" t="s">
        <v>1723</v>
      </c>
      <c r="K258" t="s">
        <v>2488</v>
      </c>
      <c r="L258">
        <v>256</v>
      </c>
      <c r="P258" t="s">
        <v>2494</v>
      </c>
      <c r="Q258">
        <v>2021</v>
      </c>
      <c r="R258">
        <v>2020</v>
      </c>
      <c r="S258" s="1">
        <v>45274</v>
      </c>
      <c r="T258" s="1">
        <v>45269</v>
      </c>
      <c r="U258" t="s">
        <v>16</v>
      </c>
    </row>
    <row r="259" spans="1:21" x14ac:dyDescent="0.25">
      <c r="A259">
        <v>258</v>
      </c>
      <c r="B259">
        <v>45989722</v>
      </c>
      <c r="C259" t="s">
        <v>3247</v>
      </c>
      <c r="D259" t="s">
        <v>661</v>
      </c>
      <c r="E259" t="s">
        <v>662</v>
      </c>
      <c r="F259" t="s">
        <v>663</v>
      </c>
      <c r="H259" t="s">
        <v>3248</v>
      </c>
      <c r="I259" s="5" t="s">
        <v>2933</v>
      </c>
      <c r="J259" t="s">
        <v>1811</v>
      </c>
      <c r="K259" t="s">
        <v>57</v>
      </c>
      <c r="L259">
        <v>501</v>
      </c>
      <c r="P259" t="s">
        <v>2486</v>
      </c>
      <c r="Q259">
        <v>2022</v>
      </c>
      <c r="R259">
        <v>2021</v>
      </c>
      <c r="S259" s="1">
        <v>45271</v>
      </c>
      <c r="T259" s="1">
        <v>45267</v>
      </c>
      <c r="U259" t="s">
        <v>16</v>
      </c>
    </row>
    <row r="260" spans="1:21" x14ac:dyDescent="0.25">
      <c r="A260">
        <v>259</v>
      </c>
      <c r="B260">
        <v>35170506</v>
      </c>
      <c r="C260" t="s">
        <v>3249</v>
      </c>
      <c r="D260" t="s">
        <v>665</v>
      </c>
      <c r="E260" t="s">
        <v>662</v>
      </c>
      <c r="F260" t="s">
        <v>663</v>
      </c>
      <c r="H260" t="s">
        <v>3250</v>
      </c>
      <c r="I260" s="5" t="s">
        <v>2933</v>
      </c>
      <c r="J260" t="s">
        <v>1811</v>
      </c>
      <c r="K260" t="s">
        <v>57</v>
      </c>
      <c r="L260">
        <v>440</v>
      </c>
      <c r="P260" t="s">
        <v>2486</v>
      </c>
      <c r="Q260">
        <v>2017</v>
      </c>
      <c r="R260">
        <v>2017</v>
      </c>
      <c r="S260" s="1">
        <v>45264</v>
      </c>
      <c r="T260" s="1">
        <v>45260</v>
      </c>
      <c r="U260" t="s">
        <v>16</v>
      </c>
    </row>
    <row r="261" spans="1:21" x14ac:dyDescent="0.25">
      <c r="A261">
        <v>260</v>
      </c>
      <c r="B261">
        <v>54450063</v>
      </c>
      <c r="C261" t="s">
        <v>3251</v>
      </c>
      <c r="D261" t="s">
        <v>667</v>
      </c>
      <c r="E261" t="s">
        <v>668</v>
      </c>
      <c r="F261" t="s">
        <v>669</v>
      </c>
      <c r="G261" t="s">
        <v>2648</v>
      </c>
      <c r="H261" t="s">
        <v>3252</v>
      </c>
      <c r="I261" s="5" t="s">
        <v>2890</v>
      </c>
      <c r="J261" t="s">
        <v>2545</v>
      </c>
      <c r="K261" t="s">
        <v>112</v>
      </c>
      <c r="L261">
        <v>504</v>
      </c>
      <c r="M261">
        <v>0.76249999999999996</v>
      </c>
      <c r="N261">
        <v>18.299999999999997</v>
      </c>
      <c r="O261" t="s">
        <v>4011</v>
      </c>
      <c r="P261" t="s">
        <v>2486</v>
      </c>
      <c r="Q261">
        <v>2021</v>
      </c>
      <c r="R261">
        <v>2020</v>
      </c>
      <c r="S261" s="1">
        <v>45264</v>
      </c>
      <c r="T261" s="1">
        <v>45257</v>
      </c>
      <c r="U261" t="s">
        <v>16</v>
      </c>
    </row>
    <row r="262" spans="1:21" x14ac:dyDescent="0.25">
      <c r="A262">
        <v>261</v>
      </c>
      <c r="B262">
        <v>29737249</v>
      </c>
      <c r="C262" t="s">
        <v>3253</v>
      </c>
      <c r="D262" t="s">
        <v>671</v>
      </c>
      <c r="E262" t="s">
        <v>662</v>
      </c>
      <c r="F262" t="s">
        <v>663</v>
      </c>
      <c r="H262" t="s">
        <v>3254</v>
      </c>
      <c r="I262" s="5" t="s">
        <v>2933</v>
      </c>
      <c r="J262" t="s">
        <v>1811</v>
      </c>
      <c r="K262" t="s">
        <v>57</v>
      </c>
      <c r="L262">
        <v>374</v>
      </c>
      <c r="P262" t="s">
        <v>2486</v>
      </c>
      <c r="Q262">
        <v>2016</v>
      </c>
      <c r="R262">
        <v>2016</v>
      </c>
      <c r="S262" s="1">
        <v>45257</v>
      </c>
      <c r="T262" s="1">
        <v>45186</v>
      </c>
      <c r="U262" t="s">
        <v>16</v>
      </c>
    </row>
    <row r="263" spans="1:21" x14ac:dyDescent="0.25">
      <c r="A263">
        <v>262</v>
      </c>
      <c r="B263">
        <v>38369252</v>
      </c>
      <c r="C263" t="s">
        <v>3255</v>
      </c>
      <c r="D263" t="s">
        <v>673</v>
      </c>
      <c r="E263" t="s">
        <v>536</v>
      </c>
      <c r="F263" t="s">
        <v>537</v>
      </c>
      <c r="G263" t="s">
        <v>2496</v>
      </c>
      <c r="H263" t="s">
        <v>3256</v>
      </c>
      <c r="I263" s="5" t="s">
        <v>2901</v>
      </c>
      <c r="J263" t="s">
        <v>2499</v>
      </c>
      <c r="K263" t="s">
        <v>112</v>
      </c>
      <c r="L263">
        <v>320</v>
      </c>
      <c r="M263">
        <v>0.45902777777777776</v>
      </c>
      <c r="N263">
        <v>11.016666666666666</v>
      </c>
      <c r="O263" t="s">
        <v>4012</v>
      </c>
      <c r="P263" t="s">
        <v>2486</v>
      </c>
      <c r="Q263">
        <v>2022</v>
      </c>
      <c r="R263">
        <v>2016</v>
      </c>
      <c r="S263" s="1">
        <v>45255</v>
      </c>
      <c r="T263" s="1">
        <v>44930</v>
      </c>
      <c r="U263" t="s">
        <v>16</v>
      </c>
    </row>
    <row r="264" spans="1:21" x14ac:dyDescent="0.25">
      <c r="A264">
        <v>263</v>
      </c>
      <c r="B264">
        <v>58302426</v>
      </c>
      <c r="C264" t="s">
        <v>674</v>
      </c>
      <c r="D264" t="s">
        <v>17</v>
      </c>
      <c r="E264" t="s">
        <v>675</v>
      </c>
      <c r="F264" t="s">
        <v>676</v>
      </c>
      <c r="H264" t="s">
        <v>3257</v>
      </c>
      <c r="I264" s="5" t="s">
        <v>3006</v>
      </c>
      <c r="J264" t="s">
        <v>1668</v>
      </c>
      <c r="K264" t="s">
        <v>2488</v>
      </c>
      <c r="L264">
        <v>256</v>
      </c>
      <c r="P264" t="s">
        <v>2494</v>
      </c>
      <c r="Q264">
        <v>2021</v>
      </c>
      <c r="R264">
        <v>2017</v>
      </c>
      <c r="S264" s="1">
        <v>45254</v>
      </c>
      <c r="T264" s="1">
        <v>45250</v>
      </c>
      <c r="U264" t="s">
        <v>16</v>
      </c>
    </row>
    <row r="265" spans="1:21" x14ac:dyDescent="0.25">
      <c r="A265">
        <v>264</v>
      </c>
      <c r="B265">
        <v>134744448</v>
      </c>
      <c r="C265" t="s">
        <v>677</v>
      </c>
      <c r="D265" t="s">
        <v>17</v>
      </c>
      <c r="E265" t="s">
        <v>678</v>
      </c>
      <c r="F265" t="s">
        <v>679</v>
      </c>
      <c r="H265" t="s">
        <v>3258</v>
      </c>
      <c r="I265" s="5" t="s">
        <v>2933</v>
      </c>
      <c r="J265" t="s">
        <v>1974</v>
      </c>
      <c r="K265" t="s">
        <v>2488</v>
      </c>
      <c r="L265">
        <v>366</v>
      </c>
      <c r="P265" t="s">
        <v>2494</v>
      </c>
      <c r="Q265">
        <v>2023</v>
      </c>
      <c r="R265">
        <v>2022</v>
      </c>
      <c r="S265" s="1">
        <v>45249</v>
      </c>
      <c r="T265" s="1">
        <v>45248</v>
      </c>
      <c r="U265" t="s">
        <v>16</v>
      </c>
    </row>
    <row r="266" spans="1:21" x14ac:dyDescent="0.25">
      <c r="A266">
        <v>265</v>
      </c>
      <c r="B266">
        <v>63038379</v>
      </c>
      <c r="C266" t="s">
        <v>680</v>
      </c>
      <c r="D266" t="s">
        <v>2649</v>
      </c>
      <c r="E266" t="s">
        <v>681</v>
      </c>
      <c r="F266" t="s">
        <v>682</v>
      </c>
      <c r="G266" t="s">
        <v>2650</v>
      </c>
      <c r="H266" t="s">
        <v>3259</v>
      </c>
      <c r="I266" s="5" t="s">
        <v>2890</v>
      </c>
      <c r="J266" t="s">
        <v>2532</v>
      </c>
      <c r="K266" t="s">
        <v>112</v>
      </c>
      <c r="L266">
        <v>328</v>
      </c>
      <c r="M266">
        <v>0.42222222222222222</v>
      </c>
      <c r="N266">
        <v>10.133333333333333</v>
      </c>
      <c r="O266" t="s">
        <v>4013</v>
      </c>
      <c r="P266" t="s">
        <v>2494</v>
      </c>
      <c r="Q266">
        <v>2023</v>
      </c>
      <c r="R266">
        <v>2020</v>
      </c>
      <c r="S266" s="1">
        <v>45244</v>
      </c>
      <c r="T266" s="1">
        <v>45240</v>
      </c>
      <c r="U266" t="s">
        <v>16</v>
      </c>
    </row>
    <row r="267" spans="1:21" x14ac:dyDescent="0.25">
      <c r="A267">
        <v>266</v>
      </c>
      <c r="B267">
        <v>52960533</v>
      </c>
      <c r="C267" t="s">
        <v>683</v>
      </c>
      <c r="D267" t="s">
        <v>17</v>
      </c>
      <c r="E267" t="s">
        <v>684</v>
      </c>
      <c r="F267" t="s">
        <v>685</v>
      </c>
      <c r="H267" t="s">
        <v>3260</v>
      </c>
      <c r="I267" s="5" t="s">
        <v>2901</v>
      </c>
      <c r="J267" t="s">
        <v>1673</v>
      </c>
      <c r="K267" t="s">
        <v>2488</v>
      </c>
      <c r="L267">
        <v>400</v>
      </c>
      <c r="P267" t="s">
        <v>2494</v>
      </c>
      <c r="Q267">
        <v>2019</v>
      </c>
      <c r="R267">
        <v>2017</v>
      </c>
      <c r="S267" s="1">
        <v>45244</v>
      </c>
      <c r="T267" s="1">
        <v>45235</v>
      </c>
      <c r="U267" t="s">
        <v>16</v>
      </c>
    </row>
    <row r="268" spans="1:21" x14ac:dyDescent="0.25">
      <c r="A268">
        <v>267</v>
      </c>
      <c r="B268">
        <v>60464188</v>
      </c>
      <c r="C268" t="s">
        <v>686</v>
      </c>
      <c r="D268" t="s">
        <v>2651</v>
      </c>
      <c r="E268" t="s">
        <v>681</v>
      </c>
      <c r="F268" t="s">
        <v>682</v>
      </c>
      <c r="G268" t="s">
        <v>2650</v>
      </c>
      <c r="H268" t="s">
        <v>3261</v>
      </c>
      <c r="I268" s="5" t="s">
        <v>2901</v>
      </c>
      <c r="J268" t="s">
        <v>2532</v>
      </c>
      <c r="K268" t="s">
        <v>112</v>
      </c>
      <c r="L268">
        <v>304</v>
      </c>
      <c r="M268">
        <v>0.38124999999999998</v>
      </c>
      <c r="N268">
        <v>9.1499999999999986</v>
      </c>
      <c r="O268" t="s">
        <v>4014</v>
      </c>
      <c r="P268" t="s">
        <v>2494</v>
      </c>
      <c r="Q268">
        <v>2022</v>
      </c>
      <c r="R268">
        <v>2019</v>
      </c>
      <c r="S268" s="1">
        <v>45237</v>
      </c>
      <c r="T268" s="1">
        <v>45234</v>
      </c>
      <c r="U268" t="s">
        <v>16</v>
      </c>
    </row>
    <row r="269" spans="1:21" x14ac:dyDescent="0.25">
      <c r="A269">
        <v>268</v>
      </c>
      <c r="B269">
        <v>75634325</v>
      </c>
      <c r="C269" t="s">
        <v>687</v>
      </c>
      <c r="D269" t="s">
        <v>17</v>
      </c>
      <c r="E269" t="s">
        <v>18</v>
      </c>
      <c r="F269" t="s">
        <v>19</v>
      </c>
      <c r="H269" t="s">
        <v>3262</v>
      </c>
      <c r="I269" s="5" t="s">
        <v>2901</v>
      </c>
      <c r="J269" t="s">
        <v>1979</v>
      </c>
      <c r="K269" t="s">
        <v>2488</v>
      </c>
      <c r="L269">
        <v>230</v>
      </c>
      <c r="P269" t="s">
        <v>2494</v>
      </c>
      <c r="Q269">
        <v>2022</v>
      </c>
      <c r="R269">
        <v>2022</v>
      </c>
      <c r="S269" s="1">
        <v>45234</v>
      </c>
      <c r="T269" s="1">
        <v>45215</v>
      </c>
      <c r="U269" t="s">
        <v>16</v>
      </c>
    </row>
    <row r="270" spans="1:21" x14ac:dyDescent="0.25">
      <c r="A270">
        <v>269</v>
      </c>
      <c r="B270">
        <v>235869</v>
      </c>
      <c r="C270" t="s">
        <v>2652</v>
      </c>
      <c r="D270" t="s">
        <v>17</v>
      </c>
      <c r="E270" t="s">
        <v>688</v>
      </c>
      <c r="F270" t="s">
        <v>689</v>
      </c>
      <c r="H270" t="s">
        <v>3263</v>
      </c>
      <c r="I270" s="5" t="s">
        <v>2901</v>
      </c>
      <c r="J270" t="s">
        <v>1780</v>
      </c>
      <c r="K270" t="s">
        <v>2488</v>
      </c>
      <c r="L270">
        <v>284</v>
      </c>
      <c r="P270" t="s">
        <v>2494</v>
      </c>
      <c r="Q270">
        <v>2022</v>
      </c>
      <c r="R270">
        <v>1995</v>
      </c>
      <c r="S270" s="1">
        <v>45233</v>
      </c>
      <c r="T270" s="1">
        <v>45179</v>
      </c>
      <c r="U270" t="s">
        <v>16</v>
      </c>
    </row>
    <row r="271" spans="1:21" x14ac:dyDescent="0.25">
      <c r="A271">
        <v>270</v>
      </c>
      <c r="B271">
        <v>7878203</v>
      </c>
      <c r="C271" t="s">
        <v>690</v>
      </c>
      <c r="D271" t="s">
        <v>17</v>
      </c>
      <c r="E271" t="s">
        <v>691</v>
      </c>
      <c r="F271" t="s">
        <v>692</v>
      </c>
      <c r="H271" t="s">
        <v>3264</v>
      </c>
      <c r="I271" s="5" t="s">
        <v>2917</v>
      </c>
      <c r="J271" t="s">
        <v>1982</v>
      </c>
      <c r="K271" t="s">
        <v>57</v>
      </c>
      <c r="L271">
        <v>399</v>
      </c>
      <c r="P271" t="s">
        <v>2486</v>
      </c>
      <c r="Q271">
        <v>2003</v>
      </c>
      <c r="R271">
        <v>2003</v>
      </c>
      <c r="S271" s="1">
        <v>45232</v>
      </c>
      <c r="T271" s="1">
        <v>45214</v>
      </c>
      <c r="U271" t="s">
        <v>16</v>
      </c>
    </row>
    <row r="272" spans="1:21" x14ac:dyDescent="0.25">
      <c r="A272">
        <v>271</v>
      </c>
      <c r="B272">
        <v>60849800</v>
      </c>
      <c r="C272" t="s">
        <v>3265</v>
      </c>
      <c r="D272" t="s">
        <v>694</v>
      </c>
      <c r="E272" t="s">
        <v>197</v>
      </c>
      <c r="F272" t="s">
        <v>198</v>
      </c>
      <c r="G272" t="s">
        <v>2653</v>
      </c>
      <c r="H272" t="s">
        <v>3266</v>
      </c>
      <c r="I272" s="5" t="s">
        <v>2890</v>
      </c>
      <c r="J272" t="s">
        <v>2532</v>
      </c>
      <c r="K272" t="s">
        <v>112</v>
      </c>
      <c r="L272">
        <v>392</v>
      </c>
      <c r="M272">
        <v>0.55000000000000004</v>
      </c>
      <c r="N272">
        <v>13.200000000000001</v>
      </c>
      <c r="O272" t="s">
        <v>4015</v>
      </c>
      <c r="P272" t="s">
        <v>2494</v>
      </c>
      <c r="Q272">
        <v>2022</v>
      </c>
      <c r="R272">
        <v>2021</v>
      </c>
      <c r="S272" s="1">
        <v>45231</v>
      </c>
      <c r="T272" s="1">
        <v>45226</v>
      </c>
      <c r="U272" t="s">
        <v>16</v>
      </c>
    </row>
    <row r="273" spans="1:21" x14ac:dyDescent="0.25">
      <c r="A273">
        <v>272</v>
      </c>
      <c r="B273">
        <v>63204852</v>
      </c>
      <c r="C273" t="s">
        <v>695</v>
      </c>
      <c r="D273" t="s">
        <v>17</v>
      </c>
      <c r="E273" t="s">
        <v>568</v>
      </c>
      <c r="F273" t="s">
        <v>569</v>
      </c>
      <c r="H273" t="s">
        <v>3267</v>
      </c>
      <c r="I273" s="5" t="s">
        <v>2933</v>
      </c>
      <c r="J273" t="s">
        <v>1930</v>
      </c>
      <c r="K273" t="s">
        <v>2488</v>
      </c>
      <c r="L273">
        <v>224</v>
      </c>
      <c r="P273" t="s">
        <v>2494</v>
      </c>
      <c r="Q273">
        <v>2022</v>
      </c>
      <c r="R273">
        <v>2022</v>
      </c>
      <c r="S273" s="1">
        <v>45231</v>
      </c>
      <c r="T273" s="1">
        <v>45228</v>
      </c>
      <c r="U273" t="s">
        <v>16</v>
      </c>
    </row>
    <row r="274" spans="1:21" x14ac:dyDescent="0.25">
      <c r="A274">
        <v>273</v>
      </c>
      <c r="B274">
        <v>60671570</v>
      </c>
      <c r="C274" t="s">
        <v>696</v>
      </c>
      <c r="D274" t="s">
        <v>17</v>
      </c>
      <c r="E274" t="s">
        <v>573</v>
      </c>
      <c r="F274" t="s">
        <v>574</v>
      </c>
      <c r="H274" t="s">
        <v>3268</v>
      </c>
      <c r="I274" s="5" t="s">
        <v>2933</v>
      </c>
      <c r="J274" t="s">
        <v>1829</v>
      </c>
      <c r="K274" t="s">
        <v>2488</v>
      </c>
      <c r="L274">
        <v>424</v>
      </c>
      <c r="P274" t="s">
        <v>2494</v>
      </c>
      <c r="Q274">
        <v>2022</v>
      </c>
      <c r="R274">
        <v>2020</v>
      </c>
      <c r="S274" s="1">
        <v>45226</v>
      </c>
      <c r="T274" s="1">
        <v>45213</v>
      </c>
      <c r="U274" t="s">
        <v>16</v>
      </c>
    </row>
    <row r="275" spans="1:21" x14ac:dyDescent="0.25">
      <c r="A275">
        <v>274</v>
      </c>
      <c r="B275">
        <v>58187216</v>
      </c>
      <c r="C275" t="s">
        <v>3269</v>
      </c>
      <c r="D275" t="s">
        <v>698</v>
      </c>
      <c r="E275" t="s">
        <v>197</v>
      </c>
      <c r="F275" t="s">
        <v>198</v>
      </c>
      <c r="G275" t="s">
        <v>2654</v>
      </c>
      <c r="H275" t="s">
        <v>3270</v>
      </c>
      <c r="I275" s="5" t="s">
        <v>2890</v>
      </c>
      <c r="J275" t="s">
        <v>2532</v>
      </c>
      <c r="K275" t="s">
        <v>112</v>
      </c>
      <c r="L275">
        <v>392</v>
      </c>
      <c r="M275">
        <v>0.47986111111111113</v>
      </c>
      <c r="N275">
        <v>11.516666666666667</v>
      </c>
      <c r="O275" t="s">
        <v>4016</v>
      </c>
      <c r="P275" t="s">
        <v>2494</v>
      </c>
      <c r="Q275">
        <v>2021</v>
      </c>
      <c r="R275">
        <v>2020</v>
      </c>
      <c r="S275" s="1">
        <v>45220</v>
      </c>
      <c r="T275" s="1">
        <v>45214</v>
      </c>
      <c r="U275" t="s">
        <v>16</v>
      </c>
    </row>
    <row r="276" spans="1:21" x14ac:dyDescent="0.25">
      <c r="A276">
        <v>275</v>
      </c>
      <c r="B276">
        <v>48611215</v>
      </c>
      <c r="C276" t="s">
        <v>699</v>
      </c>
      <c r="D276" t="s">
        <v>17</v>
      </c>
      <c r="E276" t="s">
        <v>700</v>
      </c>
      <c r="F276" t="s">
        <v>701</v>
      </c>
      <c r="H276" t="s">
        <v>3271</v>
      </c>
      <c r="I276" s="5" t="s">
        <v>2890</v>
      </c>
      <c r="J276" t="s">
        <v>1730</v>
      </c>
      <c r="K276" t="s">
        <v>57</v>
      </c>
      <c r="L276">
        <v>280</v>
      </c>
      <c r="P276" t="s">
        <v>2486</v>
      </c>
      <c r="Q276">
        <v>2019</v>
      </c>
      <c r="R276">
        <v>2014</v>
      </c>
      <c r="S276" s="1">
        <v>45213</v>
      </c>
      <c r="T276" s="1">
        <v>45209</v>
      </c>
      <c r="U276" t="s">
        <v>16</v>
      </c>
    </row>
    <row r="277" spans="1:21" x14ac:dyDescent="0.25">
      <c r="A277">
        <v>276</v>
      </c>
      <c r="B277">
        <v>63375691</v>
      </c>
      <c r="C277" t="s">
        <v>3272</v>
      </c>
      <c r="D277" t="s">
        <v>703</v>
      </c>
      <c r="E277" t="s">
        <v>359</v>
      </c>
      <c r="F277" t="s">
        <v>360</v>
      </c>
      <c r="G277" t="s">
        <v>2655</v>
      </c>
      <c r="H277" t="s">
        <v>3273</v>
      </c>
      <c r="I277" s="5" t="s">
        <v>2901</v>
      </c>
      <c r="J277" t="s">
        <v>2532</v>
      </c>
      <c r="K277" t="s">
        <v>112</v>
      </c>
      <c r="L277">
        <v>520</v>
      </c>
      <c r="M277">
        <v>0.73333333333333328</v>
      </c>
      <c r="N277">
        <v>17.599999999999998</v>
      </c>
      <c r="O277" t="s">
        <v>4017</v>
      </c>
      <c r="P277" t="s">
        <v>2494</v>
      </c>
      <c r="Q277">
        <v>2023</v>
      </c>
      <c r="R277">
        <v>2022</v>
      </c>
      <c r="S277" s="1">
        <v>45213</v>
      </c>
      <c r="T277" s="1">
        <v>45206</v>
      </c>
      <c r="U277" t="s">
        <v>16</v>
      </c>
    </row>
    <row r="278" spans="1:21" x14ac:dyDescent="0.25">
      <c r="A278">
        <v>277</v>
      </c>
      <c r="B278">
        <v>56486546</v>
      </c>
      <c r="C278" t="s">
        <v>704</v>
      </c>
      <c r="D278" t="s">
        <v>17</v>
      </c>
      <c r="E278" t="s">
        <v>705</v>
      </c>
      <c r="F278" t="s">
        <v>706</v>
      </c>
      <c r="H278" t="s">
        <v>3274</v>
      </c>
      <c r="I278" s="5" t="s">
        <v>2890</v>
      </c>
      <c r="J278" t="s">
        <v>1990</v>
      </c>
      <c r="K278" t="s">
        <v>2488</v>
      </c>
      <c r="L278">
        <v>424</v>
      </c>
      <c r="P278" t="s">
        <v>2494</v>
      </c>
      <c r="Q278">
        <v>2020</v>
      </c>
      <c r="R278">
        <v>2018</v>
      </c>
      <c r="S278" s="1">
        <v>45210</v>
      </c>
      <c r="T278" s="1">
        <v>45197</v>
      </c>
      <c r="U278" t="s">
        <v>16</v>
      </c>
    </row>
    <row r="279" spans="1:21" x14ac:dyDescent="0.25">
      <c r="A279">
        <v>278</v>
      </c>
      <c r="B279">
        <v>78983</v>
      </c>
      <c r="C279" t="s">
        <v>3275</v>
      </c>
      <c r="D279" t="s">
        <v>708</v>
      </c>
      <c r="E279" t="s">
        <v>90</v>
      </c>
      <c r="F279" t="s">
        <v>91</v>
      </c>
      <c r="G279" t="s">
        <v>2656</v>
      </c>
      <c r="H279" t="s">
        <v>3276</v>
      </c>
      <c r="I279" s="5" t="s">
        <v>2933</v>
      </c>
      <c r="J279" t="s">
        <v>2657</v>
      </c>
      <c r="K279" t="s">
        <v>112</v>
      </c>
      <c r="L279">
        <v>592</v>
      </c>
      <c r="M279">
        <v>0.8618055555555556</v>
      </c>
      <c r="N279">
        <v>20.683333333333334</v>
      </c>
      <c r="O279" t="s">
        <v>4018</v>
      </c>
      <c r="P279" t="s">
        <v>2486</v>
      </c>
      <c r="Q279">
        <v>2021</v>
      </c>
      <c r="R279">
        <v>1979</v>
      </c>
      <c r="S279" s="1">
        <v>45197</v>
      </c>
      <c r="T279" s="1">
        <v>45192</v>
      </c>
      <c r="U279" t="s">
        <v>16</v>
      </c>
    </row>
    <row r="280" spans="1:21" x14ac:dyDescent="0.25">
      <c r="A280">
        <v>279</v>
      </c>
      <c r="B280">
        <v>56916132</v>
      </c>
      <c r="C280" t="s">
        <v>709</v>
      </c>
      <c r="D280" t="s">
        <v>17</v>
      </c>
      <c r="E280" t="s">
        <v>710</v>
      </c>
      <c r="F280" t="s">
        <v>711</v>
      </c>
      <c r="H280" t="s">
        <v>3277</v>
      </c>
      <c r="I280" s="5" t="s">
        <v>2901</v>
      </c>
      <c r="J280" t="s">
        <v>1811</v>
      </c>
      <c r="K280" t="s">
        <v>57</v>
      </c>
      <c r="L280">
        <v>381</v>
      </c>
      <c r="P280" t="s">
        <v>2486</v>
      </c>
      <c r="Q280">
        <v>2021</v>
      </c>
      <c r="R280">
        <v>2019</v>
      </c>
      <c r="S280" s="1">
        <v>45185</v>
      </c>
      <c r="T280" s="1">
        <v>45179</v>
      </c>
      <c r="U280" t="s">
        <v>16</v>
      </c>
    </row>
    <row r="281" spans="1:21" x14ac:dyDescent="0.25">
      <c r="A281">
        <v>280</v>
      </c>
      <c r="B281">
        <v>12311577</v>
      </c>
      <c r="C281" t="s">
        <v>712</v>
      </c>
      <c r="D281" t="s">
        <v>17</v>
      </c>
      <c r="E281" t="s">
        <v>713</v>
      </c>
      <c r="F281" t="s">
        <v>714</v>
      </c>
      <c r="G281" t="s">
        <v>2618</v>
      </c>
      <c r="H281" t="s">
        <v>3278</v>
      </c>
      <c r="I281" s="5" t="s">
        <v>3006</v>
      </c>
      <c r="J281" t="s">
        <v>2532</v>
      </c>
      <c r="K281" t="s">
        <v>112</v>
      </c>
      <c r="L281">
        <v>312</v>
      </c>
      <c r="M281">
        <v>0.75208333333333333</v>
      </c>
      <c r="N281">
        <v>18.05</v>
      </c>
      <c r="O281" t="s">
        <v>4019</v>
      </c>
      <c r="P281" t="s">
        <v>2494</v>
      </c>
      <c r="Q281">
        <v>2022</v>
      </c>
      <c r="R281">
        <v>1967</v>
      </c>
      <c r="S281" s="1">
        <v>45184</v>
      </c>
      <c r="T281" s="1">
        <v>45179</v>
      </c>
      <c r="U281" t="s">
        <v>16</v>
      </c>
    </row>
    <row r="282" spans="1:21" x14ac:dyDescent="0.25">
      <c r="A282">
        <v>281</v>
      </c>
      <c r="B282">
        <v>57513427</v>
      </c>
      <c r="C282" t="s">
        <v>715</v>
      </c>
      <c r="D282" t="s">
        <v>17</v>
      </c>
      <c r="E282" t="s">
        <v>716</v>
      </c>
      <c r="F282" t="s">
        <v>717</v>
      </c>
      <c r="H282" t="s">
        <v>3279</v>
      </c>
      <c r="I282" s="5" t="s">
        <v>2917</v>
      </c>
      <c r="J282" t="s">
        <v>1770</v>
      </c>
      <c r="K282" t="s">
        <v>2488</v>
      </c>
      <c r="L282">
        <v>392</v>
      </c>
      <c r="P282" t="s">
        <v>2494</v>
      </c>
      <c r="Q282">
        <v>2021</v>
      </c>
      <c r="R282">
        <v>2021</v>
      </c>
      <c r="S282" s="1">
        <v>45178</v>
      </c>
      <c r="T282" s="1">
        <v>45169</v>
      </c>
      <c r="U282" t="s">
        <v>16</v>
      </c>
    </row>
    <row r="283" spans="1:21" x14ac:dyDescent="0.25">
      <c r="A283">
        <v>282</v>
      </c>
      <c r="B283">
        <v>123540575</v>
      </c>
      <c r="C283" t="s">
        <v>718</v>
      </c>
      <c r="D283" t="s">
        <v>17</v>
      </c>
      <c r="E283" t="s">
        <v>332</v>
      </c>
      <c r="F283" t="s">
        <v>333</v>
      </c>
      <c r="G283" t="s">
        <v>2655</v>
      </c>
      <c r="H283" t="s">
        <v>3280</v>
      </c>
      <c r="I283" s="5" t="s">
        <v>2890</v>
      </c>
      <c r="J283" t="s">
        <v>2532</v>
      </c>
      <c r="K283" t="s">
        <v>112</v>
      </c>
      <c r="L283">
        <v>296</v>
      </c>
      <c r="M283">
        <v>0.37638888888888888</v>
      </c>
      <c r="N283">
        <v>9.0333333333333332</v>
      </c>
      <c r="O283" t="s">
        <v>3940</v>
      </c>
      <c r="P283" t="s">
        <v>2486</v>
      </c>
      <c r="Q283">
        <v>2023</v>
      </c>
      <c r="R283">
        <v>2022</v>
      </c>
      <c r="S283" s="1">
        <v>45177</v>
      </c>
      <c r="T283" s="1">
        <v>45176</v>
      </c>
      <c r="U283" t="s">
        <v>16</v>
      </c>
    </row>
    <row r="284" spans="1:21" x14ac:dyDescent="0.25">
      <c r="A284">
        <v>283</v>
      </c>
      <c r="B284">
        <v>36381037</v>
      </c>
      <c r="C284" t="s">
        <v>3281</v>
      </c>
      <c r="D284" t="s">
        <v>720</v>
      </c>
      <c r="E284" t="s">
        <v>422</v>
      </c>
      <c r="F284" t="s">
        <v>423</v>
      </c>
      <c r="H284" t="s">
        <v>3282</v>
      </c>
      <c r="I284" s="5" t="s">
        <v>2933</v>
      </c>
      <c r="J284" t="s">
        <v>1780</v>
      </c>
      <c r="K284" t="s">
        <v>57</v>
      </c>
      <c r="L284">
        <v>400</v>
      </c>
      <c r="P284" t="s">
        <v>2486</v>
      </c>
      <c r="Q284">
        <v>2020</v>
      </c>
      <c r="R284">
        <v>2012</v>
      </c>
      <c r="S284" s="1">
        <v>45172</v>
      </c>
      <c r="T284" s="1">
        <v>45163</v>
      </c>
      <c r="U284" t="s">
        <v>16</v>
      </c>
    </row>
    <row r="285" spans="1:21" x14ac:dyDescent="0.25">
      <c r="A285">
        <v>284</v>
      </c>
      <c r="B285">
        <v>13557241</v>
      </c>
      <c r="C285" t="s">
        <v>721</v>
      </c>
      <c r="D285" t="s">
        <v>17</v>
      </c>
      <c r="E285" t="s">
        <v>722</v>
      </c>
      <c r="F285" t="s">
        <v>723</v>
      </c>
      <c r="G285" t="s">
        <v>2515</v>
      </c>
      <c r="H285" t="s">
        <v>3283</v>
      </c>
      <c r="I285" s="5" t="s">
        <v>2901</v>
      </c>
      <c r="J285" t="s">
        <v>2658</v>
      </c>
      <c r="K285" t="s">
        <v>112</v>
      </c>
      <c r="L285">
        <v>255</v>
      </c>
      <c r="M285">
        <v>0.36319444444444443</v>
      </c>
      <c r="N285">
        <v>8.7166666666666668</v>
      </c>
      <c r="O285" t="s">
        <v>4020</v>
      </c>
      <c r="P285" t="s">
        <v>2486</v>
      </c>
      <c r="Q285">
        <v>2017</v>
      </c>
      <c r="R285">
        <v>1957</v>
      </c>
      <c r="S285" s="1">
        <v>45170</v>
      </c>
      <c r="T285" s="1">
        <v>45161</v>
      </c>
      <c r="U285" t="s">
        <v>16</v>
      </c>
    </row>
    <row r="286" spans="1:21" x14ac:dyDescent="0.25">
      <c r="A286">
        <v>285</v>
      </c>
      <c r="B286">
        <v>53379341</v>
      </c>
      <c r="C286" t="s">
        <v>724</v>
      </c>
      <c r="D286" t="s">
        <v>17</v>
      </c>
      <c r="E286" t="s">
        <v>163</v>
      </c>
      <c r="F286" t="s">
        <v>164</v>
      </c>
      <c r="H286" t="s">
        <v>3284</v>
      </c>
      <c r="I286" s="5" t="s">
        <v>2901</v>
      </c>
      <c r="J286" t="s">
        <v>1723</v>
      </c>
      <c r="K286" t="s">
        <v>2488</v>
      </c>
      <c r="L286">
        <v>424</v>
      </c>
      <c r="P286" t="s">
        <v>2494</v>
      </c>
      <c r="Q286">
        <v>2023</v>
      </c>
      <c r="R286">
        <v>2019</v>
      </c>
      <c r="S286" s="1">
        <v>45167</v>
      </c>
      <c r="T286" s="1">
        <v>45165</v>
      </c>
      <c r="U286" t="s">
        <v>16</v>
      </c>
    </row>
    <row r="287" spans="1:21" x14ac:dyDescent="0.25">
      <c r="A287">
        <v>286</v>
      </c>
      <c r="B287">
        <v>55663549</v>
      </c>
      <c r="C287" t="s">
        <v>725</v>
      </c>
      <c r="D287" t="s">
        <v>17</v>
      </c>
      <c r="E287" t="s">
        <v>726</v>
      </c>
      <c r="F287" t="s">
        <v>727</v>
      </c>
      <c r="G287" t="s">
        <v>2659</v>
      </c>
      <c r="H287" t="s">
        <v>3285</v>
      </c>
      <c r="I287" s="5" t="s">
        <v>2933</v>
      </c>
      <c r="J287" t="s">
        <v>2660</v>
      </c>
      <c r="K287" t="s">
        <v>112</v>
      </c>
      <c r="L287">
        <v>247</v>
      </c>
      <c r="M287">
        <v>0.43263888888888891</v>
      </c>
      <c r="N287">
        <v>10.383333333333333</v>
      </c>
      <c r="O287" t="s">
        <v>3960</v>
      </c>
      <c r="P287" t="s">
        <v>2486</v>
      </c>
      <c r="Q287">
        <v>2021</v>
      </c>
      <c r="R287">
        <v>2020</v>
      </c>
      <c r="S287" s="1">
        <v>45164</v>
      </c>
      <c r="T287" s="1">
        <v>45162</v>
      </c>
      <c r="U287" t="s">
        <v>16</v>
      </c>
    </row>
    <row r="288" spans="1:21" x14ac:dyDescent="0.25">
      <c r="A288">
        <v>287</v>
      </c>
      <c r="B288">
        <v>56528347</v>
      </c>
      <c r="C288" t="s">
        <v>3286</v>
      </c>
      <c r="D288" t="s">
        <v>729</v>
      </c>
      <c r="E288" t="s">
        <v>730</v>
      </c>
      <c r="F288" t="s">
        <v>731</v>
      </c>
      <c r="H288" t="s">
        <v>3287</v>
      </c>
      <c r="I288" s="5" t="s">
        <v>2933</v>
      </c>
      <c r="J288" t="s">
        <v>1668</v>
      </c>
      <c r="K288" t="s">
        <v>2488</v>
      </c>
      <c r="L288">
        <v>336</v>
      </c>
      <c r="P288" t="s">
        <v>2494</v>
      </c>
      <c r="Q288">
        <v>2021</v>
      </c>
      <c r="R288">
        <v>2010</v>
      </c>
      <c r="S288" s="1">
        <v>45163</v>
      </c>
      <c r="T288" s="1">
        <v>45158</v>
      </c>
      <c r="U288" t="s">
        <v>16</v>
      </c>
    </row>
    <row r="289" spans="1:21" x14ac:dyDescent="0.25">
      <c r="A289">
        <v>288</v>
      </c>
      <c r="B289">
        <v>48711897</v>
      </c>
      <c r="C289" t="s">
        <v>732</v>
      </c>
      <c r="D289" t="s">
        <v>17</v>
      </c>
      <c r="E289" t="s">
        <v>733</v>
      </c>
      <c r="F289" t="s">
        <v>734</v>
      </c>
      <c r="H289" t="s">
        <v>3288</v>
      </c>
      <c r="I289" s="5" t="s">
        <v>2917</v>
      </c>
      <c r="J289" t="s">
        <v>1759</v>
      </c>
      <c r="K289" t="s">
        <v>2488</v>
      </c>
      <c r="L289">
        <v>64</v>
      </c>
      <c r="P289" t="s">
        <v>2494</v>
      </c>
      <c r="Q289">
        <v>2010</v>
      </c>
      <c r="R289">
        <v>2010</v>
      </c>
      <c r="S289" s="1">
        <v>45160</v>
      </c>
      <c r="T289" s="1">
        <v>45160</v>
      </c>
      <c r="U289" t="s">
        <v>16</v>
      </c>
    </row>
    <row r="290" spans="1:21" x14ac:dyDescent="0.25">
      <c r="A290">
        <v>289</v>
      </c>
      <c r="B290">
        <v>12086369</v>
      </c>
      <c r="C290" t="s">
        <v>735</v>
      </c>
      <c r="D290" t="s">
        <v>17</v>
      </c>
      <c r="E290" t="s">
        <v>736</v>
      </c>
      <c r="F290" t="s">
        <v>737</v>
      </c>
      <c r="G290" t="s">
        <v>2661</v>
      </c>
      <c r="H290" t="s">
        <v>3289</v>
      </c>
      <c r="I290" s="5" t="s">
        <v>2933</v>
      </c>
      <c r="J290" t="s">
        <v>2492</v>
      </c>
      <c r="K290" t="s">
        <v>112</v>
      </c>
      <c r="L290">
        <v>320</v>
      </c>
      <c r="M290">
        <v>0.46875</v>
      </c>
      <c r="N290">
        <v>11.25</v>
      </c>
      <c r="O290" t="s">
        <v>4021</v>
      </c>
      <c r="P290" t="s">
        <v>2486</v>
      </c>
      <c r="Q290">
        <v>2023</v>
      </c>
      <c r="R290">
        <v>1980</v>
      </c>
      <c r="S290" s="1">
        <v>45160</v>
      </c>
      <c r="T290" s="1">
        <v>45151</v>
      </c>
      <c r="U290" t="s">
        <v>16</v>
      </c>
    </row>
    <row r="291" spans="1:21" x14ac:dyDescent="0.25">
      <c r="A291">
        <v>290</v>
      </c>
      <c r="B291">
        <v>62079451</v>
      </c>
      <c r="C291" t="s">
        <v>3290</v>
      </c>
      <c r="D291" t="s">
        <v>739</v>
      </c>
      <c r="E291" t="s">
        <v>133</v>
      </c>
      <c r="F291" t="s">
        <v>134</v>
      </c>
      <c r="H291" t="s">
        <v>3291</v>
      </c>
      <c r="I291" s="5" t="s">
        <v>2933</v>
      </c>
      <c r="J291" t="s">
        <v>1668</v>
      </c>
      <c r="K291" t="s">
        <v>2488</v>
      </c>
      <c r="L291">
        <v>376</v>
      </c>
      <c r="P291" t="s">
        <v>2494</v>
      </c>
      <c r="Q291">
        <v>2022</v>
      </c>
      <c r="R291">
        <v>2022</v>
      </c>
      <c r="S291" s="1">
        <v>45159</v>
      </c>
      <c r="T291" s="1">
        <v>45156</v>
      </c>
      <c r="U291" t="s">
        <v>16</v>
      </c>
    </row>
    <row r="292" spans="1:21" x14ac:dyDescent="0.25">
      <c r="A292">
        <v>291</v>
      </c>
      <c r="B292">
        <v>58410441</v>
      </c>
      <c r="C292" t="s">
        <v>740</v>
      </c>
      <c r="D292" t="s">
        <v>17</v>
      </c>
      <c r="E292" t="s">
        <v>741</v>
      </c>
      <c r="F292" t="s">
        <v>742</v>
      </c>
      <c r="H292" t="s">
        <v>3292</v>
      </c>
      <c r="I292" s="5" t="s">
        <v>2901</v>
      </c>
      <c r="J292" t="s">
        <v>1697</v>
      </c>
      <c r="K292" t="s">
        <v>2488</v>
      </c>
      <c r="L292">
        <v>352</v>
      </c>
      <c r="P292" t="s">
        <v>2494</v>
      </c>
      <c r="Q292">
        <v>2021</v>
      </c>
      <c r="R292">
        <v>2021</v>
      </c>
      <c r="S292" s="1">
        <v>45155</v>
      </c>
      <c r="T292" s="1">
        <v>45153</v>
      </c>
      <c r="U292" t="s">
        <v>16</v>
      </c>
    </row>
    <row r="293" spans="1:21" x14ac:dyDescent="0.25">
      <c r="A293">
        <v>292</v>
      </c>
      <c r="B293">
        <v>61353440</v>
      </c>
      <c r="C293" t="s">
        <v>743</v>
      </c>
      <c r="D293" t="s">
        <v>17</v>
      </c>
      <c r="E293" t="s">
        <v>744</v>
      </c>
      <c r="F293" t="s">
        <v>745</v>
      </c>
      <c r="H293" t="s">
        <v>3293</v>
      </c>
      <c r="I293" s="5" t="s">
        <v>2901</v>
      </c>
      <c r="J293" t="s">
        <v>1822</v>
      </c>
      <c r="K293" t="s">
        <v>2488</v>
      </c>
      <c r="L293">
        <v>248</v>
      </c>
      <c r="P293" t="s">
        <v>2494</v>
      </c>
      <c r="Q293">
        <v>2022</v>
      </c>
      <c r="R293">
        <v>2013</v>
      </c>
      <c r="S293" s="1">
        <v>45152</v>
      </c>
      <c r="T293" s="1">
        <v>45152</v>
      </c>
      <c r="U293" t="s">
        <v>16</v>
      </c>
    </row>
    <row r="294" spans="1:21" x14ac:dyDescent="0.25">
      <c r="A294">
        <v>293</v>
      </c>
      <c r="B294">
        <v>61231235</v>
      </c>
      <c r="C294" t="s">
        <v>746</v>
      </c>
      <c r="D294" t="s">
        <v>17</v>
      </c>
      <c r="E294" t="s">
        <v>747</v>
      </c>
      <c r="F294" t="s">
        <v>748</v>
      </c>
      <c r="H294" t="s">
        <v>3294</v>
      </c>
      <c r="I294" s="5" t="s">
        <v>2917</v>
      </c>
      <c r="J294" t="s">
        <v>1809</v>
      </c>
      <c r="K294" t="s">
        <v>2488</v>
      </c>
      <c r="L294">
        <v>128</v>
      </c>
      <c r="P294" t="s">
        <v>2494</v>
      </c>
      <c r="Q294">
        <v>2022</v>
      </c>
      <c r="R294">
        <v>2018</v>
      </c>
      <c r="S294" s="1">
        <v>45152</v>
      </c>
      <c r="T294" s="1">
        <v>45152</v>
      </c>
      <c r="U294" t="s">
        <v>16</v>
      </c>
    </row>
    <row r="295" spans="1:21" x14ac:dyDescent="0.25">
      <c r="A295">
        <v>294</v>
      </c>
      <c r="B295">
        <v>53356462</v>
      </c>
      <c r="C295" t="s">
        <v>749</v>
      </c>
      <c r="D295" t="s">
        <v>17</v>
      </c>
      <c r="E295" t="s">
        <v>750</v>
      </c>
      <c r="F295" t="s">
        <v>751</v>
      </c>
      <c r="H295" t="s">
        <v>3295</v>
      </c>
      <c r="I295" s="5" t="s">
        <v>2933</v>
      </c>
      <c r="J295" t="s">
        <v>1712</v>
      </c>
      <c r="K295" t="s">
        <v>2488</v>
      </c>
      <c r="L295">
        <v>304</v>
      </c>
      <c r="P295" t="s">
        <v>2486</v>
      </c>
      <c r="Q295">
        <v>2020</v>
      </c>
      <c r="R295">
        <v>2019</v>
      </c>
      <c r="S295" s="1">
        <v>45151</v>
      </c>
      <c r="T295" s="1">
        <v>45143</v>
      </c>
      <c r="U295" t="s">
        <v>16</v>
      </c>
    </row>
    <row r="296" spans="1:21" x14ac:dyDescent="0.25">
      <c r="A296">
        <v>295</v>
      </c>
      <c r="B296">
        <v>33952851</v>
      </c>
      <c r="C296" t="s">
        <v>752</v>
      </c>
      <c r="D296" t="s">
        <v>17</v>
      </c>
      <c r="E296" t="s">
        <v>359</v>
      </c>
      <c r="F296" t="s">
        <v>360</v>
      </c>
      <c r="G296" t="s">
        <v>2662</v>
      </c>
      <c r="H296" t="s">
        <v>3296</v>
      </c>
      <c r="I296" s="5" t="s">
        <v>2890</v>
      </c>
      <c r="J296" t="s">
        <v>2663</v>
      </c>
      <c r="K296" t="s">
        <v>112</v>
      </c>
      <c r="L296">
        <v>512</v>
      </c>
      <c r="M296">
        <v>0.72847222222222219</v>
      </c>
      <c r="N296">
        <v>17.483333333333334</v>
      </c>
      <c r="O296" t="s">
        <v>4022</v>
      </c>
      <c r="P296" t="s">
        <v>2486</v>
      </c>
      <c r="Q296">
        <v>2018</v>
      </c>
      <c r="R296">
        <v>2018</v>
      </c>
      <c r="S296" s="1">
        <v>45151</v>
      </c>
      <c r="T296" s="1">
        <v>45146</v>
      </c>
      <c r="U296" t="s">
        <v>16</v>
      </c>
    </row>
    <row r="297" spans="1:21" x14ac:dyDescent="0.25">
      <c r="A297">
        <v>296</v>
      </c>
      <c r="B297">
        <v>21459917</v>
      </c>
      <c r="C297" t="s">
        <v>753</v>
      </c>
      <c r="D297" t="s">
        <v>17</v>
      </c>
      <c r="E297" t="s">
        <v>754</v>
      </c>
      <c r="F297" t="s">
        <v>755</v>
      </c>
      <c r="H297" t="s">
        <v>3297</v>
      </c>
      <c r="I297" s="5" t="s">
        <v>2890</v>
      </c>
      <c r="J297" t="s">
        <v>2007</v>
      </c>
      <c r="K297" t="s">
        <v>57</v>
      </c>
      <c r="L297">
        <v>120</v>
      </c>
      <c r="P297" t="s">
        <v>2486</v>
      </c>
      <c r="Q297">
        <v>2012</v>
      </c>
      <c r="R297">
        <v>2012</v>
      </c>
      <c r="S297" s="1">
        <v>45146</v>
      </c>
      <c r="T297" s="1">
        <v>45144</v>
      </c>
      <c r="U297" t="s">
        <v>16</v>
      </c>
    </row>
    <row r="298" spans="1:21" x14ac:dyDescent="0.25">
      <c r="A298">
        <v>297</v>
      </c>
      <c r="B298">
        <v>1768257</v>
      </c>
      <c r="C298" t="s">
        <v>756</v>
      </c>
      <c r="D298" t="s">
        <v>17</v>
      </c>
      <c r="E298" t="s">
        <v>757</v>
      </c>
      <c r="F298" t="s">
        <v>758</v>
      </c>
      <c r="H298" t="s">
        <v>3298</v>
      </c>
      <c r="I298" s="5" t="s">
        <v>2890</v>
      </c>
      <c r="J298" t="s">
        <v>1691</v>
      </c>
      <c r="K298" t="s">
        <v>57</v>
      </c>
      <c r="L298">
        <v>635</v>
      </c>
      <c r="P298" t="s">
        <v>2486</v>
      </c>
      <c r="Q298">
        <v>2013</v>
      </c>
      <c r="R298">
        <v>1972</v>
      </c>
      <c r="S298" s="1">
        <v>45143</v>
      </c>
      <c r="T298" s="1">
        <v>45139</v>
      </c>
      <c r="U298" t="s">
        <v>16</v>
      </c>
    </row>
    <row r="299" spans="1:21" x14ac:dyDescent="0.25">
      <c r="A299">
        <v>298</v>
      </c>
      <c r="B299">
        <v>50313206</v>
      </c>
      <c r="C299" t="s">
        <v>759</v>
      </c>
      <c r="D299" t="s">
        <v>2664</v>
      </c>
      <c r="E299" t="s">
        <v>760</v>
      </c>
      <c r="F299" t="s">
        <v>761</v>
      </c>
      <c r="G299" t="s">
        <v>2592</v>
      </c>
      <c r="H299" t="s">
        <v>3299</v>
      </c>
      <c r="I299" s="5" t="s">
        <v>2933</v>
      </c>
      <c r="J299" t="s">
        <v>2593</v>
      </c>
      <c r="K299" t="s">
        <v>112</v>
      </c>
      <c r="L299">
        <v>445</v>
      </c>
      <c r="M299">
        <v>0.44861111111111113</v>
      </c>
      <c r="N299">
        <v>10.766666666666667</v>
      </c>
      <c r="O299" t="s">
        <v>3978</v>
      </c>
      <c r="P299" t="s">
        <v>2486</v>
      </c>
      <c r="Q299">
        <v>2022</v>
      </c>
      <c r="R299">
        <v>2019</v>
      </c>
      <c r="S299" s="1">
        <v>45141</v>
      </c>
      <c r="T299" s="1">
        <v>45135</v>
      </c>
      <c r="U299" t="s">
        <v>16</v>
      </c>
    </row>
    <row r="300" spans="1:21" x14ac:dyDescent="0.25">
      <c r="A300">
        <v>299</v>
      </c>
      <c r="B300">
        <v>60719810</v>
      </c>
      <c r="C300" t="s">
        <v>762</v>
      </c>
      <c r="D300" t="s">
        <v>17</v>
      </c>
      <c r="E300" t="s">
        <v>763</v>
      </c>
      <c r="F300" t="s">
        <v>764</v>
      </c>
      <c r="H300" t="s">
        <v>3300</v>
      </c>
      <c r="I300" s="5" t="s">
        <v>2933</v>
      </c>
      <c r="J300" t="s">
        <v>2011</v>
      </c>
      <c r="K300" t="s">
        <v>2488</v>
      </c>
      <c r="L300">
        <v>423</v>
      </c>
      <c r="P300" t="s">
        <v>2486</v>
      </c>
      <c r="Q300">
        <v>2021</v>
      </c>
      <c r="R300">
        <v>2015</v>
      </c>
      <c r="S300" s="1">
        <v>45140</v>
      </c>
      <c r="T300" s="1">
        <v>45136</v>
      </c>
      <c r="U300" t="s">
        <v>16</v>
      </c>
    </row>
    <row r="301" spans="1:21" x14ac:dyDescent="0.25">
      <c r="A301">
        <v>300</v>
      </c>
      <c r="B301">
        <v>34600858</v>
      </c>
      <c r="C301" t="s">
        <v>765</v>
      </c>
      <c r="D301" t="s">
        <v>17</v>
      </c>
      <c r="E301" t="s">
        <v>250</v>
      </c>
      <c r="F301" t="s">
        <v>251</v>
      </c>
      <c r="H301" t="s">
        <v>3301</v>
      </c>
      <c r="I301" s="5" t="s">
        <v>2890</v>
      </c>
      <c r="J301" t="s">
        <v>1668</v>
      </c>
      <c r="K301" t="s">
        <v>2488</v>
      </c>
      <c r="L301">
        <v>256</v>
      </c>
      <c r="P301" t="s">
        <v>2494</v>
      </c>
      <c r="Q301">
        <v>2017</v>
      </c>
      <c r="R301">
        <v>2010</v>
      </c>
      <c r="S301" s="1">
        <v>44649</v>
      </c>
      <c r="T301" s="1">
        <v>44646</v>
      </c>
      <c r="U301" t="s">
        <v>16</v>
      </c>
    </row>
    <row r="302" spans="1:21" x14ac:dyDescent="0.25">
      <c r="A302">
        <v>301</v>
      </c>
      <c r="B302">
        <v>34773258</v>
      </c>
      <c r="C302" t="s">
        <v>766</v>
      </c>
      <c r="D302" t="s">
        <v>17</v>
      </c>
      <c r="E302" t="s">
        <v>767</v>
      </c>
      <c r="F302" t="s">
        <v>768</v>
      </c>
      <c r="H302" t="s">
        <v>3302</v>
      </c>
      <c r="I302" s="5" t="s">
        <v>2901</v>
      </c>
      <c r="J302" t="s">
        <v>2014</v>
      </c>
      <c r="K302" t="s">
        <v>2488</v>
      </c>
      <c r="L302">
        <v>320</v>
      </c>
      <c r="P302" t="s">
        <v>2494</v>
      </c>
      <c r="Q302">
        <v>2017</v>
      </c>
      <c r="R302">
        <v>1997</v>
      </c>
      <c r="S302" s="1">
        <v>45135</v>
      </c>
      <c r="T302" s="1">
        <v>45093</v>
      </c>
      <c r="U302" t="s">
        <v>16</v>
      </c>
    </row>
    <row r="303" spans="1:21" x14ac:dyDescent="0.25">
      <c r="A303">
        <v>302</v>
      </c>
      <c r="B303">
        <v>40523782</v>
      </c>
      <c r="C303" t="s">
        <v>769</v>
      </c>
      <c r="D303" t="s">
        <v>17</v>
      </c>
      <c r="E303" t="s">
        <v>770</v>
      </c>
      <c r="F303" t="s">
        <v>771</v>
      </c>
      <c r="G303" t="s">
        <v>2665</v>
      </c>
      <c r="H303" t="s">
        <v>3303</v>
      </c>
      <c r="I303" s="5" t="s">
        <v>2890</v>
      </c>
      <c r="J303" t="s">
        <v>2492</v>
      </c>
      <c r="K303" t="s">
        <v>112</v>
      </c>
      <c r="L303">
        <v>450</v>
      </c>
      <c r="M303">
        <v>0.62569444444444444</v>
      </c>
      <c r="N303">
        <v>15.016666666666666</v>
      </c>
      <c r="O303" t="s">
        <v>4023</v>
      </c>
      <c r="P303" t="s">
        <v>2486</v>
      </c>
      <c r="Q303">
        <v>2023</v>
      </c>
      <c r="R303">
        <v>2015</v>
      </c>
      <c r="S303" s="1">
        <v>45133</v>
      </c>
      <c r="T303" s="1">
        <v>45127</v>
      </c>
      <c r="U303" t="s">
        <v>16</v>
      </c>
    </row>
    <row r="304" spans="1:21" x14ac:dyDescent="0.25">
      <c r="A304">
        <v>303</v>
      </c>
      <c r="B304">
        <v>55770695</v>
      </c>
      <c r="C304" t="s">
        <v>772</v>
      </c>
      <c r="D304" t="s">
        <v>2666</v>
      </c>
      <c r="E304" t="s">
        <v>35</v>
      </c>
      <c r="F304" t="s">
        <v>36</v>
      </c>
      <c r="G304" t="s">
        <v>2667</v>
      </c>
      <c r="H304" t="s">
        <v>3304</v>
      </c>
      <c r="I304" s="5" t="s">
        <v>2890</v>
      </c>
      <c r="J304" t="s">
        <v>1759</v>
      </c>
      <c r="K304" t="s">
        <v>112</v>
      </c>
      <c r="L304">
        <v>312</v>
      </c>
      <c r="M304">
        <v>0.3659722222222222</v>
      </c>
      <c r="N304">
        <v>8.7833333333333332</v>
      </c>
      <c r="O304" t="s">
        <v>4024</v>
      </c>
      <c r="P304" t="s">
        <v>2494</v>
      </c>
      <c r="Q304">
        <v>2021</v>
      </c>
      <c r="R304">
        <v>2020</v>
      </c>
      <c r="S304" s="1">
        <v>45017</v>
      </c>
      <c r="T304" s="1">
        <v>45013</v>
      </c>
      <c r="U304" t="s">
        <v>16</v>
      </c>
    </row>
    <row r="305" spans="1:21" x14ac:dyDescent="0.25">
      <c r="A305">
        <v>304</v>
      </c>
      <c r="B305">
        <v>61477665</v>
      </c>
      <c r="C305" t="s">
        <v>773</v>
      </c>
      <c r="D305" t="s">
        <v>17</v>
      </c>
      <c r="E305" t="s">
        <v>774</v>
      </c>
      <c r="F305" t="s">
        <v>775</v>
      </c>
      <c r="H305" t="s">
        <v>3305</v>
      </c>
      <c r="I305" s="5" t="s">
        <v>2890</v>
      </c>
      <c r="J305" t="s">
        <v>1723</v>
      </c>
      <c r="K305" t="s">
        <v>2488</v>
      </c>
      <c r="L305">
        <v>592</v>
      </c>
      <c r="P305" t="s">
        <v>2494</v>
      </c>
      <c r="Q305">
        <v>2022</v>
      </c>
      <c r="R305">
        <v>2014</v>
      </c>
      <c r="S305" s="1">
        <v>45126</v>
      </c>
      <c r="T305" s="1">
        <v>45060</v>
      </c>
      <c r="U305" t="s">
        <v>16</v>
      </c>
    </row>
    <row r="306" spans="1:21" x14ac:dyDescent="0.25">
      <c r="A306">
        <v>305</v>
      </c>
      <c r="B306">
        <v>53479542</v>
      </c>
      <c r="C306" t="s">
        <v>3306</v>
      </c>
      <c r="D306" t="s">
        <v>2670</v>
      </c>
      <c r="E306" t="s">
        <v>777</v>
      </c>
      <c r="F306" t="s">
        <v>778</v>
      </c>
      <c r="G306" t="s">
        <v>2490</v>
      </c>
      <c r="H306" t="s">
        <v>3307</v>
      </c>
      <c r="I306" s="5" t="s">
        <v>2917</v>
      </c>
      <c r="J306" t="s">
        <v>2492</v>
      </c>
      <c r="K306" t="s">
        <v>112</v>
      </c>
      <c r="L306">
        <v>296</v>
      </c>
      <c r="M306">
        <v>0.42291666666666666</v>
      </c>
      <c r="N306">
        <v>10.15</v>
      </c>
      <c r="O306" t="s">
        <v>4025</v>
      </c>
      <c r="P306" t="s">
        <v>2486</v>
      </c>
      <c r="Q306">
        <v>2022</v>
      </c>
      <c r="R306">
        <v>1952</v>
      </c>
      <c r="S306" s="1">
        <v>45125</v>
      </c>
      <c r="T306" s="1">
        <v>45117</v>
      </c>
      <c r="U306" t="s">
        <v>16</v>
      </c>
    </row>
    <row r="307" spans="1:21" x14ac:dyDescent="0.25">
      <c r="A307">
        <v>306</v>
      </c>
      <c r="B307">
        <v>39676903</v>
      </c>
      <c r="C307" t="s">
        <v>779</v>
      </c>
      <c r="D307" t="s">
        <v>2668</v>
      </c>
      <c r="E307" t="s">
        <v>302</v>
      </c>
      <c r="F307" t="s">
        <v>303</v>
      </c>
      <c r="H307" t="s">
        <v>3308</v>
      </c>
      <c r="I307" s="5" t="s">
        <v>2933</v>
      </c>
      <c r="J307" t="s">
        <v>1723</v>
      </c>
      <c r="K307" t="s">
        <v>57</v>
      </c>
      <c r="L307">
        <v>780</v>
      </c>
      <c r="P307" t="s">
        <v>2486</v>
      </c>
      <c r="Q307">
        <v>2018</v>
      </c>
      <c r="R307">
        <v>2017</v>
      </c>
      <c r="S307" s="1">
        <v>45117</v>
      </c>
      <c r="T307" s="1">
        <v>45106</v>
      </c>
      <c r="U307" t="s">
        <v>16</v>
      </c>
    </row>
    <row r="308" spans="1:21" x14ac:dyDescent="0.25">
      <c r="A308">
        <v>307</v>
      </c>
      <c r="B308">
        <v>52087101</v>
      </c>
      <c r="C308" t="s">
        <v>3309</v>
      </c>
      <c r="D308" t="s">
        <v>2669</v>
      </c>
      <c r="E308" t="s">
        <v>777</v>
      </c>
      <c r="F308" t="s">
        <v>778</v>
      </c>
      <c r="G308" t="s">
        <v>2490</v>
      </c>
      <c r="H308" t="s">
        <v>3310</v>
      </c>
      <c r="I308" s="5" t="s">
        <v>2917</v>
      </c>
      <c r="J308" t="s">
        <v>2492</v>
      </c>
      <c r="K308" t="s">
        <v>112</v>
      </c>
      <c r="L308">
        <v>288</v>
      </c>
      <c r="M308">
        <v>0.38194444444444442</v>
      </c>
      <c r="N308">
        <v>9.1666666666666661</v>
      </c>
      <c r="O308" t="s">
        <v>4026</v>
      </c>
      <c r="P308" t="s">
        <v>2486</v>
      </c>
      <c r="Q308">
        <v>2021</v>
      </c>
      <c r="R308">
        <v>1951</v>
      </c>
      <c r="S308" s="1">
        <v>43975</v>
      </c>
      <c r="T308" s="1">
        <v>43975</v>
      </c>
      <c r="U308" t="s">
        <v>16</v>
      </c>
    </row>
    <row r="309" spans="1:21" x14ac:dyDescent="0.25">
      <c r="A309">
        <v>308</v>
      </c>
      <c r="B309">
        <v>43473549</v>
      </c>
      <c r="C309" t="s">
        <v>781</v>
      </c>
      <c r="D309" t="s">
        <v>17</v>
      </c>
      <c r="E309" t="s">
        <v>782</v>
      </c>
      <c r="F309" t="s">
        <v>783</v>
      </c>
      <c r="G309" t="s">
        <v>2555</v>
      </c>
      <c r="H309" t="s">
        <v>3311</v>
      </c>
      <c r="I309" s="5" t="s">
        <v>2917</v>
      </c>
      <c r="J309" t="s">
        <v>2021</v>
      </c>
      <c r="K309" t="s">
        <v>112</v>
      </c>
      <c r="L309">
        <v>352</v>
      </c>
      <c r="M309">
        <v>0.36458333333333331</v>
      </c>
      <c r="N309">
        <v>8.75</v>
      </c>
      <c r="O309" t="s">
        <v>4027</v>
      </c>
      <c r="P309" t="s">
        <v>2486</v>
      </c>
      <c r="Q309">
        <v>2018</v>
      </c>
      <c r="R309">
        <v>2018</v>
      </c>
      <c r="S309" s="1">
        <v>45114</v>
      </c>
      <c r="T309" s="1">
        <v>45106</v>
      </c>
      <c r="U309" t="s">
        <v>16</v>
      </c>
    </row>
    <row r="310" spans="1:21" x14ac:dyDescent="0.25">
      <c r="A310">
        <v>309</v>
      </c>
      <c r="B310">
        <v>62636063</v>
      </c>
      <c r="C310" t="s">
        <v>784</v>
      </c>
      <c r="D310" t="s">
        <v>17</v>
      </c>
      <c r="E310" t="s">
        <v>785</v>
      </c>
      <c r="F310" t="s">
        <v>786</v>
      </c>
      <c r="H310" t="s">
        <v>3312</v>
      </c>
      <c r="I310" s="5" t="s">
        <v>2890</v>
      </c>
      <c r="J310" t="s">
        <v>1668</v>
      </c>
      <c r="K310" t="s">
        <v>2488</v>
      </c>
      <c r="L310">
        <v>336</v>
      </c>
      <c r="P310" t="s">
        <v>2494</v>
      </c>
      <c r="Q310">
        <v>2022</v>
      </c>
      <c r="R310">
        <v>2022</v>
      </c>
      <c r="S310" s="1">
        <v>45106</v>
      </c>
      <c r="T310" s="1">
        <v>45092</v>
      </c>
      <c r="U310" t="s">
        <v>16</v>
      </c>
    </row>
    <row r="311" spans="1:21" x14ac:dyDescent="0.25">
      <c r="A311">
        <v>310</v>
      </c>
      <c r="B311">
        <v>10320612</v>
      </c>
      <c r="C311" t="s">
        <v>787</v>
      </c>
      <c r="D311" t="s">
        <v>2671</v>
      </c>
      <c r="E311" t="s">
        <v>215</v>
      </c>
      <c r="F311" t="s">
        <v>216</v>
      </c>
      <c r="G311" t="s">
        <v>2531</v>
      </c>
      <c r="H311" t="s">
        <v>3313</v>
      </c>
      <c r="I311" s="5" t="s">
        <v>2890</v>
      </c>
      <c r="J311" t="s">
        <v>2532</v>
      </c>
      <c r="K311" t="s">
        <v>112</v>
      </c>
      <c r="L311">
        <v>328</v>
      </c>
      <c r="M311">
        <v>0.50763888888888886</v>
      </c>
      <c r="N311">
        <v>12.183333333333334</v>
      </c>
      <c r="O311" t="s">
        <v>4028</v>
      </c>
      <c r="P311" t="s">
        <v>2494</v>
      </c>
      <c r="Q311">
        <v>2024</v>
      </c>
      <c r="R311">
        <v>2010</v>
      </c>
      <c r="S311" s="1">
        <v>45104</v>
      </c>
      <c r="T311" s="1">
        <v>45097</v>
      </c>
      <c r="U311" t="s">
        <v>16</v>
      </c>
    </row>
    <row r="312" spans="1:21" x14ac:dyDescent="0.25">
      <c r="A312">
        <v>311</v>
      </c>
      <c r="B312">
        <v>30967365</v>
      </c>
      <c r="C312" t="s">
        <v>788</v>
      </c>
      <c r="D312" t="s">
        <v>17</v>
      </c>
      <c r="E312" t="s">
        <v>789</v>
      </c>
      <c r="F312" t="s">
        <v>790</v>
      </c>
      <c r="H312" t="s">
        <v>3314</v>
      </c>
      <c r="I312" s="5" t="s">
        <v>2890</v>
      </c>
      <c r="J312" t="s">
        <v>2025</v>
      </c>
      <c r="K312" t="s">
        <v>57</v>
      </c>
      <c r="L312">
        <v>259</v>
      </c>
      <c r="P312" t="s">
        <v>2494</v>
      </c>
      <c r="Q312">
        <v>2015</v>
      </c>
      <c r="R312">
        <v>2009</v>
      </c>
      <c r="S312" s="1">
        <v>45101</v>
      </c>
      <c r="T312" s="1">
        <v>45097</v>
      </c>
      <c r="U312" t="s">
        <v>16</v>
      </c>
    </row>
    <row r="313" spans="1:21" x14ac:dyDescent="0.25">
      <c r="A313">
        <v>312</v>
      </c>
      <c r="B313">
        <v>26164740</v>
      </c>
      <c r="C313" t="s">
        <v>791</v>
      </c>
      <c r="D313" t="s">
        <v>17</v>
      </c>
      <c r="E313" t="s">
        <v>224</v>
      </c>
      <c r="F313" t="s">
        <v>225</v>
      </c>
      <c r="H313" t="s">
        <v>3315</v>
      </c>
      <c r="I313" s="5" t="s">
        <v>2901</v>
      </c>
      <c r="J313" t="s">
        <v>1759</v>
      </c>
      <c r="K313" t="s">
        <v>2488</v>
      </c>
      <c r="L313">
        <v>320</v>
      </c>
      <c r="P313" t="s">
        <v>2494</v>
      </c>
      <c r="Q313">
        <v>2015</v>
      </c>
      <c r="R313">
        <v>2015</v>
      </c>
      <c r="S313" s="1">
        <v>45095</v>
      </c>
      <c r="T313" s="1">
        <v>45094</v>
      </c>
      <c r="U313" t="s">
        <v>16</v>
      </c>
    </row>
    <row r="314" spans="1:21" x14ac:dyDescent="0.25">
      <c r="A314">
        <v>313</v>
      </c>
      <c r="B314">
        <v>55362662</v>
      </c>
      <c r="C314" t="s">
        <v>792</v>
      </c>
      <c r="D314" t="s">
        <v>17</v>
      </c>
      <c r="E314" t="s">
        <v>793</v>
      </c>
      <c r="F314" t="s">
        <v>794</v>
      </c>
      <c r="H314" t="s">
        <v>3316</v>
      </c>
      <c r="I314" s="5" t="s">
        <v>2933</v>
      </c>
      <c r="J314" t="s">
        <v>1668</v>
      </c>
      <c r="K314" t="s">
        <v>2488</v>
      </c>
      <c r="L314">
        <v>512</v>
      </c>
      <c r="P314" t="s">
        <v>2494</v>
      </c>
      <c r="Q314">
        <v>2020</v>
      </c>
      <c r="R314">
        <v>2019</v>
      </c>
      <c r="S314" s="1">
        <v>45093</v>
      </c>
      <c r="T314" s="1">
        <v>45087</v>
      </c>
      <c r="U314" t="s">
        <v>16</v>
      </c>
    </row>
    <row r="315" spans="1:21" x14ac:dyDescent="0.25">
      <c r="A315">
        <v>314</v>
      </c>
      <c r="B315">
        <v>35819389</v>
      </c>
      <c r="C315" t="s">
        <v>3317</v>
      </c>
      <c r="D315" t="s">
        <v>796</v>
      </c>
      <c r="E315" t="s">
        <v>608</v>
      </c>
      <c r="F315" t="s">
        <v>609</v>
      </c>
      <c r="G315" t="s">
        <v>2555</v>
      </c>
      <c r="H315" t="s">
        <v>3318</v>
      </c>
      <c r="I315" s="5" t="s">
        <v>2917</v>
      </c>
      <c r="J315" t="s">
        <v>1939</v>
      </c>
      <c r="K315" t="s">
        <v>112</v>
      </c>
      <c r="L315">
        <v>304</v>
      </c>
      <c r="M315">
        <v>0.34652777777777777</v>
      </c>
      <c r="N315">
        <v>8.3166666666666664</v>
      </c>
      <c r="O315" t="s">
        <v>3886</v>
      </c>
      <c r="P315" t="s">
        <v>2486</v>
      </c>
      <c r="Q315">
        <v>2018</v>
      </c>
      <c r="R315">
        <v>2017</v>
      </c>
      <c r="S315" s="1">
        <v>45093</v>
      </c>
      <c r="T315" s="1">
        <v>45087</v>
      </c>
      <c r="U315" t="s">
        <v>16</v>
      </c>
    </row>
    <row r="316" spans="1:21" x14ac:dyDescent="0.25">
      <c r="A316">
        <v>315</v>
      </c>
      <c r="B316">
        <v>28457648</v>
      </c>
      <c r="C316" t="s">
        <v>797</v>
      </c>
      <c r="D316" t="s">
        <v>17</v>
      </c>
      <c r="E316" t="s">
        <v>798</v>
      </c>
      <c r="F316" t="s">
        <v>799</v>
      </c>
      <c r="H316" t="s">
        <v>3319</v>
      </c>
      <c r="I316" s="5" t="s">
        <v>2901</v>
      </c>
      <c r="J316" t="s">
        <v>1730</v>
      </c>
      <c r="K316" t="s">
        <v>57</v>
      </c>
      <c r="L316">
        <v>295</v>
      </c>
      <c r="P316" t="s">
        <v>2494</v>
      </c>
      <c r="Q316">
        <v>2015</v>
      </c>
      <c r="R316">
        <v>2014</v>
      </c>
      <c r="S316" s="1">
        <v>45088</v>
      </c>
      <c r="T316" s="1">
        <v>45078</v>
      </c>
      <c r="U316" t="s">
        <v>16</v>
      </c>
    </row>
    <row r="317" spans="1:21" x14ac:dyDescent="0.25">
      <c r="A317">
        <v>316</v>
      </c>
      <c r="B317">
        <v>8497652</v>
      </c>
      <c r="C317" t="s">
        <v>800</v>
      </c>
      <c r="D317" t="s">
        <v>2672</v>
      </c>
      <c r="E317" t="s">
        <v>215</v>
      </c>
      <c r="F317" t="s">
        <v>216</v>
      </c>
      <c r="G317" t="s">
        <v>2531</v>
      </c>
      <c r="H317" t="s">
        <v>3320</v>
      </c>
      <c r="I317" s="5" t="s">
        <v>2890</v>
      </c>
      <c r="J317" t="s">
        <v>2532</v>
      </c>
      <c r="K317" t="s">
        <v>112</v>
      </c>
      <c r="L317">
        <v>288</v>
      </c>
      <c r="M317">
        <v>0.47083333333333333</v>
      </c>
      <c r="N317">
        <v>11.3</v>
      </c>
      <c r="O317" t="s">
        <v>4029</v>
      </c>
      <c r="P317" t="s">
        <v>2494</v>
      </c>
      <c r="Q317">
        <v>2024</v>
      </c>
      <c r="R317">
        <v>2009</v>
      </c>
      <c r="S317" s="1">
        <v>45087</v>
      </c>
      <c r="T317" s="1">
        <v>45086</v>
      </c>
      <c r="U317" t="s">
        <v>16</v>
      </c>
    </row>
    <row r="318" spans="1:21" x14ac:dyDescent="0.25">
      <c r="A318">
        <v>317</v>
      </c>
      <c r="B318">
        <v>36674219</v>
      </c>
      <c r="C318" t="s">
        <v>2673</v>
      </c>
      <c r="D318" t="s">
        <v>802</v>
      </c>
      <c r="E318" t="s">
        <v>803</v>
      </c>
      <c r="F318" t="s">
        <v>804</v>
      </c>
      <c r="H318" t="s">
        <v>3321</v>
      </c>
      <c r="I318" s="5" t="s">
        <v>2890</v>
      </c>
      <c r="J318" t="s">
        <v>1685</v>
      </c>
      <c r="K318" t="s">
        <v>2488</v>
      </c>
      <c r="L318">
        <v>386</v>
      </c>
      <c r="P318" t="s">
        <v>2486</v>
      </c>
      <c r="Q318">
        <v>2018</v>
      </c>
      <c r="R318">
        <v>2018</v>
      </c>
      <c r="S318" s="1">
        <v>45085</v>
      </c>
      <c r="T318" s="1">
        <v>45083</v>
      </c>
      <c r="U318" t="s">
        <v>16</v>
      </c>
    </row>
    <row r="319" spans="1:21" x14ac:dyDescent="0.25">
      <c r="A319">
        <v>318</v>
      </c>
      <c r="B319">
        <v>53242434</v>
      </c>
      <c r="C319" t="s">
        <v>805</v>
      </c>
      <c r="D319" t="s">
        <v>17</v>
      </c>
      <c r="E319" t="s">
        <v>806</v>
      </c>
      <c r="F319" t="s">
        <v>807</v>
      </c>
      <c r="G319" t="s">
        <v>2496</v>
      </c>
      <c r="H319" t="s">
        <v>3322</v>
      </c>
      <c r="I319" s="5" t="s">
        <v>2917</v>
      </c>
      <c r="J319" t="s">
        <v>2590</v>
      </c>
      <c r="K319" t="s">
        <v>112</v>
      </c>
      <c r="L319">
        <v>464</v>
      </c>
      <c r="M319">
        <v>0.76875000000000004</v>
      </c>
      <c r="N319">
        <v>18.450000000000003</v>
      </c>
      <c r="O319" t="s">
        <v>4030</v>
      </c>
      <c r="P319" t="s">
        <v>2486</v>
      </c>
      <c r="Q319">
        <v>2021</v>
      </c>
      <c r="R319">
        <v>2019</v>
      </c>
      <c r="S319" s="1">
        <v>45083</v>
      </c>
      <c r="T319" s="1">
        <v>45079</v>
      </c>
      <c r="U319" t="s">
        <v>16</v>
      </c>
    </row>
    <row r="320" spans="1:21" x14ac:dyDescent="0.25">
      <c r="A320">
        <v>319</v>
      </c>
      <c r="B320">
        <v>57106040</v>
      </c>
      <c r="C320" t="s">
        <v>2674</v>
      </c>
      <c r="D320" t="s">
        <v>17</v>
      </c>
      <c r="E320" t="s">
        <v>808</v>
      </c>
      <c r="F320" t="s">
        <v>809</v>
      </c>
      <c r="H320" t="s">
        <v>3323</v>
      </c>
      <c r="I320" s="5" t="s">
        <v>2901</v>
      </c>
      <c r="J320" t="s">
        <v>1829</v>
      </c>
      <c r="K320" t="s">
        <v>2488</v>
      </c>
      <c r="L320">
        <v>366</v>
      </c>
      <c r="P320" t="s">
        <v>2494</v>
      </c>
      <c r="Q320">
        <v>2021</v>
      </c>
      <c r="R320">
        <v>2020</v>
      </c>
      <c r="S320" s="1">
        <v>45079</v>
      </c>
      <c r="T320" s="1">
        <v>45076</v>
      </c>
      <c r="U320" t="s">
        <v>16</v>
      </c>
    </row>
    <row r="321" spans="1:21" x14ac:dyDescent="0.25">
      <c r="A321">
        <v>320</v>
      </c>
      <c r="B321">
        <v>63278853</v>
      </c>
      <c r="C321" t="s">
        <v>810</v>
      </c>
      <c r="D321" t="s">
        <v>17</v>
      </c>
      <c r="E321" t="s">
        <v>70</v>
      </c>
      <c r="F321" t="s">
        <v>71</v>
      </c>
      <c r="H321" t="s">
        <v>3324</v>
      </c>
      <c r="I321" s="5" t="s">
        <v>2890</v>
      </c>
      <c r="J321" t="s">
        <v>2033</v>
      </c>
      <c r="K321" t="s">
        <v>57</v>
      </c>
      <c r="L321">
        <v>376</v>
      </c>
      <c r="P321" t="s">
        <v>2486</v>
      </c>
      <c r="Q321">
        <v>2022</v>
      </c>
      <c r="R321">
        <v>2022</v>
      </c>
      <c r="S321" s="1">
        <v>45078</v>
      </c>
      <c r="T321" s="1">
        <v>45072</v>
      </c>
      <c r="U321" t="s">
        <v>16</v>
      </c>
    </row>
    <row r="322" spans="1:21" x14ac:dyDescent="0.25">
      <c r="A322">
        <v>321</v>
      </c>
      <c r="B322">
        <v>13618118</v>
      </c>
      <c r="C322" t="s">
        <v>811</v>
      </c>
      <c r="D322" t="s">
        <v>17</v>
      </c>
      <c r="E322" t="s">
        <v>785</v>
      </c>
      <c r="F322" t="s">
        <v>786</v>
      </c>
      <c r="H322" t="s">
        <v>3325</v>
      </c>
      <c r="I322" s="5" t="s">
        <v>2890</v>
      </c>
      <c r="J322" t="s">
        <v>1673</v>
      </c>
      <c r="K322" t="s">
        <v>57</v>
      </c>
      <c r="L322">
        <v>295</v>
      </c>
      <c r="P322" t="s">
        <v>2494</v>
      </c>
      <c r="Q322">
        <v>2011</v>
      </c>
      <c r="R322">
        <v>2011</v>
      </c>
      <c r="S322" s="1">
        <v>45067</v>
      </c>
      <c r="T322" s="1">
        <v>45061</v>
      </c>
      <c r="U322" t="s">
        <v>16</v>
      </c>
    </row>
    <row r="323" spans="1:21" x14ac:dyDescent="0.25">
      <c r="A323">
        <v>322</v>
      </c>
      <c r="B323">
        <v>15716872</v>
      </c>
      <c r="C323" t="s">
        <v>812</v>
      </c>
      <c r="D323" t="s">
        <v>2675</v>
      </c>
      <c r="E323" t="s">
        <v>215</v>
      </c>
      <c r="F323" t="s">
        <v>216</v>
      </c>
      <c r="G323" t="s">
        <v>2531</v>
      </c>
      <c r="H323" t="s">
        <v>3326</v>
      </c>
      <c r="I323" s="5" t="s">
        <v>2890</v>
      </c>
      <c r="J323" t="s">
        <v>2532</v>
      </c>
      <c r="K323" t="s">
        <v>112</v>
      </c>
      <c r="L323">
        <v>311</v>
      </c>
      <c r="M323">
        <v>0.55208333333333337</v>
      </c>
      <c r="N323">
        <v>13.25</v>
      </c>
      <c r="O323" t="s">
        <v>4031</v>
      </c>
      <c r="P323" t="s">
        <v>2494</v>
      </c>
      <c r="Q323">
        <v>2022</v>
      </c>
      <c r="R323">
        <v>2012</v>
      </c>
      <c r="S323" s="1">
        <v>45064</v>
      </c>
      <c r="T323" s="1">
        <v>45052</v>
      </c>
      <c r="U323" t="s">
        <v>16</v>
      </c>
    </row>
    <row r="324" spans="1:21" x14ac:dyDescent="0.25">
      <c r="A324">
        <v>323</v>
      </c>
      <c r="B324">
        <v>60698677</v>
      </c>
      <c r="C324" t="s">
        <v>815</v>
      </c>
      <c r="D324" t="s">
        <v>17</v>
      </c>
      <c r="E324" t="s">
        <v>816</v>
      </c>
      <c r="F324" t="s">
        <v>817</v>
      </c>
      <c r="H324" t="s">
        <v>3327</v>
      </c>
      <c r="I324" s="5" t="s">
        <v>2901</v>
      </c>
      <c r="J324" t="s">
        <v>2037</v>
      </c>
      <c r="K324" t="s">
        <v>57</v>
      </c>
      <c r="L324">
        <v>194</v>
      </c>
      <c r="P324" t="s">
        <v>2603</v>
      </c>
      <c r="Q324">
        <v>2022</v>
      </c>
      <c r="R324">
        <v>2022</v>
      </c>
      <c r="S324" s="1">
        <v>45055</v>
      </c>
      <c r="T324" s="1">
        <v>44992</v>
      </c>
      <c r="U324" t="s">
        <v>16</v>
      </c>
    </row>
    <row r="325" spans="1:21" x14ac:dyDescent="0.25">
      <c r="A325">
        <v>324</v>
      </c>
      <c r="B325">
        <v>58847516</v>
      </c>
      <c r="C325" t="s">
        <v>818</v>
      </c>
      <c r="D325" t="s">
        <v>17</v>
      </c>
      <c r="E325" t="s">
        <v>819</v>
      </c>
      <c r="F325" t="s">
        <v>820</v>
      </c>
      <c r="H325" t="s">
        <v>3328</v>
      </c>
      <c r="I325" s="5" t="s">
        <v>2901</v>
      </c>
      <c r="J325" t="s">
        <v>1668</v>
      </c>
      <c r="K325" t="s">
        <v>2488</v>
      </c>
      <c r="L325">
        <v>304</v>
      </c>
      <c r="P325" t="s">
        <v>2494</v>
      </c>
      <c r="Q325">
        <v>2021</v>
      </c>
      <c r="R325">
        <v>2021</v>
      </c>
      <c r="S325" s="1">
        <v>45055</v>
      </c>
      <c r="T325" s="1">
        <v>45052</v>
      </c>
      <c r="U325" t="s">
        <v>16</v>
      </c>
    </row>
    <row r="326" spans="1:21" x14ac:dyDescent="0.25">
      <c r="A326">
        <v>325</v>
      </c>
      <c r="B326">
        <v>36300922</v>
      </c>
      <c r="C326" t="s">
        <v>821</v>
      </c>
      <c r="D326" t="s">
        <v>17</v>
      </c>
      <c r="E326" t="s">
        <v>822</v>
      </c>
      <c r="F326" t="s">
        <v>823</v>
      </c>
      <c r="H326" t="s">
        <v>3329</v>
      </c>
      <c r="I326" s="5" t="s">
        <v>2917</v>
      </c>
      <c r="J326" t="s">
        <v>1668</v>
      </c>
      <c r="K326" t="s">
        <v>2488</v>
      </c>
      <c r="L326">
        <v>408</v>
      </c>
      <c r="P326" t="s">
        <v>2494</v>
      </c>
      <c r="Q326">
        <v>2017</v>
      </c>
      <c r="R326">
        <v>2015</v>
      </c>
      <c r="S326" s="1">
        <v>45051</v>
      </c>
      <c r="T326" s="1">
        <v>44997</v>
      </c>
      <c r="U326" t="s">
        <v>16</v>
      </c>
    </row>
    <row r="327" spans="1:21" x14ac:dyDescent="0.25">
      <c r="A327">
        <v>326</v>
      </c>
      <c r="B327">
        <v>30251752</v>
      </c>
      <c r="C327" t="s">
        <v>824</v>
      </c>
      <c r="D327" t="s">
        <v>17</v>
      </c>
      <c r="E327" t="s">
        <v>825</v>
      </c>
      <c r="F327" t="s">
        <v>826</v>
      </c>
      <c r="G327" t="s">
        <v>2676</v>
      </c>
      <c r="H327" t="s">
        <v>3330</v>
      </c>
      <c r="I327" s="5" t="s">
        <v>2901</v>
      </c>
      <c r="J327" t="s">
        <v>1687</v>
      </c>
      <c r="K327" t="s">
        <v>112</v>
      </c>
      <c r="L327">
        <v>280</v>
      </c>
      <c r="M327">
        <v>0.38124999999999998</v>
      </c>
      <c r="N327">
        <v>9.1499999999999986</v>
      </c>
      <c r="O327" t="s">
        <v>4014</v>
      </c>
      <c r="P327" t="s">
        <v>2486</v>
      </c>
      <c r="Q327">
        <v>2017</v>
      </c>
      <c r="R327">
        <v>2016</v>
      </c>
      <c r="S327" s="1">
        <v>45051</v>
      </c>
      <c r="T327" s="1">
        <v>45046</v>
      </c>
      <c r="U327" t="s">
        <v>16</v>
      </c>
    </row>
    <row r="328" spans="1:21" x14ac:dyDescent="0.25">
      <c r="A328">
        <v>327</v>
      </c>
      <c r="B328">
        <v>55872911</v>
      </c>
      <c r="C328" t="s">
        <v>827</v>
      </c>
      <c r="D328" t="s">
        <v>17</v>
      </c>
      <c r="E328" t="s">
        <v>70</v>
      </c>
      <c r="F328" t="s">
        <v>71</v>
      </c>
      <c r="H328" t="s">
        <v>3331</v>
      </c>
      <c r="I328" s="5" t="s">
        <v>2890</v>
      </c>
      <c r="J328" t="s">
        <v>1668</v>
      </c>
      <c r="K328" t="s">
        <v>2488</v>
      </c>
      <c r="L328">
        <v>360</v>
      </c>
      <c r="P328" t="s">
        <v>2494</v>
      </c>
      <c r="Q328">
        <v>2020</v>
      </c>
      <c r="R328">
        <v>2020</v>
      </c>
      <c r="S328" s="1">
        <v>45049</v>
      </c>
      <c r="T328" s="1">
        <v>45044</v>
      </c>
      <c r="U328" t="s">
        <v>16</v>
      </c>
    </row>
    <row r="329" spans="1:21" x14ac:dyDescent="0.25">
      <c r="A329">
        <v>328</v>
      </c>
      <c r="B329">
        <v>29950392</v>
      </c>
      <c r="C329" t="s">
        <v>828</v>
      </c>
      <c r="D329" t="s">
        <v>2677</v>
      </c>
      <c r="E329" t="s">
        <v>215</v>
      </c>
      <c r="F329" t="s">
        <v>216</v>
      </c>
      <c r="G329" t="s">
        <v>2587</v>
      </c>
      <c r="H329" t="s">
        <v>3332</v>
      </c>
      <c r="I329" s="5" t="s">
        <v>2890</v>
      </c>
      <c r="J329" t="s">
        <v>2532</v>
      </c>
      <c r="K329" t="s">
        <v>112</v>
      </c>
      <c r="L329">
        <v>304</v>
      </c>
      <c r="M329">
        <v>0.40833333333333333</v>
      </c>
      <c r="N329">
        <v>9.8000000000000007</v>
      </c>
      <c r="O329" t="s">
        <v>4032</v>
      </c>
      <c r="P329" t="s">
        <v>2494</v>
      </c>
      <c r="Q329">
        <v>2016</v>
      </c>
      <c r="R329">
        <v>2016</v>
      </c>
      <c r="S329" s="1">
        <v>45046</v>
      </c>
      <c r="T329" s="1">
        <v>45043</v>
      </c>
      <c r="U329" t="s">
        <v>16</v>
      </c>
    </row>
    <row r="330" spans="1:21" x14ac:dyDescent="0.25">
      <c r="A330">
        <v>329</v>
      </c>
      <c r="B330">
        <v>18599593</v>
      </c>
      <c r="C330" t="s">
        <v>829</v>
      </c>
      <c r="D330" t="s">
        <v>17</v>
      </c>
      <c r="E330" t="s">
        <v>830</v>
      </c>
      <c r="F330" t="s">
        <v>831</v>
      </c>
      <c r="H330" t="s">
        <v>3333</v>
      </c>
      <c r="I330" s="5" t="s">
        <v>2901</v>
      </c>
      <c r="J330" t="s">
        <v>1723</v>
      </c>
      <c r="K330" t="s">
        <v>2488</v>
      </c>
      <c r="L330">
        <v>408</v>
      </c>
      <c r="P330" t="s">
        <v>2494</v>
      </c>
      <c r="Q330">
        <v>2013</v>
      </c>
      <c r="R330">
        <v>2012</v>
      </c>
      <c r="S330" s="1">
        <v>45043</v>
      </c>
      <c r="T330" s="1">
        <v>45040</v>
      </c>
      <c r="U330" t="s">
        <v>16</v>
      </c>
    </row>
    <row r="331" spans="1:21" x14ac:dyDescent="0.25">
      <c r="A331">
        <v>330</v>
      </c>
      <c r="B331">
        <v>26804549</v>
      </c>
      <c r="C331" t="s">
        <v>832</v>
      </c>
      <c r="D331" t="s">
        <v>2678</v>
      </c>
      <c r="E331" t="s">
        <v>215</v>
      </c>
      <c r="F331" t="s">
        <v>216</v>
      </c>
      <c r="G331" t="s">
        <v>2531</v>
      </c>
      <c r="H331" t="s">
        <v>3334</v>
      </c>
      <c r="I331" s="5" t="s">
        <v>2890</v>
      </c>
      <c r="J331" t="s">
        <v>2532</v>
      </c>
      <c r="K331" t="s">
        <v>112</v>
      </c>
      <c r="L331">
        <v>304</v>
      </c>
      <c r="M331">
        <v>0.43819444444444444</v>
      </c>
      <c r="N331">
        <v>10.516666666666666</v>
      </c>
      <c r="O331" t="s">
        <v>4033</v>
      </c>
      <c r="P331" t="s">
        <v>2494</v>
      </c>
      <c r="Q331">
        <v>2015</v>
      </c>
      <c r="R331">
        <v>2015</v>
      </c>
      <c r="S331" s="1">
        <v>45042</v>
      </c>
      <c r="T331" s="1">
        <v>45040</v>
      </c>
      <c r="U331" t="s">
        <v>16</v>
      </c>
    </row>
    <row r="332" spans="1:21" x14ac:dyDescent="0.25">
      <c r="A332">
        <v>331</v>
      </c>
      <c r="B332">
        <v>17564785</v>
      </c>
      <c r="C332" t="s">
        <v>833</v>
      </c>
      <c r="D332" t="s">
        <v>2679</v>
      </c>
      <c r="E332" t="s">
        <v>215</v>
      </c>
      <c r="F332" t="s">
        <v>216</v>
      </c>
      <c r="G332" t="s">
        <v>2531</v>
      </c>
      <c r="H332" t="s">
        <v>3335</v>
      </c>
      <c r="I332" s="5" t="s">
        <v>2890</v>
      </c>
      <c r="J332" t="s">
        <v>2532</v>
      </c>
      <c r="K332" t="s">
        <v>112</v>
      </c>
      <c r="L332">
        <v>311</v>
      </c>
      <c r="M332">
        <v>0.48055555555555557</v>
      </c>
      <c r="N332">
        <v>11.533333333333333</v>
      </c>
      <c r="O332" t="s">
        <v>4034</v>
      </c>
      <c r="P332" t="s">
        <v>2494</v>
      </c>
      <c r="Q332">
        <v>2023</v>
      </c>
      <c r="R332">
        <v>2013</v>
      </c>
      <c r="S332" s="1">
        <v>45040</v>
      </c>
      <c r="T332" s="1">
        <v>45023</v>
      </c>
      <c r="U332" t="s">
        <v>16</v>
      </c>
    </row>
    <row r="333" spans="1:21" x14ac:dyDescent="0.25">
      <c r="A333">
        <v>332</v>
      </c>
      <c r="B333">
        <v>53078860</v>
      </c>
      <c r="C333" t="s">
        <v>3336</v>
      </c>
      <c r="D333" t="s">
        <v>835</v>
      </c>
      <c r="E333" t="s">
        <v>530</v>
      </c>
      <c r="F333" t="s">
        <v>531</v>
      </c>
      <c r="H333" t="s">
        <v>3337</v>
      </c>
      <c r="I333" s="5" t="s">
        <v>2933</v>
      </c>
      <c r="J333" t="s">
        <v>1759</v>
      </c>
      <c r="K333" t="s">
        <v>2488</v>
      </c>
      <c r="L333">
        <v>528</v>
      </c>
      <c r="P333" t="s">
        <v>2494</v>
      </c>
      <c r="Q333">
        <v>2020</v>
      </c>
      <c r="R333">
        <v>2019</v>
      </c>
      <c r="S333" s="1">
        <v>45039</v>
      </c>
      <c r="T333" s="1">
        <v>45035</v>
      </c>
      <c r="U333" t="s">
        <v>16</v>
      </c>
    </row>
    <row r="334" spans="1:21" x14ac:dyDescent="0.25">
      <c r="A334">
        <v>333</v>
      </c>
      <c r="B334">
        <v>60054880</v>
      </c>
      <c r="C334" t="s">
        <v>836</v>
      </c>
      <c r="D334" t="s">
        <v>17</v>
      </c>
      <c r="E334" t="s">
        <v>837</v>
      </c>
      <c r="F334" t="s">
        <v>838</v>
      </c>
      <c r="G334" t="s">
        <v>2630</v>
      </c>
      <c r="H334" t="s">
        <v>3338</v>
      </c>
      <c r="I334" s="5" t="s">
        <v>2901</v>
      </c>
      <c r="J334" t="s">
        <v>1919</v>
      </c>
      <c r="K334" t="s">
        <v>112</v>
      </c>
      <c r="L334">
        <v>352</v>
      </c>
      <c r="M334">
        <v>0.57708333333333328</v>
      </c>
      <c r="N334">
        <v>13.849999999999998</v>
      </c>
      <c r="O334" t="s">
        <v>4035</v>
      </c>
      <c r="P334" t="s">
        <v>2486</v>
      </c>
      <c r="Q334">
        <v>2023</v>
      </c>
      <c r="R334">
        <v>2019</v>
      </c>
      <c r="S334" s="1">
        <v>45036</v>
      </c>
      <c r="T334" s="1">
        <v>45023</v>
      </c>
      <c r="U334" t="s">
        <v>16</v>
      </c>
    </row>
    <row r="335" spans="1:21" x14ac:dyDescent="0.25">
      <c r="A335">
        <v>334</v>
      </c>
      <c r="B335">
        <v>45286241</v>
      </c>
      <c r="C335" t="s">
        <v>3339</v>
      </c>
      <c r="D335" t="s">
        <v>840</v>
      </c>
      <c r="E335" t="s">
        <v>530</v>
      </c>
      <c r="F335" t="s">
        <v>531</v>
      </c>
      <c r="H335" t="s">
        <v>3340</v>
      </c>
      <c r="I335" s="5" t="s">
        <v>2901</v>
      </c>
      <c r="J335" t="s">
        <v>2047</v>
      </c>
      <c r="K335" t="s">
        <v>2488</v>
      </c>
      <c r="L335">
        <v>440</v>
      </c>
      <c r="P335" t="s">
        <v>2494</v>
      </c>
      <c r="Q335">
        <v>2019</v>
      </c>
      <c r="R335">
        <v>2018</v>
      </c>
      <c r="S335" s="1">
        <v>45034</v>
      </c>
      <c r="T335" s="1">
        <v>45017</v>
      </c>
      <c r="U335" t="s">
        <v>16</v>
      </c>
    </row>
    <row r="336" spans="1:21" x14ac:dyDescent="0.25">
      <c r="A336">
        <v>335</v>
      </c>
      <c r="B336">
        <v>11279216</v>
      </c>
      <c r="C336" t="s">
        <v>3341</v>
      </c>
      <c r="D336" t="s">
        <v>842</v>
      </c>
      <c r="E336" t="s">
        <v>843</v>
      </c>
      <c r="F336" t="s">
        <v>844</v>
      </c>
      <c r="H336" t="s">
        <v>3342</v>
      </c>
      <c r="I336" s="5" t="s">
        <v>2917</v>
      </c>
      <c r="J336" t="s">
        <v>1668</v>
      </c>
      <c r="K336" t="s">
        <v>2488</v>
      </c>
      <c r="L336">
        <v>401</v>
      </c>
      <c r="P336" t="s">
        <v>2494</v>
      </c>
      <c r="Q336">
        <v>2002</v>
      </c>
      <c r="R336">
        <v>1998</v>
      </c>
      <c r="S336" s="1">
        <v>45033</v>
      </c>
      <c r="T336" s="1">
        <v>45030</v>
      </c>
      <c r="U336" t="s">
        <v>16</v>
      </c>
    </row>
    <row r="337" spans="1:21" x14ac:dyDescent="0.25">
      <c r="A337">
        <v>336</v>
      </c>
      <c r="B337">
        <v>33022148</v>
      </c>
      <c r="C337" t="s">
        <v>3343</v>
      </c>
      <c r="D337" t="s">
        <v>846</v>
      </c>
      <c r="E337" t="s">
        <v>608</v>
      </c>
      <c r="F337" t="s">
        <v>609</v>
      </c>
      <c r="G337" t="s">
        <v>2555</v>
      </c>
      <c r="H337" t="s">
        <v>3344</v>
      </c>
      <c r="I337" s="5" t="s">
        <v>2917</v>
      </c>
      <c r="J337" t="s">
        <v>1939</v>
      </c>
      <c r="K337" t="s">
        <v>112</v>
      </c>
      <c r="L337">
        <v>320</v>
      </c>
      <c r="M337">
        <v>0.35833333333333334</v>
      </c>
      <c r="N337">
        <v>8.6</v>
      </c>
      <c r="O337" t="s">
        <v>4009</v>
      </c>
      <c r="P337" t="s">
        <v>2486</v>
      </c>
      <c r="Q337">
        <v>2018</v>
      </c>
      <c r="R337">
        <v>2016</v>
      </c>
      <c r="S337" s="1">
        <v>45032</v>
      </c>
      <c r="T337" s="1">
        <v>45029</v>
      </c>
      <c r="U337" t="s">
        <v>16</v>
      </c>
    </row>
    <row r="338" spans="1:21" x14ac:dyDescent="0.25">
      <c r="A338">
        <v>337</v>
      </c>
      <c r="B338">
        <v>19545736</v>
      </c>
      <c r="C338" t="s">
        <v>3345</v>
      </c>
      <c r="D338" t="s">
        <v>848</v>
      </c>
      <c r="E338" t="s">
        <v>849</v>
      </c>
      <c r="F338" t="s">
        <v>850</v>
      </c>
      <c r="G338" t="s">
        <v>2680</v>
      </c>
      <c r="H338" t="s">
        <v>3346</v>
      </c>
      <c r="I338" s="5" t="s">
        <v>2890</v>
      </c>
      <c r="J338" t="s">
        <v>2658</v>
      </c>
      <c r="K338" t="s">
        <v>112</v>
      </c>
      <c r="L338">
        <v>280</v>
      </c>
      <c r="M338">
        <v>0.37013888888888891</v>
      </c>
      <c r="N338">
        <v>8.8833333333333329</v>
      </c>
      <c r="O338" t="s">
        <v>4036</v>
      </c>
      <c r="P338" t="s">
        <v>2486</v>
      </c>
      <c r="Q338">
        <v>2023</v>
      </c>
      <c r="R338">
        <v>2014</v>
      </c>
      <c r="S338" s="1">
        <v>45016</v>
      </c>
      <c r="T338" s="1">
        <v>45012</v>
      </c>
      <c r="U338" t="s">
        <v>16</v>
      </c>
    </row>
    <row r="339" spans="1:21" x14ac:dyDescent="0.25">
      <c r="A339">
        <v>338</v>
      </c>
      <c r="B339">
        <v>52693589</v>
      </c>
      <c r="C339" t="s">
        <v>851</v>
      </c>
      <c r="D339" t="s">
        <v>17</v>
      </c>
      <c r="E339" t="s">
        <v>35</v>
      </c>
      <c r="F339" t="s">
        <v>36</v>
      </c>
      <c r="G339" t="s">
        <v>2667</v>
      </c>
      <c r="H339" t="s">
        <v>3347</v>
      </c>
      <c r="I339" s="5" t="s">
        <v>2890</v>
      </c>
      <c r="J339" t="s">
        <v>1759</v>
      </c>
      <c r="K339" t="s">
        <v>112</v>
      </c>
      <c r="L339">
        <v>328</v>
      </c>
      <c r="M339">
        <v>0.45763888888888887</v>
      </c>
      <c r="N339">
        <v>10.983333333333333</v>
      </c>
      <c r="O339" t="s">
        <v>4037</v>
      </c>
      <c r="P339" t="s">
        <v>2494</v>
      </c>
      <c r="Q339">
        <v>2021</v>
      </c>
      <c r="R339">
        <v>2019</v>
      </c>
      <c r="S339" s="1">
        <v>45015</v>
      </c>
      <c r="T339" s="1">
        <v>44982</v>
      </c>
      <c r="U339" t="s">
        <v>16</v>
      </c>
    </row>
    <row r="340" spans="1:21" x14ac:dyDescent="0.25">
      <c r="A340">
        <v>339</v>
      </c>
      <c r="B340">
        <v>39204543</v>
      </c>
      <c r="C340" t="s">
        <v>3348</v>
      </c>
      <c r="D340" t="s">
        <v>853</v>
      </c>
      <c r="E340" t="s">
        <v>530</v>
      </c>
      <c r="F340" t="s">
        <v>531</v>
      </c>
      <c r="H340" t="s">
        <v>3349</v>
      </c>
      <c r="I340" s="5" t="s">
        <v>2901</v>
      </c>
      <c r="J340" t="s">
        <v>2047</v>
      </c>
      <c r="K340" t="s">
        <v>2488</v>
      </c>
      <c r="L340">
        <v>384</v>
      </c>
      <c r="P340" t="s">
        <v>2494</v>
      </c>
      <c r="Q340">
        <v>2018</v>
      </c>
      <c r="R340">
        <v>2016</v>
      </c>
      <c r="S340" s="1">
        <v>45015</v>
      </c>
      <c r="T340" s="1">
        <v>45005</v>
      </c>
      <c r="U340" t="s">
        <v>16</v>
      </c>
    </row>
    <row r="341" spans="1:21" x14ac:dyDescent="0.25">
      <c r="A341">
        <v>340</v>
      </c>
      <c r="B341">
        <v>52078702</v>
      </c>
      <c r="C341" t="s">
        <v>854</v>
      </c>
      <c r="D341" t="s">
        <v>17</v>
      </c>
      <c r="E341" t="s">
        <v>290</v>
      </c>
      <c r="F341" t="s">
        <v>291</v>
      </c>
      <c r="G341" t="s">
        <v>2681</v>
      </c>
      <c r="H341" t="s">
        <v>3350</v>
      </c>
      <c r="I341" s="5" t="s">
        <v>2890</v>
      </c>
      <c r="J341" t="s">
        <v>2682</v>
      </c>
      <c r="K341" t="s">
        <v>112</v>
      </c>
      <c r="L341">
        <v>223</v>
      </c>
      <c r="M341">
        <v>0.37291666666666667</v>
      </c>
      <c r="N341">
        <v>8.9499999999999993</v>
      </c>
      <c r="O341" t="s">
        <v>4038</v>
      </c>
      <c r="P341" t="s">
        <v>2486</v>
      </c>
      <c r="Q341">
        <v>2020</v>
      </c>
      <c r="R341">
        <v>2020</v>
      </c>
      <c r="S341" s="1">
        <v>44696</v>
      </c>
      <c r="T341" s="1">
        <v>45011</v>
      </c>
      <c r="U341" t="s">
        <v>16</v>
      </c>
    </row>
    <row r="342" spans="1:21" x14ac:dyDescent="0.25">
      <c r="A342">
        <v>341</v>
      </c>
      <c r="B342">
        <v>26122202</v>
      </c>
      <c r="C342" t="s">
        <v>855</v>
      </c>
      <c r="D342" t="s">
        <v>17</v>
      </c>
      <c r="E342" t="s">
        <v>856</v>
      </c>
      <c r="F342" t="s">
        <v>857</v>
      </c>
      <c r="H342" t="s">
        <v>3351</v>
      </c>
      <c r="I342" s="5" t="s">
        <v>2901</v>
      </c>
      <c r="J342" t="s">
        <v>2054</v>
      </c>
      <c r="K342" t="s">
        <v>57</v>
      </c>
      <c r="L342">
        <v>312</v>
      </c>
      <c r="P342" t="s">
        <v>2486</v>
      </c>
      <c r="Q342">
        <v>2015</v>
      </c>
      <c r="R342">
        <v>1988</v>
      </c>
      <c r="S342" s="1">
        <v>45011</v>
      </c>
      <c r="T342" s="1">
        <v>44932</v>
      </c>
      <c r="U342" t="s">
        <v>16</v>
      </c>
    </row>
    <row r="343" spans="1:21" x14ac:dyDescent="0.25">
      <c r="A343">
        <v>342</v>
      </c>
      <c r="B343">
        <v>37796866</v>
      </c>
      <c r="C343" t="s">
        <v>858</v>
      </c>
      <c r="D343" t="s">
        <v>17</v>
      </c>
      <c r="E343" t="s">
        <v>859</v>
      </c>
      <c r="F343" t="s">
        <v>860</v>
      </c>
      <c r="H343" t="s">
        <v>3352</v>
      </c>
      <c r="I343" s="5" t="s">
        <v>2901</v>
      </c>
      <c r="J343" t="s">
        <v>2056</v>
      </c>
      <c r="K343" t="s">
        <v>57</v>
      </c>
      <c r="L343">
        <v>336</v>
      </c>
      <c r="P343" t="s">
        <v>2486</v>
      </c>
      <c r="Q343">
        <v>2018</v>
      </c>
      <c r="R343">
        <v>2018</v>
      </c>
      <c r="S343" s="1">
        <v>45009</v>
      </c>
      <c r="T343" s="1">
        <v>45003</v>
      </c>
      <c r="U343" t="s">
        <v>16</v>
      </c>
    </row>
    <row r="344" spans="1:21" x14ac:dyDescent="0.25">
      <c r="A344">
        <v>343</v>
      </c>
      <c r="B344">
        <v>34998833</v>
      </c>
      <c r="C344" t="s">
        <v>861</v>
      </c>
      <c r="D344" t="s">
        <v>17</v>
      </c>
      <c r="E344" t="s">
        <v>224</v>
      </c>
      <c r="F344" t="s">
        <v>225</v>
      </c>
      <c r="G344" t="s">
        <v>2683</v>
      </c>
      <c r="H344" t="s">
        <v>3353</v>
      </c>
      <c r="I344" s="5" t="s">
        <v>2890</v>
      </c>
      <c r="J344" t="s">
        <v>2492</v>
      </c>
      <c r="K344" t="s">
        <v>112</v>
      </c>
      <c r="L344">
        <v>414</v>
      </c>
      <c r="M344">
        <v>0.40138888888888891</v>
      </c>
      <c r="N344">
        <v>9.6333333333333329</v>
      </c>
      <c r="O344" t="s">
        <v>4039</v>
      </c>
      <c r="P344" t="s">
        <v>2486</v>
      </c>
      <c r="Q344">
        <v>2017</v>
      </c>
      <c r="R344">
        <v>2017</v>
      </c>
      <c r="S344" s="1">
        <v>45008</v>
      </c>
      <c r="T344" s="1">
        <v>45006</v>
      </c>
      <c r="U344" t="s">
        <v>16</v>
      </c>
    </row>
    <row r="345" spans="1:21" x14ac:dyDescent="0.25">
      <c r="A345">
        <v>344</v>
      </c>
      <c r="B345">
        <v>60566173</v>
      </c>
      <c r="C345" t="s">
        <v>862</v>
      </c>
      <c r="D345" t="s">
        <v>17</v>
      </c>
      <c r="E345" t="s">
        <v>302</v>
      </c>
      <c r="F345" t="s">
        <v>303</v>
      </c>
      <c r="H345" t="s">
        <v>3354</v>
      </c>
      <c r="I345" s="5" t="s">
        <v>2890</v>
      </c>
      <c r="J345" t="s">
        <v>1723</v>
      </c>
      <c r="K345" t="s">
        <v>2488</v>
      </c>
      <c r="L345">
        <v>744</v>
      </c>
      <c r="P345" t="s">
        <v>2494</v>
      </c>
      <c r="Q345">
        <v>2022</v>
      </c>
      <c r="R345">
        <v>2021</v>
      </c>
      <c r="S345" s="1">
        <v>45006</v>
      </c>
      <c r="T345" s="1">
        <v>45002</v>
      </c>
      <c r="U345" t="s">
        <v>16</v>
      </c>
    </row>
    <row r="346" spans="1:21" x14ac:dyDescent="0.25">
      <c r="A346">
        <v>345</v>
      </c>
      <c r="B346">
        <v>52144720</v>
      </c>
      <c r="C346" t="s">
        <v>863</v>
      </c>
      <c r="D346" t="s">
        <v>17</v>
      </c>
      <c r="E346" t="s">
        <v>864</v>
      </c>
      <c r="F346" t="s">
        <v>865</v>
      </c>
      <c r="G346" t="s">
        <v>2684</v>
      </c>
      <c r="H346" t="s">
        <v>3355</v>
      </c>
      <c r="I346" s="5" t="s">
        <v>2890</v>
      </c>
      <c r="J346" t="s">
        <v>1675</v>
      </c>
      <c r="K346" t="s">
        <v>112</v>
      </c>
      <c r="L346">
        <v>376</v>
      </c>
      <c r="M346">
        <v>0.50486111111111109</v>
      </c>
      <c r="N346">
        <v>12.116666666666667</v>
      </c>
      <c r="O346" t="s">
        <v>4040</v>
      </c>
      <c r="P346" t="s">
        <v>2486</v>
      </c>
      <c r="Q346">
        <v>2018</v>
      </c>
      <c r="R346">
        <v>2018</v>
      </c>
      <c r="S346" s="1">
        <v>45005</v>
      </c>
      <c r="T346" s="1">
        <v>45000</v>
      </c>
      <c r="U346" t="s">
        <v>16</v>
      </c>
    </row>
    <row r="347" spans="1:21" x14ac:dyDescent="0.25">
      <c r="A347">
        <v>346</v>
      </c>
      <c r="B347">
        <v>31790529</v>
      </c>
      <c r="C347" t="s">
        <v>2685</v>
      </c>
      <c r="D347" t="s">
        <v>17</v>
      </c>
      <c r="E347" t="s">
        <v>170</v>
      </c>
      <c r="F347" t="s">
        <v>171</v>
      </c>
      <c r="H347" t="s">
        <v>3356</v>
      </c>
      <c r="I347" s="5" t="s">
        <v>2890</v>
      </c>
      <c r="J347" t="s">
        <v>2686</v>
      </c>
      <c r="K347" t="s">
        <v>57</v>
      </c>
      <c r="L347">
        <v>648</v>
      </c>
      <c r="P347" t="s">
        <v>2486</v>
      </c>
      <c r="Q347">
        <v>2019</v>
      </c>
      <c r="R347">
        <v>2016</v>
      </c>
      <c r="S347" s="1">
        <v>45004</v>
      </c>
      <c r="T347" s="1">
        <v>45000</v>
      </c>
      <c r="U347" t="s">
        <v>16</v>
      </c>
    </row>
    <row r="348" spans="1:21" x14ac:dyDescent="0.25">
      <c r="A348">
        <v>347</v>
      </c>
      <c r="B348">
        <v>40596733</v>
      </c>
      <c r="C348" t="s">
        <v>866</v>
      </c>
      <c r="D348" t="s">
        <v>17</v>
      </c>
      <c r="E348" t="s">
        <v>867</v>
      </c>
      <c r="F348" t="s">
        <v>868</v>
      </c>
      <c r="H348" t="s">
        <v>3357</v>
      </c>
      <c r="I348" s="5" t="s">
        <v>2917</v>
      </c>
      <c r="J348" t="s">
        <v>2687</v>
      </c>
      <c r="K348" t="s">
        <v>2488</v>
      </c>
      <c r="L348">
        <v>336</v>
      </c>
      <c r="P348" t="s">
        <v>2494</v>
      </c>
      <c r="Q348">
        <v>2018</v>
      </c>
      <c r="R348">
        <v>2016</v>
      </c>
      <c r="S348" s="1">
        <v>44998</v>
      </c>
      <c r="T348" s="1">
        <v>44993</v>
      </c>
      <c r="U348" t="s">
        <v>16</v>
      </c>
    </row>
    <row r="349" spans="1:21" x14ac:dyDescent="0.25">
      <c r="A349">
        <v>348</v>
      </c>
      <c r="B349">
        <v>43166193</v>
      </c>
      <c r="C349" t="s">
        <v>873</v>
      </c>
      <c r="D349" t="s">
        <v>17</v>
      </c>
      <c r="E349" t="s">
        <v>869</v>
      </c>
      <c r="F349" t="s">
        <v>870</v>
      </c>
      <c r="H349" t="s">
        <v>3358</v>
      </c>
      <c r="I349" s="5" t="s">
        <v>2933</v>
      </c>
      <c r="J349" t="s">
        <v>1770</v>
      </c>
      <c r="K349" t="s">
        <v>2488</v>
      </c>
      <c r="L349">
        <v>144</v>
      </c>
      <c r="P349" t="s">
        <v>2494</v>
      </c>
      <c r="Q349">
        <v>2018</v>
      </c>
      <c r="R349">
        <v>2017</v>
      </c>
      <c r="S349" s="1">
        <v>44992</v>
      </c>
      <c r="T349" s="1">
        <v>44992</v>
      </c>
      <c r="U349" t="s">
        <v>16</v>
      </c>
    </row>
    <row r="350" spans="1:21" x14ac:dyDescent="0.25">
      <c r="A350">
        <v>349</v>
      </c>
      <c r="B350">
        <v>18220067</v>
      </c>
      <c r="C350" t="s">
        <v>874</v>
      </c>
      <c r="D350" t="s">
        <v>17</v>
      </c>
      <c r="E350" t="s">
        <v>875</v>
      </c>
      <c r="F350" t="s">
        <v>876</v>
      </c>
      <c r="H350" t="s">
        <v>3359</v>
      </c>
      <c r="I350" s="5" t="s">
        <v>3006</v>
      </c>
      <c r="J350" t="s">
        <v>2687</v>
      </c>
      <c r="K350" t="s">
        <v>2488</v>
      </c>
      <c r="L350">
        <v>224</v>
      </c>
      <c r="P350" t="s">
        <v>2494</v>
      </c>
      <c r="Q350">
        <v>2019</v>
      </c>
      <c r="R350">
        <v>1965</v>
      </c>
      <c r="S350" s="1">
        <v>44992</v>
      </c>
      <c r="T350" s="1">
        <v>44987</v>
      </c>
      <c r="U350" t="s">
        <v>16</v>
      </c>
    </row>
    <row r="351" spans="1:21" x14ac:dyDescent="0.25">
      <c r="A351">
        <v>350</v>
      </c>
      <c r="B351">
        <v>52748829</v>
      </c>
      <c r="C351" t="s">
        <v>877</v>
      </c>
      <c r="D351" t="s">
        <v>17</v>
      </c>
      <c r="E351" t="s">
        <v>616</v>
      </c>
      <c r="F351" t="s">
        <v>617</v>
      </c>
      <c r="H351" t="s">
        <v>3360</v>
      </c>
      <c r="I351" s="5" t="s">
        <v>2890</v>
      </c>
      <c r="J351" t="s">
        <v>1723</v>
      </c>
      <c r="K351" t="s">
        <v>2488</v>
      </c>
      <c r="L351">
        <v>304</v>
      </c>
      <c r="P351" t="s">
        <v>2494</v>
      </c>
      <c r="Q351">
        <v>2019</v>
      </c>
      <c r="R351">
        <v>2017</v>
      </c>
      <c r="S351" s="1">
        <v>44991</v>
      </c>
      <c r="T351" s="1">
        <v>44985</v>
      </c>
      <c r="U351" t="s">
        <v>16</v>
      </c>
    </row>
    <row r="352" spans="1:21" x14ac:dyDescent="0.25">
      <c r="A352">
        <v>351</v>
      </c>
      <c r="B352">
        <v>31946632</v>
      </c>
      <c r="C352" t="s">
        <v>3361</v>
      </c>
      <c r="D352" t="s">
        <v>879</v>
      </c>
      <c r="E352" t="s">
        <v>302</v>
      </c>
      <c r="F352" t="s">
        <v>303</v>
      </c>
      <c r="H352" t="s">
        <v>3362</v>
      </c>
      <c r="I352" s="5" t="s">
        <v>2901</v>
      </c>
      <c r="J352" t="s">
        <v>1723</v>
      </c>
      <c r="K352" t="s">
        <v>57</v>
      </c>
      <c r="L352">
        <v>1022</v>
      </c>
      <c r="P352" t="s">
        <v>2486</v>
      </c>
      <c r="Q352">
        <v>2011</v>
      </c>
      <c r="R352">
        <v>2007</v>
      </c>
      <c r="S352" s="1">
        <v>44991</v>
      </c>
      <c r="T352" s="1">
        <v>44936</v>
      </c>
      <c r="U352" t="s">
        <v>16</v>
      </c>
    </row>
    <row r="353" spans="1:21" x14ac:dyDescent="0.25">
      <c r="A353">
        <v>352</v>
      </c>
      <c r="B353">
        <v>43687455</v>
      </c>
      <c r="C353" t="s">
        <v>880</v>
      </c>
      <c r="D353" t="s">
        <v>17</v>
      </c>
      <c r="E353" t="s">
        <v>881</v>
      </c>
      <c r="F353" t="s">
        <v>882</v>
      </c>
      <c r="H353" t="s">
        <v>3363</v>
      </c>
      <c r="I353" s="5" t="s">
        <v>2890</v>
      </c>
      <c r="J353" t="s">
        <v>1668</v>
      </c>
      <c r="K353" t="s">
        <v>2488</v>
      </c>
      <c r="L353">
        <v>392</v>
      </c>
      <c r="P353" t="s">
        <v>2494</v>
      </c>
      <c r="Q353">
        <v>2019</v>
      </c>
      <c r="R353">
        <v>2018</v>
      </c>
      <c r="S353" s="1">
        <v>44989</v>
      </c>
      <c r="T353" s="1">
        <v>44987</v>
      </c>
      <c r="U353" t="s">
        <v>16</v>
      </c>
    </row>
    <row r="354" spans="1:21" x14ac:dyDescent="0.25">
      <c r="A354">
        <v>353</v>
      </c>
      <c r="B354">
        <v>12275939</v>
      </c>
      <c r="C354" t="s">
        <v>883</v>
      </c>
      <c r="D354" t="s">
        <v>2688</v>
      </c>
      <c r="E354" t="s">
        <v>215</v>
      </c>
      <c r="F354" t="s">
        <v>216</v>
      </c>
      <c r="G354" t="s">
        <v>2531</v>
      </c>
      <c r="H354" t="s">
        <v>3364</v>
      </c>
      <c r="I354" s="5" t="s">
        <v>2890</v>
      </c>
      <c r="J354" t="s">
        <v>2532</v>
      </c>
      <c r="K354" t="s">
        <v>112</v>
      </c>
      <c r="L354">
        <v>400</v>
      </c>
      <c r="M354">
        <v>0.67222222222222228</v>
      </c>
      <c r="N354">
        <v>16.133333333333333</v>
      </c>
      <c r="O354" t="s">
        <v>4041</v>
      </c>
      <c r="P354" t="s">
        <v>2494</v>
      </c>
      <c r="Q354">
        <v>2023</v>
      </c>
      <c r="R354">
        <v>2007</v>
      </c>
      <c r="S354" s="1">
        <v>44985</v>
      </c>
      <c r="T354" s="1">
        <v>44979</v>
      </c>
      <c r="U354" t="s">
        <v>16</v>
      </c>
    </row>
    <row r="355" spans="1:21" x14ac:dyDescent="0.25">
      <c r="A355">
        <v>354</v>
      </c>
      <c r="B355">
        <v>61682979</v>
      </c>
      <c r="C355" t="s">
        <v>884</v>
      </c>
      <c r="D355" t="s">
        <v>17</v>
      </c>
      <c r="E355" t="s">
        <v>616</v>
      </c>
      <c r="F355" t="s">
        <v>617</v>
      </c>
      <c r="H355" t="s">
        <v>3365</v>
      </c>
      <c r="I355" s="5" t="s">
        <v>2901</v>
      </c>
      <c r="J355" t="s">
        <v>1723</v>
      </c>
      <c r="K355" t="s">
        <v>2488</v>
      </c>
      <c r="L355">
        <v>400</v>
      </c>
      <c r="P355" t="s">
        <v>2494</v>
      </c>
      <c r="Q355">
        <v>2022</v>
      </c>
      <c r="R355">
        <v>2021</v>
      </c>
      <c r="S355" s="1">
        <v>44985</v>
      </c>
      <c r="T355" s="1">
        <v>44981</v>
      </c>
      <c r="U355" t="s">
        <v>16</v>
      </c>
    </row>
    <row r="356" spans="1:21" x14ac:dyDescent="0.25">
      <c r="A356">
        <v>355</v>
      </c>
      <c r="B356">
        <v>53244120</v>
      </c>
      <c r="C356" t="s">
        <v>885</v>
      </c>
      <c r="D356" t="s">
        <v>17</v>
      </c>
      <c r="E356" t="s">
        <v>886</v>
      </c>
      <c r="F356" t="s">
        <v>887</v>
      </c>
      <c r="H356" t="s">
        <v>3366</v>
      </c>
      <c r="I356" s="5" t="s">
        <v>2901</v>
      </c>
      <c r="J356" t="s">
        <v>1673</v>
      </c>
      <c r="K356" t="s">
        <v>2488</v>
      </c>
      <c r="L356">
        <v>424</v>
      </c>
      <c r="P356" t="s">
        <v>2494</v>
      </c>
      <c r="Q356">
        <v>2020</v>
      </c>
      <c r="R356">
        <v>2019</v>
      </c>
      <c r="S356" s="1">
        <v>44981</v>
      </c>
      <c r="T356" s="1">
        <v>44977</v>
      </c>
      <c r="U356" t="s">
        <v>16</v>
      </c>
    </row>
    <row r="357" spans="1:21" x14ac:dyDescent="0.25">
      <c r="A357">
        <v>356</v>
      </c>
      <c r="B357">
        <v>33359969</v>
      </c>
      <c r="C357" t="s">
        <v>888</v>
      </c>
      <c r="D357" t="s">
        <v>17</v>
      </c>
      <c r="E357" t="s">
        <v>889</v>
      </c>
      <c r="F357" t="s">
        <v>890</v>
      </c>
      <c r="G357" t="s">
        <v>2689</v>
      </c>
      <c r="H357" t="s">
        <v>3367</v>
      </c>
      <c r="I357" s="5" t="s">
        <v>2901</v>
      </c>
      <c r="J357" t="s">
        <v>2690</v>
      </c>
      <c r="K357" t="s">
        <v>112</v>
      </c>
      <c r="L357">
        <v>296</v>
      </c>
      <c r="P357" t="s">
        <v>2486</v>
      </c>
      <c r="Q357">
        <v>2017</v>
      </c>
      <c r="R357">
        <v>2012</v>
      </c>
      <c r="S357" s="1">
        <v>44975</v>
      </c>
      <c r="T357" s="1">
        <v>44970</v>
      </c>
      <c r="U357" t="s">
        <v>16</v>
      </c>
    </row>
    <row r="358" spans="1:21" x14ac:dyDescent="0.25">
      <c r="A358">
        <v>357</v>
      </c>
      <c r="B358">
        <v>19085317</v>
      </c>
      <c r="C358" t="s">
        <v>891</v>
      </c>
      <c r="D358" t="s">
        <v>17</v>
      </c>
      <c r="E358" t="s">
        <v>892</v>
      </c>
      <c r="F358" t="s">
        <v>893</v>
      </c>
      <c r="H358" t="s">
        <v>3368</v>
      </c>
      <c r="I358" s="5" t="s">
        <v>3006</v>
      </c>
      <c r="J358" t="s">
        <v>2071</v>
      </c>
      <c r="K358" t="s">
        <v>2488</v>
      </c>
      <c r="L358">
        <v>176</v>
      </c>
      <c r="P358" t="s">
        <v>2486</v>
      </c>
      <c r="Q358">
        <v>2007</v>
      </c>
      <c r="R358">
        <v>1975</v>
      </c>
      <c r="S358" s="1">
        <v>44974</v>
      </c>
      <c r="T358" s="1">
        <v>44966</v>
      </c>
      <c r="U358" t="s">
        <v>16</v>
      </c>
    </row>
    <row r="359" spans="1:21" x14ac:dyDescent="0.25">
      <c r="A359">
        <v>358</v>
      </c>
      <c r="B359">
        <v>10692648</v>
      </c>
      <c r="C359" t="s">
        <v>894</v>
      </c>
      <c r="D359" t="s">
        <v>2691</v>
      </c>
      <c r="E359" t="s">
        <v>215</v>
      </c>
      <c r="F359" t="s">
        <v>216</v>
      </c>
      <c r="G359" t="s">
        <v>2531</v>
      </c>
      <c r="H359" t="s">
        <v>3369</v>
      </c>
      <c r="I359" s="5" t="s">
        <v>2890</v>
      </c>
      <c r="J359" t="s">
        <v>2532</v>
      </c>
      <c r="K359" t="s">
        <v>112</v>
      </c>
      <c r="L359">
        <v>302</v>
      </c>
      <c r="M359">
        <v>0.49027777777777776</v>
      </c>
      <c r="N359">
        <v>11.766666666666666</v>
      </c>
      <c r="O359" t="s">
        <v>3914</v>
      </c>
      <c r="P359" t="s">
        <v>2494</v>
      </c>
      <c r="Q359">
        <v>2021</v>
      </c>
      <c r="R359">
        <v>2006</v>
      </c>
      <c r="S359" s="1">
        <v>44969</v>
      </c>
      <c r="T359" s="1">
        <v>44966</v>
      </c>
      <c r="U359" t="s">
        <v>16</v>
      </c>
    </row>
    <row r="360" spans="1:21" x14ac:dyDescent="0.25">
      <c r="A360">
        <v>359</v>
      </c>
      <c r="B360">
        <v>22079837</v>
      </c>
      <c r="C360" t="s">
        <v>3370</v>
      </c>
      <c r="D360" t="s">
        <v>896</v>
      </c>
      <c r="E360" t="s">
        <v>287</v>
      </c>
      <c r="F360" t="s">
        <v>288</v>
      </c>
      <c r="H360" t="s">
        <v>3371</v>
      </c>
      <c r="I360" s="5" t="s">
        <v>2901</v>
      </c>
      <c r="J360" t="s">
        <v>1668</v>
      </c>
      <c r="K360" t="s">
        <v>2488</v>
      </c>
      <c r="L360">
        <v>672</v>
      </c>
      <c r="P360" t="s">
        <v>2494</v>
      </c>
      <c r="Q360">
        <v>2014</v>
      </c>
      <c r="R360">
        <v>1977</v>
      </c>
      <c r="S360" s="1">
        <v>44969</v>
      </c>
      <c r="T360" s="1">
        <v>44959</v>
      </c>
      <c r="U360" t="s">
        <v>16</v>
      </c>
    </row>
    <row r="361" spans="1:21" x14ac:dyDescent="0.25">
      <c r="A361">
        <v>360</v>
      </c>
      <c r="B361">
        <v>10633907</v>
      </c>
      <c r="C361" t="s">
        <v>897</v>
      </c>
      <c r="D361" t="s">
        <v>2692</v>
      </c>
      <c r="E361" t="s">
        <v>215</v>
      </c>
      <c r="F361" t="s">
        <v>216</v>
      </c>
      <c r="G361" t="s">
        <v>2587</v>
      </c>
      <c r="H361" t="s">
        <v>3372</v>
      </c>
      <c r="I361" s="5" t="s">
        <v>2890</v>
      </c>
      <c r="J361" t="s">
        <v>2532</v>
      </c>
      <c r="K361" t="s">
        <v>112</v>
      </c>
      <c r="L361">
        <v>288</v>
      </c>
      <c r="M361">
        <v>0.47013888888888888</v>
      </c>
      <c r="N361">
        <v>11.283333333333333</v>
      </c>
      <c r="O361" t="s">
        <v>4042</v>
      </c>
      <c r="P361" t="s">
        <v>2494</v>
      </c>
      <c r="Q361">
        <v>2018</v>
      </c>
      <c r="R361">
        <v>2006</v>
      </c>
      <c r="S361" s="1">
        <v>44965</v>
      </c>
      <c r="T361" s="1">
        <v>44960</v>
      </c>
      <c r="U361" t="s">
        <v>16</v>
      </c>
    </row>
    <row r="362" spans="1:21" x14ac:dyDescent="0.25">
      <c r="A362">
        <v>361</v>
      </c>
      <c r="B362">
        <v>6616363</v>
      </c>
      <c r="C362" t="s">
        <v>898</v>
      </c>
      <c r="D362" t="s">
        <v>17</v>
      </c>
      <c r="E362" t="s">
        <v>899</v>
      </c>
      <c r="F362" t="s">
        <v>900</v>
      </c>
      <c r="H362" t="s">
        <v>3373</v>
      </c>
      <c r="I362" s="5" t="s">
        <v>2917</v>
      </c>
      <c r="J362" t="s">
        <v>2076</v>
      </c>
      <c r="K362" t="s">
        <v>57</v>
      </c>
      <c r="L362">
        <v>175</v>
      </c>
      <c r="P362" t="s">
        <v>2486</v>
      </c>
      <c r="Q362">
        <v>1992</v>
      </c>
      <c r="R362">
        <v>1896</v>
      </c>
      <c r="S362" s="1">
        <v>44960</v>
      </c>
      <c r="T362" s="1">
        <v>44955</v>
      </c>
      <c r="U362" t="s">
        <v>16</v>
      </c>
    </row>
    <row r="363" spans="1:21" x14ac:dyDescent="0.25">
      <c r="A363">
        <v>362</v>
      </c>
      <c r="B363">
        <v>56772854</v>
      </c>
      <c r="C363" t="s">
        <v>2693</v>
      </c>
      <c r="D363" t="s">
        <v>17</v>
      </c>
      <c r="E363" t="s">
        <v>901</v>
      </c>
      <c r="F363" t="s">
        <v>902</v>
      </c>
      <c r="H363" t="s">
        <v>3374</v>
      </c>
      <c r="I363" s="5" t="s">
        <v>2933</v>
      </c>
      <c r="J363" t="s">
        <v>1770</v>
      </c>
      <c r="K363" t="s">
        <v>2488</v>
      </c>
      <c r="L363">
        <v>464</v>
      </c>
      <c r="P363" t="s">
        <v>2494</v>
      </c>
      <c r="Q363">
        <v>2023</v>
      </c>
      <c r="R363">
        <v>2021</v>
      </c>
      <c r="S363" s="1">
        <v>44954</v>
      </c>
      <c r="T363" s="1">
        <v>44950</v>
      </c>
      <c r="U363" t="s">
        <v>16</v>
      </c>
    </row>
    <row r="364" spans="1:21" x14ac:dyDescent="0.25">
      <c r="A364">
        <v>363</v>
      </c>
      <c r="B364">
        <v>11662841</v>
      </c>
      <c r="C364" t="s">
        <v>3375</v>
      </c>
      <c r="D364" t="s">
        <v>904</v>
      </c>
      <c r="E364" t="s">
        <v>803</v>
      </c>
      <c r="F364" t="s">
        <v>804</v>
      </c>
      <c r="H364" t="s">
        <v>3376</v>
      </c>
      <c r="I364" s="5" t="s">
        <v>2890</v>
      </c>
      <c r="J364" t="s">
        <v>1668</v>
      </c>
      <c r="K364" t="s">
        <v>57</v>
      </c>
      <c r="L364">
        <v>260</v>
      </c>
      <c r="P364" t="s">
        <v>2494</v>
      </c>
      <c r="Q364">
        <v>1993</v>
      </c>
      <c r="R364">
        <v>1992</v>
      </c>
      <c r="S364" s="1">
        <v>44950</v>
      </c>
      <c r="T364" s="1">
        <v>44946</v>
      </c>
      <c r="U364" t="s">
        <v>16</v>
      </c>
    </row>
    <row r="365" spans="1:21" x14ac:dyDescent="0.25">
      <c r="A365">
        <v>364</v>
      </c>
      <c r="B365">
        <v>66473</v>
      </c>
      <c r="C365" t="s">
        <v>905</v>
      </c>
      <c r="D365" t="s">
        <v>17</v>
      </c>
      <c r="E365" t="s">
        <v>803</v>
      </c>
      <c r="F365" t="s">
        <v>804</v>
      </c>
      <c r="H365" t="s">
        <v>3377</v>
      </c>
      <c r="I365" s="5" t="s">
        <v>2890</v>
      </c>
      <c r="J365" t="s">
        <v>1668</v>
      </c>
      <c r="K365" t="s">
        <v>57</v>
      </c>
      <c r="L365">
        <v>432</v>
      </c>
      <c r="P365" t="s">
        <v>2494</v>
      </c>
      <c r="Q365">
        <v>2008</v>
      </c>
      <c r="R365">
        <v>1998</v>
      </c>
      <c r="S365" s="1">
        <v>44946</v>
      </c>
      <c r="T365" s="1">
        <v>44943</v>
      </c>
      <c r="U365" t="s">
        <v>16</v>
      </c>
    </row>
    <row r="366" spans="1:21" x14ac:dyDescent="0.25">
      <c r="A366">
        <v>365</v>
      </c>
      <c r="B366">
        <v>25547238</v>
      </c>
      <c r="C366" t="s">
        <v>906</v>
      </c>
      <c r="D366" t="s">
        <v>17</v>
      </c>
      <c r="E366" t="s">
        <v>62</v>
      </c>
      <c r="F366" t="s">
        <v>63</v>
      </c>
      <c r="H366" t="s">
        <v>3378</v>
      </c>
      <c r="I366" s="5" t="s">
        <v>2901</v>
      </c>
      <c r="J366" t="s">
        <v>1668</v>
      </c>
      <c r="K366" t="s">
        <v>2488</v>
      </c>
      <c r="L366">
        <v>232</v>
      </c>
      <c r="P366" t="s">
        <v>2494</v>
      </c>
      <c r="Q366">
        <v>2015</v>
      </c>
      <c r="R366">
        <v>2015</v>
      </c>
      <c r="S366" s="1">
        <v>44942</v>
      </c>
      <c r="T366" s="1">
        <v>44939</v>
      </c>
      <c r="U366" t="s">
        <v>16</v>
      </c>
    </row>
    <row r="367" spans="1:21" x14ac:dyDescent="0.25">
      <c r="A367">
        <v>366</v>
      </c>
      <c r="B367">
        <v>60151732</v>
      </c>
      <c r="C367" t="s">
        <v>907</v>
      </c>
      <c r="D367" t="s">
        <v>17</v>
      </c>
      <c r="E367" t="s">
        <v>530</v>
      </c>
      <c r="F367" t="s">
        <v>531</v>
      </c>
      <c r="H367" t="s">
        <v>3379</v>
      </c>
      <c r="I367" s="5" t="s">
        <v>2890</v>
      </c>
      <c r="J367" t="s">
        <v>1759</v>
      </c>
      <c r="K367" t="s">
        <v>2488</v>
      </c>
      <c r="L367">
        <v>325</v>
      </c>
      <c r="P367" t="s">
        <v>2494</v>
      </c>
      <c r="Q367">
        <v>2022</v>
      </c>
      <c r="R367">
        <v>2021</v>
      </c>
      <c r="S367" s="1">
        <v>44940</v>
      </c>
      <c r="T367" s="1">
        <v>44936</v>
      </c>
      <c r="U367" t="s">
        <v>16</v>
      </c>
    </row>
    <row r="368" spans="1:21" x14ac:dyDescent="0.25">
      <c r="A368">
        <v>367</v>
      </c>
      <c r="B368">
        <v>28435650</v>
      </c>
      <c r="C368" t="s">
        <v>908</v>
      </c>
      <c r="D368" t="s">
        <v>17</v>
      </c>
      <c r="E368" t="s">
        <v>803</v>
      </c>
      <c r="F368" t="s">
        <v>804</v>
      </c>
      <c r="H368" t="s">
        <v>3380</v>
      </c>
      <c r="I368" s="5" t="s">
        <v>2890</v>
      </c>
      <c r="J368" t="s">
        <v>1668</v>
      </c>
      <c r="K368" t="s">
        <v>57</v>
      </c>
      <c r="L368">
        <v>200</v>
      </c>
      <c r="P368" t="s">
        <v>2494</v>
      </c>
      <c r="Q368">
        <v>2011</v>
      </c>
      <c r="R368">
        <v>1997</v>
      </c>
      <c r="S368" s="1">
        <v>44936</v>
      </c>
      <c r="T368" s="1">
        <v>44932</v>
      </c>
      <c r="U368" t="s">
        <v>16</v>
      </c>
    </row>
    <row r="369" spans="1:21" x14ac:dyDescent="0.25">
      <c r="A369">
        <v>368</v>
      </c>
      <c r="B369">
        <v>61168540</v>
      </c>
      <c r="C369" t="s">
        <v>909</v>
      </c>
      <c r="D369" t="s">
        <v>17</v>
      </c>
      <c r="E369" t="s">
        <v>241</v>
      </c>
      <c r="F369" t="s">
        <v>242</v>
      </c>
      <c r="H369" t="s">
        <v>3381</v>
      </c>
      <c r="I369" s="5" t="s">
        <v>2933</v>
      </c>
      <c r="J369" t="s">
        <v>1820</v>
      </c>
      <c r="K369" t="s">
        <v>57</v>
      </c>
      <c r="L369">
        <v>976</v>
      </c>
      <c r="P369" t="s">
        <v>2486</v>
      </c>
      <c r="Q369">
        <v>2022</v>
      </c>
      <c r="R369">
        <v>2020</v>
      </c>
      <c r="S369" s="1">
        <v>44931</v>
      </c>
      <c r="T369" s="1">
        <v>44910</v>
      </c>
      <c r="U369" t="s">
        <v>16</v>
      </c>
    </row>
    <row r="370" spans="1:21" x14ac:dyDescent="0.25">
      <c r="A370">
        <v>369</v>
      </c>
      <c r="B370">
        <v>11661538</v>
      </c>
      <c r="C370" t="s">
        <v>910</v>
      </c>
      <c r="D370" t="s">
        <v>17</v>
      </c>
      <c r="E370" t="s">
        <v>803</v>
      </c>
      <c r="F370" t="s">
        <v>804</v>
      </c>
      <c r="H370" t="s">
        <v>3382</v>
      </c>
      <c r="I370" s="5" t="s">
        <v>2890</v>
      </c>
      <c r="J370" t="s">
        <v>1668</v>
      </c>
      <c r="K370" t="s">
        <v>57</v>
      </c>
      <c r="L370">
        <v>272</v>
      </c>
      <c r="P370" t="s">
        <v>2494</v>
      </c>
      <c r="Q370">
        <v>1995</v>
      </c>
      <c r="R370">
        <v>1995</v>
      </c>
      <c r="S370" s="1">
        <v>44931</v>
      </c>
      <c r="T370" s="1">
        <v>44929</v>
      </c>
      <c r="U370" t="s">
        <v>16</v>
      </c>
    </row>
    <row r="371" spans="1:21" x14ac:dyDescent="0.25">
      <c r="A371">
        <v>370</v>
      </c>
      <c r="B371">
        <v>7805293</v>
      </c>
      <c r="C371" t="s">
        <v>911</v>
      </c>
      <c r="D371" t="s">
        <v>17</v>
      </c>
      <c r="E371" t="s">
        <v>912</v>
      </c>
      <c r="F371" t="s">
        <v>913</v>
      </c>
      <c r="H371" t="s">
        <v>3383</v>
      </c>
      <c r="I371" s="5" t="s">
        <v>2901</v>
      </c>
      <c r="J371" t="s">
        <v>1691</v>
      </c>
      <c r="K371" t="s">
        <v>57</v>
      </c>
      <c r="L371">
        <v>188</v>
      </c>
      <c r="P371" t="s">
        <v>2486</v>
      </c>
      <c r="Q371">
        <v>2008</v>
      </c>
      <c r="R371">
        <v>2006</v>
      </c>
      <c r="S371" s="1">
        <v>44928</v>
      </c>
      <c r="T371" s="1">
        <v>44914</v>
      </c>
      <c r="U371" t="s">
        <v>16</v>
      </c>
    </row>
    <row r="372" spans="1:21" x14ac:dyDescent="0.25">
      <c r="A372">
        <v>371</v>
      </c>
      <c r="B372">
        <v>25829219</v>
      </c>
      <c r="C372" t="s">
        <v>914</v>
      </c>
      <c r="D372" t="s">
        <v>17</v>
      </c>
      <c r="E372" t="s">
        <v>915</v>
      </c>
      <c r="F372" t="s">
        <v>916</v>
      </c>
      <c r="H372" t="s">
        <v>3384</v>
      </c>
      <c r="I372" s="5" t="s">
        <v>2890</v>
      </c>
      <c r="J372" t="s">
        <v>2085</v>
      </c>
      <c r="K372" t="s">
        <v>57</v>
      </c>
      <c r="L372">
        <v>216</v>
      </c>
      <c r="P372" t="s">
        <v>2486</v>
      </c>
      <c r="Q372">
        <v>2011</v>
      </c>
      <c r="R372">
        <v>2011</v>
      </c>
      <c r="S372" s="1">
        <v>44928</v>
      </c>
      <c r="T372" s="1">
        <v>44926</v>
      </c>
      <c r="U372" t="s">
        <v>16</v>
      </c>
    </row>
    <row r="373" spans="1:21" x14ac:dyDescent="0.25">
      <c r="A373">
        <v>372</v>
      </c>
      <c r="B373">
        <v>75369450</v>
      </c>
      <c r="C373" t="s">
        <v>917</v>
      </c>
      <c r="D373" t="s">
        <v>17</v>
      </c>
      <c r="E373" t="s">
        <v>918</v>
      </c>
      <c r="F373" t="s">
        <v>919</v>
      </c>
      <c r="H373" t="s">
        <v>3385</v>
      </c>
      <c r="I373" s="5" t="s">
        <v>2901</v>
      </c>
      <c r="J373" t="s">
        <v>2087</v>
      </c>
      <c r="K373" t="s">
        <v>29</v>
      </c>
      <c r="L373">
        <v>264</v>
      </c>
      <c r="P373" t="s">
        <v>2494</v>
      </c>
      <c r="Q373">
        <v>2022</v>
      </c>
      <c r="R373">
        <v>2022</v>
      </c>
      <c r="S373" s="1">
        <v>44926</v>
      </c>
      <c r="T373" s="1">
        <v>44925</v>
      </c>
      <c r="U373" t="s">
        <v>16</v>
      </c>
    </row>
    <row r="374" spans="1:21" x14ac:dyDescent="0.25">
      <c r="A374">
        <v>373</v>
      </c>
      <c r="B374">
        <v>72579</v>
      </c>
      <c r="C374" t="s">
        <v>920</v>
      </c>
      <c r="D374" t="s">
        <v>17</v>
      </c>
      <c r="E374" t="s">
        <v>921</v>
      </c>
      <c r="F374" t="s">
        <v>922</v>
      </c>
      <c r="G374" t="s">
        <v>2694</v>
      </c>
      <c r="H374" t="s">
        <v>3386</v>
      </c>
      <c r="I374" s="5" t="s">
        <v>2933</v>
      </c>
      <c r="J374" t="s">
        <v>2492</v>
      </c>
      <c r="K374" t="s">
        <v>112</v>
      </c>
      <c r="L374">
        <v>468</v>
      </c>
      <c r="M374">
        <v>0.72222222222222221</v>
      </c>
      <c r="N374">
        <v>17.333333333333332</v>
      </c>
      <c r="O374" t="s">
        <v>4043</v>
      </c>
      <c r="P374" t="s">
        <v>2486</v>
      </c>
      <c r="Q374">
        <v>2021</v>
      </c>
      <c r="R374">
        <v>1996</v>
      </c>
      <c r="S374" s="1">
        <v>44922</v>
      </c>
      <c r="T374" s="1">
        <v>44912</v>
      </c>
      <c r="U374" t="s">
        <v>16</v>
      </c>
    </row>
    <row r="375" spans="1:21" x14ac:dyDescent="0.25">
      <c r="A375">
        <v>374</v>
      </c>
      <c r="B375">
        <v>43706482</v>
      </c>
      <c r="C375" t="s">
        <v>2695</v>
      </c>
      <c r="D375" t="s">
        <v>17</v>
      </c>
      <c r="E375" t="s">
        <v>923</v>
      </c>
      <c r="F375" t="s">
        <v>924</v>
      </c>
      <c r="H375" t="s">
        <v>3387</v>
      </c>
      <c r="I375" s="5" t="s">
        <v>2901</v>
      </c>
      <c r="J375" t="s">
        <v>1710</v>
      </c>
      <c r="K375" t="s">
        <v>2488</v>
      </c>
      <c r="L375">
        <v>304</v>
      </c>
      <c r="P375" t="s">
        <v>2494</v>
      </c>
      <c r="Q375">
        <v>2020</v>
      </c>
      <c r="R375">
        <v>2019</v>
      </c>
      <c r="S375" s="1">
        <v>44915</v>
      </c>
      <c r="T375" s="1">
        <v>44907</v>
      </c>
      <c r="U375" t="s">
        <v>16</v>
      </c>
    </row>
    <row r="376" spans="1:21" x14ac:dyDescent="0.25">
      <c r="A376">
        <v>375</v>
      </c>
      <c r="B376">
        <v>57301069</v>
      </c>
      <c r="C376" t="s">
        <v>3388</v>
      </c>
      <c r="D376" t="s">
        <v>926</v>
      </c>
      <c r="E376" t="s">
        <v>228</v>
      </c>
      <c r="F376" t="s">
        <v>229</v>
      </c>
      <c r="H376" t="s">
        <v>3389</v>
      </c>
      <c r="I376" s="5" t="s">
        <v>2901</v>
      </c>
      <c r="J376" t="s">
        <v>1668</v>
      </c>
      <c r="K376" t="s">
        <v>2488</v>
      </c>
      <c r="L376">
        <v>288</v>
      </c>
      <c r="P376" t="s">
        <v>2494</v>
      </c>
      <c r="Q376">
        <v>2021</v>
      </c>
      <c r="R376">
        <v>2020</v>
      </c>
      <c r="S376" s="1">
        <v>44408</v>
      </c>
      <c r="T376" s="1">
        <v>44317</v>
      </c>
      <c r="U376" t="s">
        <v>16</v>
      </c>
    </row>
    <row r="377" spans="1:21" x14ac:dyDescent="0.25">
      <c r="A377">
        <v>376</v>
      </c>
      <c r="B377">
        <v>56984091</v>
      </c>
      <c r="C377" t="s">
        <v>927</v>
      </c>
      <c r="D377" t="s">
        <v>2696</v>
      </c>
      <c r="E377" t="s">
        <v>269</v>
      </c>
      <c r="F377" t="s">
        <v>270</v>
      </c>
      <c r="G377" t="s">
        <v>2622</v>
      </c>
      <c r="H377" t="s">
        <v>3390</v>
      </c>
      <c r="I377" s="5" t="s">
        <v>2890</v>
      </c>
      <c r="J377" t="s">
        <v>2545</v>
      </c>
      <c r="K377" t="s">
        <v>112</v>
      </c>
      <c r="L377">
        <v>400</v>
      </c>
      <c r="M377">
        <v>0.56527777777777777</v>
      </c>
      <c r="N377">
        <v>13.566666666666666</v>
      </c>
      <c r="O377" t="s">
        <v>3980</v>
      </c>
      <c r="P377" t="s">
        <v>2486</v>
      </c>
      <c r="Q377">
        <v>2022</v>
      </c>
      <c r="R377">
        <v>2021</v>
      </c>
      <c r="S377" s="1">
        <v>44911</v>
      </c>
      <c r="T377" s="1">
        <v>44908</v>
      </c>
      <c r="U377" t="s">
        <v>16</v>
      </c>
    </row>
    <row r="378" spans="1:21" x14ac:dyDescent="0.25">
      <c r="A378">
        <v>377</v>
      </c>
      <c r="B378">
        <v>59007601</v>
      </c>
      <c r="C378" t="s">
        <v>928</v>
      </c>
      <c r="D378" t="s">
        <v>17</v>
      </c>
      <c r="E378" t="s">
        <v>287</v>
      </c>
      <c r="F378" t="s">
        <v>288</v>
      </c>
      <c r="H378" t="s">
        <v>3391</v>
      </c>
      <c r="I378" s="5" t="s">
        <v>2901</v>
      </c>
      <c r="J378" t="s">
        <v>1668</v>
      </c>
      <c r="K378" t="s">
        <v>2488</v>
      </c>
      <c r="L378">
        <v>1080</v>
      </c>
      <c r="P378" t="s">
        <v>2494</v>
      </c>
      <c r="Q378">
        <v>2021</v>
      </c>
      <c r="R378">
        <v>1978</v>
      </c>
      <c r="S378" s="1">
        <v>44907</v>
      </c>
      <c r="T378" s="1">
        <v>44857</v>
      </c>
      <c r="U378" t="s">
        <v>16</v>
      </c>
    </row>
    <row r="379" spans="1:21" x14ac:dyDescent="0.25">
      <c r="A379">
        <v>378</v>
      </c>
      <c r="B379">
        <v>53764460</v>
      </c>
      <c r="C379" t="s">
        <v>929</v>
      </c>
      <c r="D379" t="s">
        <v>2697</v>
      </c>
      <c r="E379" t="s">
        <v>921</v>
      </c>
      <c r="F379" t="s">
        <v>922</v>
      </c>
      <c r="G379" t="s">
        <v>2699</v>
      </c>
      <c r="H379" t="s">
        <v>3392</v>
      </c>
      <c r="I379" s="5" t="s">
        <v>2933</v>
      </c>
      <c r="J379" t="s">
        <v>2492</v>
      </c>
      <c r="K379" t="s">
        <v>112</v>
      </c>
      <c r="L379">
        <v>396</v>
      </c>
      <c r="M379">
        <v>0.58819444444444446</v>
      </c>
      <c r="N379">
        <v>14.116666666666667</v>
      </c>
      <c r="O379" t="s">
        <v>4044</v>
      </c>
      <c r="P379" t="s">
        <v>2486</v>
      </c>
      <c r="Q379">
        <v>2020</v>
      </c>
      <c r="R379">
        <v>2019</v>
      </c>
      <c r="S379" s="1">
        <v>44906</v>
      </c>
      <c r="T379" s="1">
        <v>44901</v>
      </c>
      <c r="U379" t="s">
        <v>16</v>
      </c>
    </row>
    <row r="380" spans="1:21" x14ac:dyDescent="0.25">
      <c r="A380">
        <v>379</v>
      </c>
      <c r="B380">
        <v>43465986</v>
      </c>
      <c r="C380" t="s">
        <v>930</v>
      </c>
      <c r="D380" t="s">
        <v>17</v>
      </c>
      <c r="E380" t="s">
        <v>931</v>
      </c>
      <c r="F380" t="s">
        <v>932</v>
      </c>
      <c r="H380" t="s">
        <v>3393</v>
      </c>
      <c r="I380" s="5" t="s">
        <v>2890</v>
      </c>
      <c r="J380" t="s">
        <v>1829</v>
      </c>
      <c r="K380" t="s">
        <v>2488</v>
      </c>
      <c r="L380">
        <v>634</v>
      </c>
      <c r="P380" t="s">
        <v>2494</v>
      </c>
      <c r="Q380">
        <v>2021</v>
      </c>
      <c r="R380">
        <v>2019</v>
      </c>
      <c r="S380" s="1">
        <v>44905</v>
      </c>
      <c r="T380" s="1">
        <v>44901</v>
      </c>
      <c r="U380" t="s">
        <v>16</v>
      </c>
    </row>
    <row r="381" spans="1:21" x14ac:dyDescent="0.25">
      <c r="A381">
        <v>380</v>
      </c>
      <c r="B381">
        <v>11065635</v>
      </c>
      <c r="C381" t="s">
        <v>933</v>
      </c>
      <c r="D381" t="s">
        <v>2698</v>
      </c>
      <c r="E381" t="s">
        <v>921</v>
      </c>
      <c r="F381" t="s">
        <v>922</v>
      </c>
      <c r="G381" t="s">
        <v>2700</v>
      </c>
      <c r="H381" t="s">
        <v>3394</v>
      </c>
      <c r="I381" s="5" t="s">
        <v>2933</v>
      </c>
      <c r="J381" t="s">
        <v>2492</v>
      </c>
      <c r="K381" t="s">
        <v>2488</v>
      </c>
      <c r="L381">
        <v>333</v>
      </c>
      <c r="M381">
        <v>0.49791666666666667</v>
      </c>
      <c r="N381">
        <v>11.95</v>
      </c>
      <c r="O381" t="s">
        <v>4045</v>
      </c>
      <c r="P381" t="s">
        <v>2486</v>
      </c>
      <c r="Q381">
        <v>2017</v>
      </c>
      <c r="R381">
        <v>1985</v>
      </c>
      <c r="S381" s="1">
        <v>44901</v>
      </c>
      <c r="T381" s="1">
        <v>44898</v>
      </c>
      <c r="U381" t="s">
        <v>16</v>
      </c>
    </row>
    <row r="382" spans="1:21" x14ac:dyDescent="0.25">
      <c r="A382">
        <v>381</v>
      </c>
      <c r="B382">
        <v>55679935</v>
      </c>
      <c r="C382" t="s">
        <v>3395</v>
      </c>
      <c r="D382" t="s">
        <v>937</v>
      </c>
      <c r="E382" t="s">
        <v>938</v>
      </c>
      <c r="F382" t="s">
        <v>939</v>
      </c>
      <c r="H382" t="s">
        <v>3396</v>
      </c>
      <c r="I382" s="5" t="s">
        <v>2901</v>
      </c>
      <c r="J382" t="s">
        <v>2097</v>
      </c>
      <c r="K382" t="s">
        <v>2488</v>
      </c>
      <c r="L382">
        <v>245</v>
      </c>
      <c r="P382" t="s">
        <v>2494</v>
      </c>
      <c r="Q382">
        <v>2020</v>
      </c>
      <c r="R382">
        <v>2020</v>
      </c>
      <c r="S382" s="1">
        <v>44879</v>
      </c>
      <c r="T382" s="1">
        <v>44875</v>
      </c>
      <c r="U382" t="s">
        <v>16</v>
      </c>
    </row>
    <row r="383" spans="1:21" x14ac:dyDescent="0.25">
      <c r="A383">
        <v>382</v>
      </c>
      <c r="B383">
        <v>48995209</v>
      </c>
      <c r="C383" t="s">
        <v>940</v>
      </c>
      <c r="D383" t="s">
        <v>17</v>
      </c>
      <c r="E383" t="s">
        <v>941</v>
      </c>
      <c r="F383" t="s">
        <v>942</v>
      </c>
      <c r="H383" t="s">
        <v>3397</v>
      </c>
      <c r="I383" s="5" t="s">
        <v>2901</v>
      </c>
      <c r="J383" t="s">
        <v>1668</v>
      </c>
      <c r="K383" t="s">
        <v>2488</v>
      </c>
      <c r="L383">
        <v>304</v>
      </c>
      <c r="P383" t="s">
        <v>2494</v>
      </c>
      <c r="Q383">
        <v>2019</v>
      </c>
      <c r="R383">
        <v>2014</v>
      </c>
      <c r="S383" s="1">
        <v>44876</v>
      </c>
      <c r="T383" s="1">
        <v>44873</v>
      </c>
      <c r="U383" t="s">
        <v>16</v>
      </c>
    </row>
    <row r="384" spans="1:21" x14ac:dyDescent="0.25">
      <c r="A384">
        <v>383</v>
      </c>
      <c r="B384">
        <v>55688602</v>
      </c>
      <c r="C384" t="s">
        <v>943</v>
      </c>
      <c r="D384" t="s">
        <v>2701</v>
      </c>
      <c r="E384" t="s">
        <v>269</v>
      </c>
      <c r="F384" t="s">
        <v>270</v>
      </c>
      <c r="G384" t="s">
        <v>2622</v>
      </c>
      <c r="H384" t="s">
        <v>3398</v>
      </c>
      <c r="I384" s="5" t="s">
        <v>2901</v>
      </c>
      <c r="J384" t="s">
        <v>2545</v>
      </c>
      <c r="K384" t="s">
        <v>112</v>
      </c>
      <c r="L384">
        <v>560</v>
      </c>
      <c r="M384">
        <v>0.96527777777777779</v>
      </c>
      <c r="N384">
        <v>23.166666666666668</v>
      </c>
      <c r="O384" t="s">
        <v>4046</v>
      </c>
      <c r="P384" t="s">
        <v>2486</v>
      </c>
      <c r="Q384">
        <v>2022</v>
      </c>
      <c r="R384">
        <v>2020</v>
      </c>
      <c r="S384" s="1">
        <v>44876</v>
      </c>
      <c r="T384" s="1">
        <v>44872</v>
      </c>
      <c r="U384" t="s">
        <v>16</v>
      </c>
    </row>
    <row r="385" spans="1:21" x14ac:dyDescent="0.25">
      <c r="A385">
        <v>384</v>
      </c>
      <c r="B385">
        <v>42051908</v>
      </c>
      <c r="C385" t="s">
        <v>944</v>
      </c>
      <c r="D385" t="s">
        <v>17</v>
      </c>
      <c r="E385" t="s">
        <v>941</v>
      </c>
      <c r="F385" t="s">
        <v>942</v>
      </c>
      <c r="H385" t="s">
        <v>3399</v>
      </c>
      <c r="I385" s="5" t="s">
        <v>2890</v>
      </c>
      <c r="J385" t="s">
        <v>1668</v>
      </c>
      <c r="K385" t="s">
        <v>2488</v>
      </c>
      <c r="L385">
        <v>304</v>
      </c>
      <c r="P385" t="s">
        <v>2494</v>
      </c>
      <c r="Q385">
        <v>2018</v>
      </c>
      <c r="R385">
        <v>2017</v>
      </c>
      <c r="S385" s="1">
        <v>44862</v>
      </c>
      <c r="T385" s="1">
        <v>44857</v>
      </c>
      <c r="U385" t="s">
        <v>16</v>
      </c>
    </row>
    <row r="386" spans="1:21" x14ac:dyDescent="0.25">
      <c r="A386">
        <v>385</v>
      </c>
      <c r="B386">
        <v>10098661</v>
      </c>
      <c r="C386" t="s">
        <v>945</v>
      </c>
      <c r="D386" t="s">
        <v>2702</v>
      </c>
      <c r="E386" t="s">
        <v>215</v>
      </c>
      <c r="F386" t="s">
        <v>216</v>
      </c>
      <c r="G386" t="s">
        <v>2587</v>
      </c>
      <c r="H386" t="s">
        <v>3400</v>
      </c>
      <c r="I386" s="5" t="s">
        <v>2890</v>
      </c>
      <c r="J386" t="s">
        <v>2532</v>
      </c>
      <c r="K386" t="s">
        <v>112</v>
      </c>
      <c r="L386">
        <v>404</v>
      </c>
      <c r="M386">
        <v>0.76111111111111107</v>
      </c>
      <c r="N386">
        <v>18.266666666666666</v>
      </c>
      <c r="O386" t="s">
        <v>4047</v>
      </c>
      <c r="P386" t="s">
        <v>2494</v>
      </c>
      <c r="Q386">
        <v>2015</v>
      </c>
      <c r="R386">
        <v>2005</v>
      </c>
      <c r="S386" s="1">
        <v>44859</v>
      </c>
      <c r="T386" s="1">
        <v>44856</v>
      </c>
      <c r="U386" t="s">
        <v>16</v>
      </c>
    </row>
    <row r="387" spans="1:21" x14ac:dyDescent="0.25">
      <c r="A387">
        <v>386</v>
      </c>
      <c r="B387">
        <v>37545283</v>
      </c>
      <c r="C387" t="s">
        <v>946</v>
      </c>
      <c r="D387" t="s">
        <v>17</v>
      </c>
      <c r="E387" t="s">
        <v>947</v>
      </c>
      <c r="F387" t="s">
        <v>948</v>
      </c>
      <c r="H387" t="s">
        <v>3401</v>
      </c>
      <c r="I387" s="5" t="s">
        <v>2890</v>
      </c>
      <c r="J387" t="s">
        <v>1789</v>
      </c>
      <c r="K387" t="s">
        <v>2488</v>
      </c>
      <c r="L387">
        <v>360</v>
      </c>
      <c r="P387" t="s">
        <v>2494</v>
      </c>
      <c r="Q387">
        <v>2017</v>
      </c>
      <c r="R387">
        <v>2011</v>
      </c>
      <c r="S387" s="1">
        <v>44856</v>
      </c>
      <c r="T387" s="1">
        <v>44855</v>
      </c>
      <c r="U387" t="s">
        <v>16</v>
      </c>
    </row>
    <row r="388" spans="1:21" x14ac:dyDescent="0.25">
      <c r="A388">
        <v>387</v>
      </c>
      <c r="B388">
        <v>55128558</v>
      </c>
      <c r="C388" t="s">
        <v>3402</v>
      </c>
      <c r="D388" t="s">
        <v>950</v>
      </c>
      <c r="E388" t="s">
        <v>616</v>
      </c>
      <c r="F388" t="s">
        <v>617</v>
      </c>
      <c r="H388" t="s">
        <v>3403</v>
      </c>
      <c r="I388" s="5" t="s">
        <v>2890</v>
      </c>
      <c r="J388" t="s">
        <v>1723</v>
      </c>
      <c r="K388" t="s">
        <v>2488</v>
      </c>
      <c r="L388">
        <v>312</v>
      </c>
      <c r="P388" t="s">
        <v>2494</v>
      </c>
      <c r="Q388">
        <v>2020</v>
      </c>
      <c r="R388">
        <v>2019</v>
      </c>
      <c r="S388" s="1">
        <v>44855</v>
      </c>
      <c r="T388" s="1">
        <v>44846</v>
      </c>
      <c r="U388" t="s">
        <v>16</v>
      </c>
    </row>
    <row r="389" spans="1:21" x14ac:dyDescent="0.25">
      <c r="A389">
        <v>388</v>
      </c>
      <c r="B389">
        <v>923949</v>
      </c>
      <c r="C389" t="s">
        <v>2703</v>
      </c>
      <c r="D389" t="s">
        <v>17</v>
      </c>
      <c r="E389" t="s">
        <v>951</v>
      </c>
      <c r="F389" t="s">
        <v>952</v>
      </c>
      <c r="H389" t="s">
        <v>3404</v>
      </c>
      <c r="I389" s="5" t="s">
        <v>2917</v>
      </c>
      <c r="J389" t="s">
        <v>1770</v>
      </c>
      <c r="K389" t="s">
        <v>2488</v>
      </c>
      <c r="L389">
        <v>365</v>
      </c>
      <c r="P389" t="s">
        <v>2494</v>
      </c>
      <c r="Q389">
        <v>2002</v>
      </c>
      <c r="R389">
        <v>2002</v>
      </c>
      <c r="S389" s="1">
        <v>44851</v>
      </c>
      <c r="T389" s="1">
        <v>44774</v>
      </c>
      <c r="U389" t="s">
        <v>16</v>
      </c>
    </row>
    <row r="390" spans="1:21" x14ac:dyDescent="0.25">
      <c r="A390">
        <v>389</v>
      </c>
      <c r="B390">
        <v>6415094</v>
      </c>
      <c r="C390" t="s">
        <v>953</v>
      </c>
      <c r="D390" t="s">
        <v>17</v>
      </c>
      <c r="E390" t="s">
        <v>722</v>
      </c>
      <c r="F390" t="s">
        <v>723</v>
      </c>
      <c r="G390" t="s">
        <v>2680</v>
      </c>
      <c r="H390" t="s">
        <v>3405</v>
      </c>
      <c r="I390" s="5" t="s">
        <v>2917</v>
      </c>
      <c r="J390" t="s">
        <v>2658</v>
      </c>
      <c r="K390" t="s">
        <v>112</v>
      </c>
      <c r="L390">
        <v>438</v>
      </c>
      <c r="P390" t="s">
        <v>2486</v>
      </c>
      <c r="Q390">
        <v>2021</v>
      </c>
      <c r="R390">
        <v>1961</v>
      </c>
      <c r="S390" s="1">
        <v>44851</v>
      </c>
      <c r="T390" s="1">
        <v>44839</v>
      </c>
      <c r="U390" t="s">
        <v>16</v>
      </c>
    </row>
    <row r="391" spans="1:21" x14ac:dyDescent="0.25">
      <c r="A391">
        <v>390</v>
      </c>
      <c r="B391">
        <v>53959432</v>
      </c>
      <c r="C391" t="s">
        <v>2704</v>
      </c>
      <c r="D391" t="s">
        <v>2705</v>
      </c>
      <c r="E391" t="s">
        <v>954</v>
      </c>
      <c r="F391" t="s">
        <v>955</v>
      </c>
      <c r="H391" t="s">
        <v>3406</v>
      </c>
      <c r="I391" s="5" t="s">
        <v>2890</v>
      </c>
      <c r="J391" t="s">
        <v>1770</v>
      </c>
      <c r="K391" t="s">
        <v>57</v>
      </c>
      <c r="L391">
        <v>334</v>
      </c>
      <c r="P391" t="s">
        <v>2486</v>
      </c>
      <c r="Q391">
        <v>2021</v>
      </c>
      <c r="R391">
        <v>2020</v>
      </c>
      <c r="S391" s="1">
        <v>44842</v>
      </c>
      <c r="T391" s="1">
        <v>44825</v>
      </c>
      <c r="U391" t="s">
        <v>16</v>
      </c>
    </row>
    <row r="392" spans="1:21" x14ac:dyDescent="0.25">
      <c r="A392">
        <v>391</v>
      </c>
      <c r="B392">
        <v>22285502</v>
      </c>
      <c r="C392" t="s">
        <v>956</v>
      </c>
      <c r="D392" t="s">
        <v>2706</v>
      </c>
      <c r="E392" t="s">
        <v>849</v>
      </c>
      <c r="F392" t="s">
        <v>850</v>
      </c>
      <c r="G392" t="s">
        <v>2680</v>
      </c>
      <c r="H392" t="s">
        <v>3407</v>
      </c>
      <c r="I392" s="5" t="s">
        <v>2890</v>
      </c>
      <c r="J392" t="s">
        <v>2658</v>
      </c>
      <c r="K392" t="s">
        <v>112</v>
      </c>
      <c r="L392">
        <v>328</v>
      </c>
      <c r="M392">
        <v>0.41805555555555557</v>
      </c>
      <c r="N392">
        <v>10.033333333333333</v>
      </c>
      <c r="O392" t="s">
        <v>4048</v>
      </c>
      <c r="P392" t="s">
        <v>2486</v>
      </c>
      <c r="Q392">
        <v>2022</v>
      </c>
      <c r="R392">
        <v>1990</v>
      </c>
      <c r="S392" s="1">
        <v>44836</v>
      </c>
      <c r="T392" s="1">
        <v>44833</v>
      </c>
      <c r="U392" t="s">
        <v>16</v>
      </c>
    </row>
    <row r="393" spans="1:21" x14ac:dyDescent="0.25">
      <c r="A393">
        <v>392</v>
      </c>
      <c r="B393">
        <v>60536926</v>
      </c>
      <c r="C393" t="s">
        <v>3408</v>
      </c>
      <c r="D393" t="s">
        <v>958</v>
      </c>
      <c r="E393" t="s">
        <v>552</v>
      </c>
      <c r="F393" t="s">
        <v>553</v>
      </c>
      <c r="G393" t="s">
        <v>2707</v>
      </c>
      <c r="H393" t="s">
        <v>3409</v>
      </c>
      <c r="I393" s="5" t="s">
        <v>2890</v>
      </c>
      <c r="J393" t="s">
        <v>2545</v>
      </c>
      <c r="K393" t="s">
        <v>112</v>
      </c>
      <c r="L393">
        <v>392</v>
      </c>
      <c r="M393">
        <v>0.52986111111111112</v>
      </c>
      <c r="N393">
        <v>12.716666666666667</v>
      </c>
      <c r="O393" t="s">
        <v>4049</v>
      </c>
      <c r="P393" t="s">
        <v>2486</v>
      </c>
      <c r="Q393">
        <v>2022</v>
      </c>
      <c r="R393">
        <v>2021</v>
      </c>
      <c r="S393" s="1">
        <v>44810</v>
      </c>
      <c r="T393" s="1">
        <v>44806</v>
      </c>
      <c r="U393" t="s">
        <v>16</v>
      </c>
    </row>
    <row r="394" spans="1:21" x14ac:dyDescent="0.25">
      <c r="A394">
        <v>393</v>
      </c>
      <c r="B394">
        <v>6496786</v>
      </c>
      <c r="C394" t="s">
        <v>3410</v>
      </c>
      <c r="D394" t="s">
        <v>960</v>
      </c>
      <c r="E394" t="s">
        <v>174</v>
      </c>
      <c r="F394" t="s">
        <v>175</v>
      </c>
      <c r="H394" t="s">
        <v>3411</v>
      </c>
      <c r="I394" s="5" t="s">
        <v>2917</v>
      </c>
      <c r="J394" t="s">
        <v>1670</v>
      </c>
      <c r="K394" t="s">
        <v>57</v>
      </c>
      <c r="L394">
        <v>345</v>
      </c>
      <c r="P394" t="s">
        <v>2486</v>
      </c>
      <c r="Q394">
        <v>1997</v>
      </c>
      <c r="R394">
        <v>1988</v>
      </c>
      <c r="S394" s="1">
        <v>44831</v>
      </c>
      <c r="T394" s="1">
        <v>44817</v>
      </c>
      <c r="U394" t="s">
        <v>16</v>
      </c>
    </row>
    <row r="395" spans="1:21" x14ac:dyDescent="0.25">
      <c r="A395">
        <v>394</v>
      </c>
      <c r="B395">
        <v>61091152</v>
      </c>
      <c r="C395" t="s">
        <v>3412</v>
      </c>
      <c r="D395" t="s">
        <v>2708</v>
      </c>
      <c r="E395" t="s">
        <v>280</v>
      </c>
      <c r="F395" t="s">
        <v>281</v>
      </c>
      <c r="G395" t="s">
        <v>2710</v>
      </c>
      <c r="H395" t="s">
        <v>3413</v>
      </c>
      <c r="I395" s="5" t="s">
        <v>2890</v>
      </c>
      <c r="J395" t="s">
        <v>2492</v>
      </c>
      <c r="K395" t="s">
        <v>112</v>
      </c>
      <c r="L395">
        <v>452</v>
      </c>
      <c r="M395">
        <v>0.60833333333333328</v>
      </c>
      <c r="N395">
        <v>14.599999999999998</v>
      </c>
      <c r="O395" t="s">
        <v>4050</v>
      </c>
      <c r="P395" t="s">
        <v>2486</v>
      </c>
      <c r="Q395">
        <v>2022</v>
      </c>
      <c r="R395">
        <v>2022</v>
      </c>
      <c r="S395" s="1">
        <v>44829</v>
      </c>
      <c r="T395" s="1">
        <v>44794</v>
      </c>
      <c r="U395" t="s">
        <v>16</v>
      </c>
    </row>
    <row r="396" spans="1:21" x14ac:dyDescent="0.25">
      <c r="A396">
        <v>395</v>
      </c>
      <c r="B396">
        <v>23336416</v>
      </c>
      <c r="C396" t="s">
        <v>3414</v>
      </c>
      <c r="D396" t="s">
        <v>963</v>
      </c>
      <c r="E396" t="s">
        <v>280</v>
      </c>
      <c r="F396" t="s">
        <v>281</v>
      </c>
      <c r="G396" t="s">
        <v>2709</v>
      </c>
      <c r="H396" t="s">
        <v>3415</v>
      </c>
      <c r="I396" s="5" t="s">
        <v>2890</v>
      </c>
      <c r="J396" t="s">
        <v>2492</v>
      </c>
      <c r="K396" t="s">
        <v>112</v>
      </c>
      <c r="L396">
        <v>344</v>
      </c>
      <c r="M396">
        <v>0.45277777777777778</v>
      </c>
      <c r="N396">
        <v>10.866666666666667</v>
      </c>
      <c r="O396" t="s">
        <v>4051</v>
      </c>
      <c r="P396" t="s">
        <v>2486</v>
      </c>
      <c r="Q396">
        <v>2015</v>
      </c>
      <c r="R396">
        <v>2012</v>
      </c>
      <c r="S396" s="1">
        <v>44816</v>
      </c>
      <c r="T396" s="1">
        <v>44815</v>
      </c>
      <c r="U396" t="s">
        <v>16</v>
      </c>
    </row>
    <row r="397" spans="1:21" x14ac:dyDescent="0.25">
      <c r="A397">
        <v>396</v>
      </c>
      <c r="B397">
        <v>29455680</v>
      </c>
      <c r="C397" t="s">
        <v>964</v>
      </c>
      <c r="D397" t="s">
        <v>17</v>
      </c>
      <c r="E397" t="s">
        <v>965</v>
      </c>
      <c r="F397" t="s">
        <v>966</v>
      </c>
      <c r="H397" t="s">
        <v>3416</v>
      </c>
      <c r="I397" s="5" t="s">
        <v>2901</v>
      </c>
      <c r="J397" t="s">
        <v>1668</v>
      </c>
      <c r="K397" t="s">
        <v>2488</v>
      </c>
      <c r="L397">
        <v>384</v>
      </c>
      <c r="P397" t="s">
        <v>2494</v>
      </c>
      <c r="Q397">
        <v>2016</v>
      </c>
      <c r="R397">
        <v>2015</v>
      </c>
      <c r="S397" s="1">
        <v>44815</v>
      </c>
      <c r="T397" s="1">
        <v>44813</v>
      </c>
      <c r="U397" t="s">
        <v>16</v>
      </c>
    </row>
    <row r="398" spans="1:21" x14ac:dyDescent="0.25">
      <c r="A398">
        <v>397</v>
      </c>
      <c r="B398">
        <v>21421192</v>
      </c>
      <c r="C398" t="s">
        <v>3417</v>
      </c>
      <c r="D398" t="s">
        <v>968</v>
      </c>
      <c r="E398" t="s">
        <v>280</v>
      </c>
      <c r="F398" t="s">
        <v>281</v>
      </c>
      <c r="G398" t="s">
        <v>2709</v>
      </c>
      <c r="H398" t="s">
        <v>3418</v>
      </c>
      <c r="I398" s="5" t="s">
        <v>2890</v>
      </c>
      <c r="J398" t="s">
        <v>2492</v>
      </c>
      <c r="K398" t="s">
        <v>112</v>
      </c>
      <c r="L398">
        <v>352</v>
      </c>
      <c r="M398">
        <v>0.47847222222222224</v>
      </c>
      <c r="N398">
        <v>11.483333333333334</v>
      </c>
      <c r="O398" t="s">
        <v>3956</v>
      </c>
      <c r="P398" t="s">
        <v>2486</v>
      </c>
      <c r="Q398">
        <v>2014</v>
      </c>
      <c r="R398">
        <v>2011</v>
      </c>
      <c r="S398" s="1">
        <v>44811</v>
      </c>
      <c r="T398" s="1">
        <v>44809</v>
      </c>
      <c r="U398" t="s">
        <v>16</v>
      </c>
    </row>
    <row r="399" spans="1:21" x14ac:dyDescent="0.25">
      <c r="A399">
        <v>398</v>
      </c>
      <c r="B399">
        <v>17827992</v>
      </c>
      <c r="C399" t="s">
        <v>3419</v>
      </c>
      <c r="D399" t="s">
        <v>972</v>
      </c>
      <c r="E399" t="s">
        <v>280</v>
      </c>
      <c r="F399" t="s">
        <v>281</v>
      </c>
      <c r="G399" t="s">
        <v>2709</v>
      </c>
      <c r="H399" t="s">
        <v>3420</v>
      </c>
      <c r="I399" s="5" t="s">
        <v>2890</v>
      </c>
      <c r="J399" t="s">
        <v>2492</v>
      </c>
      <c r="K399" t="s">
        <v>112</v>
      </c>
      <c r="L399">
        <v>392</v>
      </c>
      <c r="M399">
        <v>0.57152777777777775</v>
      </c>
      <c r="N399">
        <v>13.716666666666665</v>
      </c>
      <c r="O399" t="s">
        <v>4052</v>
      </c>
      <c r="P399" t="s">
        <v>2486</v>
      </c>
      <c r="Q399">
        <v>2013</v>
      </c>
      <c r="R399">
        <v>2009</v>
      </c>
      <c r="S399" s="1">
        <v>44806</v>
      </c>
      <c r="T399" s="1">
        <v>44803</v>
      </c>
      <c r="U399" t="s">
        <v>16</v>
      </c>
    </row>
    <row r="400" spans="1:21" x14ac:dyDescent="0.25">
      <c r="A400">
        <v>399</v>
      </c>
      <c r="B400">
        <v>17410813</v>
      </c>
      <c r="C400" t="s">
        <v>973</v>
      </c>
      <c r="D400" t="s">
        <v>17</v>
      </c>
      <c r="E400" t="s">
        <v>62</v>
      </c>
      <c r="F400" t="s">
        <v>63</v>
      </c>
      <c r="H400" t="s">
        <v>3421</v>
      </c>
      <c r="I400" s="5" t="s">
        <v>2890</v>
      </c>
      <c r="J400" t="s">
        <v>1668</v>
      </c>
      <c r="K400" t="s">
        <v>2488</v>
      </c>
      <c r="L400">
        <v>188</v>
      </c>
      <c r="P400" t="s">
        <v>2494</v>
      </c>
      <c r="Q400">
        <v>2011</v>
      </c>
      <c r="R400">
        <v>2011</v>
      </c>
      <c r="S400" s="1">
        <v>44806</v>
      </c>
      <c r="T400" s="1">
        <v>44805</v>
      </c>
      <c r="U400" t="s">
        <v>16</v>
      </c>
    </row>
    <row r="401" spans="1:21" x14ac:dyDescent="0.25">
      <c r="A401">
        <v>400</v>
      </c>
      <c r="B401">
        <v>17410824</v>
      </c>
      <c r="C401" t="s">
        <v>974</v>
      </c>
      <c r="D401" t="s">
        <v>17</v>
      </c>
      <c r="E401" t="s">
        <v>62</v>
      </c>
      <c r="F401" t="s">
        <v>63</v>
      </c>
      <c r="H401" t="s">
        <v>3422</v>
      </c>
      <c r="I401" s="5" t="s">
        <v>2890</v>
      </c>
      <c r="J401" t="s">
        <v>1668</v>
      </c>
      <c r="K401" t="s">
        <v>2488</v>
      </c>
      <c r="L401">
        <v>232</v>
      </c>
      <c r="P401" t="s">
        <v>2494</v>
      </c>
      <c r="Q401">
        <v>2011</v>
      </c>
      <c r="R401">
        <v>2011</v>
      </c>
      <c r="S401" s="1">
        <v>44804</v>
      </c>
      <c r="T401" s="1">
        <v>44799</v>
      </c>
      <c r="U401" t="s">
        <v>16</v>
      </c>
    </row>
    <row r="402" spans="1:21" x14ac:dyDescent="0.25">
      <c r="A402">
        <v>401</v>
      </c>
      <c r="B402">
        <v>18323800</v>
      </c>
      <c r="C402" t="s">
        <v>975</v>
      </c>
      <c r="D402" t="s">
        <v>17</v>
      </c>
      <c r="E402" t="s">
        <v>364</v>
      </c>
      <c r="F402" t="s">
        <v>365</v>
      </c>
      <c r="G402" t="s">
        <v>2711</v>
      </c>
      <c r="H402" t="s">
        <v>3423</v>
      </c>
      <c r="I402" s="5" t="s">
        <v>2890</v>
      </c>
      <c r="J402" t="s">
        <v>2712</v>
      </c>
      <c r="K402" t="s">
        <v>112</v>
      </c>
      <c r="L402">
        <v>186</v>
      </c>
      <c r="M402">
        <v>0.33333333333333331</v>
      </c>
      <c r="N402">
        <v>8</v>
      </c>
      <c r="O402" t="s">
        <v>3904</v>
      </c>
      <c r="P402" t="s">
        <v>2486</v>
      </c>
      <c r="Q402">
        <v>2019</v>
      </c>
      <c r="R402">
        <v>2002</v>
      </c>
      <c r="S402" s="1">
        <v>44801</v>
      </c>
      <c r="T402" s="1">
        <v>44800</v>
      </c>
      <c r="U402" t="s">
        <v>16</v>
      </c>
    </row>
    <row r="403" spans="1:21" x14ac:dyDescent="0.25">
      <c r="A403">
        <v>402</v>
      </c>
      <c r="B403">
        <v>597038</v>
      </c>
      <c r="C403" t="s">
        <v>3424</v>
      </c>
      <c r="D403" t="s">
        <v>977</v>
      </c>
      <c r="E403" t="s">
        <v>174</v>
      </c>
      <c r="F403" t="s">
        <v>175</v>
      </c>
      <c r="H403" t="s">
        <v>3425</v>
      </c>
      <c r="I403" s="5" t="s">
        <v>2890</v>
      </c>
      <c r="J403" t="s">
        <v>1670</v>
      </c>
      <c r="K403" t="s">
        <v>57</v>
      </c>
      <c r="L403">
        <v>287</v>
      </c>
      <c r="P403" t="s">
        <v>2486</v>
      </c>
      <c r="Q403">
        <v>2009</v>
      </c>
      <c r="R403">
        <v>1987</v>
      </c>
      <c r="S403" s="1">
        <v>44800</v>
      </c>
      <c r="T403" s="1">
        <v>44799</v>
      </c>
      <c r="U403" t="s">
        <v>16</v>
      </c>
    </row>
    <row r="404" spans="1:21" x14ac:dyDescent="0.25">
      <c r="A404">
        <v>403</v>
      </c>
      <c r="B404">
        <v>42406860</v>
      </c>
      <c r="C404" t="s">
        <v>978</v>
      </c>
      <c r="D404" t="s">
        <v>17</v>
      </c>
      <c r="E404" t="s">
        <v>364</v>
      </c>
      <c r="F404" t="s">
        <v>365</v>
      </c>
      <c r="H404" t="s">
        <v>3426</v>
      </c>
      <c r="I404" s="5" t="s">
        <v>3006</v>
      </c>
      <c r="J404" t="s">
        <v>2121</v>
      </c>
      <c r="K404" t="s">
        <v>57</v>
      </c>
      <c r="L404">
        <v>208</v>
      </c>
      <c r="P404" t="s">
        <v>2486</v>
      </c>
      <c r="Q404">
        <v>2018</v>
      </c>
      <c r="R404">
        <v>1992</v>
      </c>
      <c r="S404" s="1">
        <v>44799</v>
      </c>
      <c r="T404" s="1">
        <v>44798</v>
      </c>
      <c r="U404" t="s">
        <v>16</v>
      </c>
    </row>
    <row r="405" spans="1:21" x14ac:dyDescent="0.25">
      <c r="A405">
        <v>404</v>
      </c>
      <c r="B405">
        <v>55887410</v>
      </c>
      <c r="C405" t="s">
        <v>3427</v>
      </c>
      <c r="D405" t="s">
        <v>980</v>
      </c>
      <c r="E405" t="s">
        <v>280</v>
      </c>
      <c r="F405" t="s">
        <v>281</v>
      </c>
      <c r="G405" t="s">
        <v>2710</v>
      </c>
      <c r="H405" t="s">
        <v>3428</v>
      </c>
      <c r="I405" s="5" t="s">
        <v>2890</v>
      </c>
      <c r="J405" t="s">
        <v>2492</v>
      </c>
      <c r="K405" t="s">
        <v>112</v>
      </c>
      <c r="L405">
        <v>328</v>
      </c>
      <c r="M405">
        <v>0.46111111111111114</v>
      </c>
      <c r="N405">
        <v>11.066666666666666</v>
      </c>
      <c r="O405" t="s">
        <v>3934</v>
      </c>
      <c r="P405" t="s">
        <v>2486</v>
      </c>
      <c r="Q405">
        <v>2020</v>
      </c>
      <c r="R405">
        <v>2017</v>
      </c>
      <c r="S405" s="1">
        <v>44798</v>
      </c>
      <c r="T405" s="1">
        <v>44794</v>
      </c>
      <c r="U405" t="s">
        <v>16</v>
      </c>
    </row>
    <row r="406" spans="1:21" x14ac:dyDescent="0.25">
      <c r="A406">
        <v>405</v>
      </c>
      <c r="B406">
        <v>17253574</v>
      </c>
      <c r="C406" t="s">
        <v>981</v>
      </c>
      <c r="D406" t="s">
        <v>17</v>
      </c>
      <c r="E406" t="s">
        <v>62</v>
      </c>
      <c r="F406" t="s">
        <v>63</v>
      </c>
      <c r="H406" t="s">
        <v>3429</v>
      </c>
      <c r="I406" s="5" t="s">
        <v>2901</v>
      </c>
      <c r="J406" t="s">
        <v>1668</v>
      </c>
      <c r="K406" t="s">
        <v>2488</v>
      </c>
      <c r="L406">
        <v>328</v>
      </c>
      <c r="P406" t="s">
        <v>2494</v>
      </c>
      <c r="Q406">
        <v>2010</v>
      </c>
      <c r="R406">
        <v>2010</v>
      </c>
      <c r="S406" s="1">
        <v>44795</v>
      </c>
      <c r="T406" s="1">
        <v>44699</v>
      </c>
      <c r="U406" t="s">
        <v>16</v>
      </c>
    </row>
    <row r="407" spans="1:21" x14ac:dyDescent="0.25">
      <c r="A407">
        <v>406</v>
      </c>
      <c r="B407">
        <v>41835824</v>
      </c>
      <c r="C407" t="s">
        <v>3430</v>
      </c>
      <c r="D407" t="s">
        <v>983</v>
      </c>
      <c r="E407" t="s">
        <v>280</v>
      </c>
      <c r="F407" t="s">
        <v>281</v>
      </c>
      <c r="G407" t="s">
        <v>2710</v>
      </c>
      <c r="H407" t="s">
        <v>3431</v>
      </c>
      <c r="I407" s="5" t="s">
        <v>2890</v>
      </c>
      <c r="J407" t="s">
        <v>2492</v>
      </c>
      <c r="K407" t="s">
        <v>112</v>
      </c>
      <c r="L407">
        <v>303</v>
      </c>
      <c r="M407">
        <v>0.38958333333333334</v>
      </c>
      <c r="N407">
        <v>9.35</v>
      </c>
      <c r="O407" t="s">
        <v>4053</v>
      </c>
      <c r="P407" t="s">
        <v>2486</v>
      </c>
      <c r="Q407">
        <v>2020</v>
      </c>
      <c r="R407">
        <v>2010</v>
      </c>
      <c r="S407" s="1">
        <v>44794</v>
      </c>
      <c r="T407" s="1">
        <v>44793</v>
      </c>
      <c r="U407" t="s">
        <v>16</v>
      </c>
    </row>
    <row r="408" spans="1:21" x14ac:dyDescent="0.25">
      <c r="A408">
        <v>407</v>
      </c>
      <c r="B408">
        <v>36572273</v>
      </c>
      <c r="C408" t="s">
        <v>3432</v>
      </c>
      <c r="D408" t="s">
        <v>985</v>
      </c>
      <c r="E408" t="s">
        <v>280</v>
      </c>
      <c r="F408" t="s">
        <v>281</v>
      </c>
      <c r="G408" t="s">
        <v>2710</v>
      </c>
      <c r="H408" t="s">
        <v>3433</v>
      </c>
      <c r="I408" s="5" t="s">
        <v>2890</v>
      </c>
      <c r="J408" t="s">
        <v>2492</v>
      </c>
      <c r="K408" t="s">
        <v>112</v>
      </c>
      <c r="L408">
        <v>390</v>
      </c>
      <c r="M408">
        <v>0.42152777777777778</v>
      </c>
      <c r="N408">
        <v>10.116666666666667</v>
      </c>
      <c r="O408" t="s">
        <v>3907</v>
      </c>
      <c r="P408" t="s">
        <v>2486</v>
      </c>
      <c r="Q408">
        <v>2019</v>
      </c>
      <c r="R408">
        <v>2017</v>
      </c>
      <c r="S408" s="1">
        <v>44791</v>
      </c>
      <c r="T408" s="1">
        <v>44787</v>
      </c>
      <c r="U408" t="s">
        <v>16</v>
      </c>
    </row>
    <row r="409" spans="1:21" x14ac:dyDescent="0.25">
      <c r="A409">
        <v>408</v>
      </c>
      <c r="B409">
        <v>23787900</v>
      </c>
      <c r="C409" t="s">
        <v>2713</v>
      </c>
      <c r="D409" t="s">
        <v>17</v>
      </c>
      <c r="E409" t="s">
        <v>986</v>
      </c>
      <c r="F409" t="s">
        <v>987</v>
      </c>
      <c r="H409" t="s">
        <v>3434</v>
      </c>
      <c r="I409" s="5" t="s">
        <v>2890</v>
      </c>
      <c r="J409" t="s">
        <v>2189</v>
      </c>
      <c r="K409" t="s">
        <v>2488</v>
      </c>
      <c r="L409">
        <v>208</v>
      </c>
      <c r="P409" t="s">
        <v>2494</v>
      </c>
      <c r="Q409">
        <v>2015</v>
      </c>
      <c r="R409">
        <v>2014</v>
      </c>
      <c r="S409" s="1">
        <v>44790</v>
      </c>
      <c r="T409" s="1">
        <v>44787</v>
      </c>
      <c r="U409" t="s">
        <v>16</v>
      </c>
    </row>
    <row r="410" spans="1:21" x14ac:dyDescent="0.25">
      <c r="A410">
        <v>409</v>
      </c>
      <c r="B410">
        <v>58203248</v>
      </c>
      <c r="C410" t="s">
        <v>988</v>
      </c>
      <c r="D410" t="s">
        <v>17</v>
      </c>
      <c r="E410" t="s">
        <v>989</v>
      </c>
      <c r="F410" t="s">
        <v>990</v>
      </c>
      <c r="H410" t="s">
        <v>3435</v>
      </c>
      <c r="I410" s="5" t="s">
        <v>2890</v>
      </c>
      <c r="J410" t="s">
        <v>2128</v>
      </c>
      <c r="K410" t="s">
        <v>2488</v>
      </c>
      <c r="L410">
        <v>216</v>
      </c>
      <c r="P410" t="s">
        <v>2486</v>
      </c>
      <c r="Q410">
        <v>2021</v>
      </c>
      <c r="R410">
        <v>2021</v>
      </c>
      <c r="S410" s="1">
        <v>44786</v>
      </c>
      <c r="T410" s="1">
        <v>44785</v>
      </c>
      <c r="U410" t="s">
        <v>16</v>
      </c>
    </row>
    <row r="411" spans="1:21" x14ac:dyDescent="0.25">
      <c r="A411">
        <v>410</v>
      </c>
      <c r="B411">
        <v>34328716</v>
      </c>
      <c r="C411" t="s">
        <v>3436</v>
      </c>
      <c r="D411" t="s">
        <v>992</v>
      </c>
      <c r="E411" t="s">
        <v>280</v>
      </c>
      <c r="F411" t="s">
        <v>281</v>
      </c>
      <c r="G411" t="s">
        <v>2710</v>
      </c>
      <c r="H411" t="s">
        <v>3437</v>
      </c>
      <c r="I411" s="5" t="s">
        <v>2890</v>
      </c>
      <c r="J411" t="s">
        <v>2492</v>
      </c>
      <c r="K411" t="s">
        <v>112</v>
      </c>
      <c r="L411">
        <v>341</v>
      </c>
      <c r="M411">
        <v>0.42083333333333334</v>
      </c>
      <c r="N411">
        <v>10.1</v>
      </c>
      <c r="O411" t="s">
        <v>4054</v>
      </c>
      <c r="P411" t="s">
        <v>2486</v>
      </c>
      <c r="Q411">
        <v>2018</v>
      </c>
      <c r="R411">
        <v>2008</v>
      </c>
      <c r="S411" s="1">
        <v>44785</v>
      </c>
      <c r="T411" s="1">
        <v>44785</v>
      </c>
      <c r="U411" t="s">
        <v>16</v>
      </c>
    </row>
    <row r="412" spans="1:21" x14ac:dyDescent="0.25">
      <c r="A412">
        <v>411</v>
      </c>
      <c r="B412">
        <v>30090072</v>
      </c>
      <c r="C412" t="s">
        <v>3438</v>
      </c>
      <c r="D412" t="s">
        <v>2714</v>
      </c>
      <c r="E412" t="s">
        <v>280</v>
      </c>
      <c r="F412" t="s">
        <v>281</v>
      </c>
      <c r="G412" t="s">
        <v>2710</v>
      </c>
      <c r="H412" t="s">
        <v>3439</v>
      </c>
      <c r="I412" s="5" t="s">
        <v>2890</v>
      </c>
      <c r="J412" t="s">
        <v>2492</v>
      </c>
      <c r="K412" t="s">
        <v>112</v>
      </c>
      <c r="L412">
        <v>312</v>
      </c>
      <c r="M412">
        <v>0.42083333333333334</v>
      </c>
      <c r="N412">
        <v>10.1</v>
      </c>
      <c r="O412" t="s">
        <v>4054</v>
      </c>
      <c r="P412" t="s">
        <v>2486</v>
      </c>
      <c r="Q412">
        <v>2016</v>
      </c>
      <c r="R412">
        <v>2007</v>
      </c>
      <c r="S412" s="1">
        <v>44783</v>
      </c>
      <c r="T412" s="1">
        <v>44783</v>
      </c>
      <c r="U412" t="s">
        <v>16</v>
      </c>
    </row>
    <row r="413" spans="1:21" x14ac:dyDescent="0.25">
      <c r="A413">
        <v>412</v>
      </c>
      <c r="B413">
        <v>43790496</v>
      </c>
      <c r="C413" t="s">
        <v>3440</v>
      </c>
      <c r="D413" t="s">
        <v>995</v>
      </c>
      <c r="E413" t="s">
        <v>996</v>
      </c>
      <c r="F413" t="s">
        <v>997</v>
      </c>
      <c r="H413" t="s">
        <v>3441</v>
      </c>
      <c r="I413" s="5" t="s">
        <v>2901</v>
      </c>
      <c r="J413" t="s">
        <v>1878</v>
      </c>
      <c r="K413" t="s">
        <v>57</v>
      </c>
      <c r="L413">
        <v>384</v>
      </c>
      <c r="P413" t="s">
        <v>2486</v>
      </c>
      <c r="Q413">
        <v>2019</v>
      </c>
      <c r="R413">
        <v>2019</v>
      </c>
      <c r="S413" s="1">
        <v>44783</v>
      </c>
      <c r="T413" s="1">
        <v>44779</v>
      </c>
      <c r="U413" t="s">
        <v>16</v>
      </c>
    </row>
    <row r="414" spans="1:21" x14ac:dyDescent="0.25">
      <c r="A414">
        <v>413</v>
      </c>
      <c r="B414">
        <v>36486058</v>
      </c>
      <c r="C414" t="s">
        <v>3442</v>
      </c>
      <c r="D414" t="s">
        <v>999</v>
      </c>
      <c r="E414" t="s">
        <v>996</v>
      </c>
      <c r="F414" t="s">
        <v>997</v>
      </c>
      <c r="H414" t="s">
        <v>3443</v>
      </c>
      <c r="I414" s="5" t="s">
        <v>2901</v>
      </c>
      <c r="J414" t="s">
        <v>1878</v>
      </c>
      <c r="K414" t="s">
        <v>57</v>
      </c>
      <c r="L414">
        <v>320</v>
      </c>
      <c r="P414" t="s">
        <v>2486</v>
      </c>
      <c r="Q414">
        <v>2017</v>
      </c>
      <c r="R414">
        <v>2017</v>
      </c>
      <c r="S414" s="1">
        <v>44778</v>
      </c>
      <c r="T414" s="1">
        <v>44776</v>
      </c>
      <c r="U414" t="s">
        <v>16</v>
      </c>
    </row>
    <row r="415" spans="1:21" x14ac:dyDescent="0.25">
      <c r="A415">
        <v>414</v>
      </c>
      <c r="B415">
        <v>26081878</v>
      </c>
      <c r="C415" t="s">
        <v>3444</v>
      </c>
      <c r="D415" t="s">
        <v>2715</v>
      </c>
      <c r="E415" t="s">
        <v>280</v>
      </c>
      <c r="F415" t="s">
        <v>281</v>
      </c>
      <c r="G415" t="s">
        <v>2710</v>
      </c>
      <c r="H415" t="s">
        <v>3445</v>
      </c>
      <c r="I415" s="5" t="s">
        <v>2890</v>
      </c>
      <c r="J415" t="s">
        <v>2492</v>
      </c>
      <c r="K415" t="s">
        <v>112</v>
      </c>
      <c r="L415">
        <v>400</v>
      </c>
      <c r="M415">
        <v>0.48125000000000001</v>
      </c>
      <c r="N415">
        <v>11.55</v>
      </c>
      <c r="O415" t="s">
        <v>4055</v>
      </c>
      <c r="P415" t="s">
        <v>2486</v>
      </c>
      <c r="Q415">
        <v>2015</v>
      </c>
      <c r="R415">
        <v>2006</v>
      </c>
      <c r="S415" s="1">
        <v>44778</v>
      </c>
      <c r="T415" s="1">
        <v>44775</v>
      </c>
      <c r="U415" t="s">
        <v>16</v>
      </c>
    </row>
    <row r="416" spans="1:21" x14ac:dyDescent="0.25">
      <c r="A416">
        <v>415</v>
      </c>
      <c r="B416">
        <v>33012500</v>
      </c>
      <c r="C416" t="s">
        <v>1001</v>
      </c>
      <c r="D416" t="s">
        <v>17</v>
      </c>
      <c r="E416" t="s">
        <v>1002</v>
      </c>
      <c r="F416" t="s">
        <v>1003</v>
      </c>
      <c r="H416" t="s">
        <v>3446</v>
      </c>
      <c r="I416" s="5" t="s">
        <v>2917</v>
      </c>
      <c r="J416" t="s">
        <v>1944</v>
      </c>
      <c r="K416" t="s">
        <v>57</v>
      </c>
      <c r="L416">
        <v>288</v>
      </c>
      <c r="P416" t="s">
        <v>2494</v>
      </c>
      <c r="Q416">
        <v>2016</v>
      </c>
      <c r="R416">
        <v>2009</v>
      </c>
      <c r="S416" s="1">
        <v>44775</v>
      </c>
      <c r="T416" s="1">
        <v>44746</v>
      </c>
      <c r="U416" t="s">
        <v>16</v>
      </c>
    </row>
    <row r="417" spans="1:21" x14ac:dyDescent="0.25">
      <c r="A417">
        <v>416</v>
      </c>
      <c r="B417">
        <v>48776591</v>
      </c>
      <c r="C417" t="s">
        <v>3447</v>
      </c>
      <c r="D417" t="s">
        <v>1005</v>
      </c>
      <c r="E417" t="s">
        <v>1006</v>
      </c>
      <c r="F417" t="s">
        <v>1007</v>
      </c>
      <c r="H417" t="s">
        <v>3448</v>
      </c>
      <c r="I417" s="5" t="s">
        <v>2890</v>
      </c>
      <c r="J417" t="s">
        <v>1905</v>
      </c>
      <c r="K417" t="s">
        <v>57</v>
      </c>
      <c r="L417">
        <v>412</v>
      </c>
      <c r="P417" t="s">
        <v>2603</v>
      </c>
      <c r="Q417">
        <v>2022</v>
      </c>
      <c r="R417">
        <v>2019</v>
      </c>
      <c r="S417" s="1">
        <v>44773</v>
      </c>
      <c r="T417" s="1">
        <v>44725</v>
      </c>
      <c r="U417" t="s">
        <v>16</v>
      </c>
    </row>
    <row r="418" spans="1:21" x14ac:dyDescent="0.25">
      <c r="A418">
        <v>417</v>
      </c>
      <c r="B418">
        <v>7419807</v>
      </c>
      <c r="C418" t="s">
        <v>3449</v>
      </c>
      <c r="D418" t="s">
        <v>1009</v>
      </c>
      <c r="E418" t="s">
        <v>1010</v>
      </c>
      <c r="F418" t="s">
        <v>1011</v>
      </c>
      <c r="G418" t="s">
        <v>2716</v>
      </c>
      <c r="H418" t="s">
        <v>3450</v>
      </c>
      <c r="I418" s="5" t="s">
        <v>2917</v>
      </c>
      <c r="J418" t="s">
        <v>2492</v>
      </c>
      <c r="K418" t="s">
        <v>112</v>
      </c>
      <c r="L418">
        <v>432</v>
      </c>
      <c r="M418">
        <v>0.76944444444444449</v>
      </c>
      <c r="N418">
        <v>18.466666666666669</v>
      </c>
      <c r="O418" t="s">
        <v>4056</v>
      </c>
      <c r="P418" t="s">
        <v>2486</v>
      </c>
      <c r="Q418">
        <v>2022</v>
      </c>
      <c r="R418">
        <v>1976</v>
      </c>
      <c r="S418" s="1">
        <v>44772</v>
      </c>
      <c r="T418" s="1">
        <v>44766</v>
      </c>
      <c r="U418" t="s">
        <v>16</v>
      </c>
    </row>
    <row r="419" spans="1:21" x14ac:dyDescent="0.25">
      <c r="A419">
        <v>418</v>
      </c>
      <c r="B419">
        <v>61078268</v>
      </c>
      <c r="C419" t="s">
        <v>1012</v>
      </c>
      <c r="D419" t="s">
        <v>17</v>
      </c>
      <c r="E419" t="s">
        <v>1013</v>
      </c>
      <c r="F419" t="s">
        <v>1014</v>
      </c>
      <c r="H419" t="s">
        <v>3451</v>
      </c>
      <c r="I419" s="5" t="s">
        <v>2901</v>
      </c>
      <c r="J419" t="s">
        <v>1723</v>
      </c>
      <c r="K419" t="s">
        <v>2488</v>
      </c>
      <c r="L419">
        <v>368</v>
      </c>
      <c r="P419" t="s">
        <v>2494</v>
      </c>
      <c r="Q419">
        <v>2022</v>
      </c>
      <c r="R419">
        <v>2021</v>
      </c>
      <c r="S419" s="1">
        <v>44768</v>
      </c>
      <c r="T419" s="1">
        <v>44756</v>
      </c>
      <c r="U419" t="s">
        <v>16</v>
      </c>
    </row>
    <row r="420" spans="1:21" x14ac:dyDescent="0.25">
      <c r="A420">
        <v>419</v>
      </c>
      <c r="B420">
        <v>7419749</v>
      </c>
      <c r="C420" t="s">
        <v>3452</v>
      </c>
      <c r="D420" t="s">
        <v>1016</v>
      </c>
      <c r="E420" t="s">
        <v>1010</v>
      </c>
      <c r="F420" t="s">
        <v>1011</v>
      </c>
      <c r="G420" t="s">
        <v>2717</v>
      </c>
      <c r="H420" t="s">
        <v>3453</v>
      </c>
      <c r="I420" s="5" t="s">
        <v>2890</v>
      </c>
      <c r="J420" t="s">
        <v>2492</v>
      </c>
      <c r="K420" t="s">
        <v>112</v>
      </c>
      <c r="L420">
        <v>256</v>
      </c>
      <c r="M420">
        <v>0.40486111111111112</v>
      </c>
      <c r="N420">
        <v>9.7166666666666668</v>
      </c>
      <c r="O420" t="s">
        <v>3946</v>
      </c>
      <c r="P420" t="s">
        <v>2486</v>
      </c>
      <c r="Q420">
        <v>2021</v>
      </c>
      <c r="R420">
        <v>1969</v>
      </c>
      <c r="S420" s="1">
        <v>44766</v>
      </c>
      <c r="T420" s="1">
        <v>44760</v>
      </c>
      <c r="U420" t="s">
        <v>16</v>
      </c>
    </row>
    <row r="421" spans="1:21" x14ac:dyDescent="0.25">
      <c r="A421">
        <v>420</v>
      </c>
      <c r="B421">
        <v>7419732</v>
      </c>
      <c r="C421" t="s">
        <v>3454</v>
      </c>
      <c r="D421" t="s">
        <v>1018</v>
      </c>
      <c r="E421" t="s">
        <v>1010</v>
      </c>
      <c r="F421" t="s">
        <v>1011</v>
      </c>
      <c r="G421" t="s">
        <v>2718</v>
      </c>
      <c r="H421" t="s">
        <v>3455</v>
      </c>
      <c r="I421" s="5" t="s">
        <v>2890</v>
      </c>
      <c r="J421" t="s">
        <v>2492</v>
      </c>
      <c r="K421" t="s">
        <v>112</v>
      </c>
      <c r="L421">
        <v>638</v>
      </c>
      <c r="M421">
        <v>0.91666666666666663</v>
      </c>
      <c r="N421">
        <v>22</v>
      </c>
      <c r="O421" t="s">
        <v>4057</v>
      </c>
      <c r="P421" t="s">
        <v>2486</v>
      </c>
      <c r="Q421">
        <v>2016</v>
      </c>
      <c r="R421">
        <v>1965</v>
      </c>
      <c r="S421" s="1">
        <v>44762</v>
      </c>
      <c r="T421" s="1">
        <v>44757</v>
      </c>
      <c r="U421" t="s">
        <v>16</v>
      </c>
    </row>
    <row r="422" spans="1:21" x14ac:dyDescent="0.25">
      <c r="A422">
        <v>421</v>
      </c>
      <c r="B422">
        <v>39908713</v>
      </c>
      <c r="C422" t="s">
        <v>1019</v>
      </c>
      <c r="D422" t="s">
        <v>17</v>
      </c>
      <c r="E422" t="s">
        <v>1020</v>
      </c>
      <c r="F422" t="s">
        <v>1021</v>
      </c>
      <c r="H422" t="s">
        <v>3456</v>
      </c>
      <c r="I422" s="5" t="s">
        <v>2901</v>
      </c>
      <c r="J422" t="s">
        <v>2140</v>
      </c>
      <c r="K422" t="s">
        <v>2488</v>
      </c>
      <c r="L422">
        <v>336</v>
      </c>
      <c r="P422" t="s">
        <v>2494</v>
      </c>
      <c r="Q422">
        <v>2018</v>
      </c>
      <c r="R422">
        <v>2018</v>
      </c>
      <c r="S422" s="1">
        <v>44756</v>
      </c>
      <c r="T422" s="1">
        <v>44748</v>
      </c>
      <c r="U422" t="s">
        <v>16</v>
      </c>
    </row>
    <row r="423" spans="1:21" x14ac:dyDescent="0.25">
      <c r="A423">
        <v>422</v>
      </c>
      <c r="B423">
        <v>6495218</v>
      </c>
      <c r="C423" t="s">
        <v>3457</v>
      </c>
      <c r="D423" t="s">
        <v>1023</v>
      </c>
      <c r="E423" t="s">
        <v>174</v>
      </c>
      <c r="F423" t="s">
        <v>175</v>
      </c>
      <c r="H423" t="s">
        <v>3458</v>
      </c>
      <c r="I423" s="5" t="s">
        <v>2890</v>
      </c>
      <c r="J423" t="s">
        <v>1670</v>
      </c>
      <c r="K423" t="s">
        <v>57</v>
      </c>
      <c r="L423">
        <v>271</v>
      </c>
      <c r="P423" t="s">
        <v>2486</v>
      </c>
      <c r="Q423">
        <v>1996</v>
      </c>
      <c r="R423">
        <v>1986</v>
      </c>
      <c r="S423" s="1">
        <v>44755</v>
      </c>
      <c r="T423" s="1">
        <v>44751</v>
      </c>
      <c r="U423" t="s">
        <v>16</v>
      </c>
    </row>
    <row r="424" spans="1:21" x14ac:dyDescent="0.25">
      <c r="A424">
        <v>423</v>
      </c>
      <c r="B424">
        <v>6495199</v>
      </c>
      <c r="C424" t="s">
        <v>3459</v>
      </c>
      <c r="D424" t="s">
        <v>1025</v>
      </c>
      <c r="E424" t="s">
        <v>174</v>
      </c>
      <c r="F424" t="s">
        <v>175</v>
      </c>
      <c r="H424" t="s">
        <v>3460</v>
      </c>
      <c r="I424" s="5" t="s">
        <v>2890</v>
      </c>
      <c r="J424" t="s">
        <v>1670</v>
      </c>
      <c r="K424" t="s">
        <v>57</v>
      </c>
      <c r="L424">
        <v>292</v>
      </c>
      <c r="P424" t="s">
        <v>2486</v>
      </c>
      <c r="Q424">
        <v>1993</v>
      </c>
      <c r="R424">
        <v>1983</v>
      </c>
      <c r="S424" s="1">
        <v>44753</v>
      </c>
      <c r="T424" s="1">
        <v>44748</v>
      </c>
      <c r="U424" t="s">
        <v>16</v>
      </c>
    </row>
    <row r="425" spans="1:21" x14ac:dyDescent="0.25">
      <c r="A425">
        <v>424</v>
      </c>
      <c r="B425">
        <v>54141980</v>
      </c>
      <c r="C425" t="s">
        <v>1026</v>
      </c>
      <c r="D425" t="s">
        <v>17</v>
      </c>
      <c r="E425" t="s">
        <v>280</v>
      </c>
      <c r="F425" t="s">
        <v>281</v>
      </c>
      <c r="G425" t="s">
        <v>2719</v>
      </c>
      <c r="H425" t="s">
        <v>3461</v>
      </c>
      <c r="I425" s="5" t="s">
        <v>2890</v>
      </c>
      <c r="J425" t="s">
        <v>2492</v>
      </c>
      <c r="K425" t="s">
        <v>112</v>
      </c>
      <c r="L425">
        <v>380</v>
      </c>
      <c r="M425">
        <v>0.38819444444444445</v>
      </c>
      <c r="N425">
        <v>9.3166666666666664</v>
      </c>
      <c r="O425" t="s">
        <v>4058</v>
      </c>
      <c r="P425" t="s">
        <v>2486</v>
      </c>
      <c r="Q425">
        <v>2020</v>
      </c>
      <c r="R425">
        <v>2020</v>
      </c>
      <c r="S425" s="1">
        <v>44750</v>
      </c>
      <c r="T425" s="1">
        <v>44715</v>
      </c>
      <c r="U425" t="s">
        <v>16</v>
      </c>
    </row>
    <row r="426" spans="1:21" x14ac:dyDescent="0.25">
      <c r="A426">
        <v>425</v>
      </c>
      <c r="B426">
        <v>53122884</v>
      </c>
      <c r="C426" t="s">
        <v>3462</v>
      </c>
      <c r="D426" t="s">
        <v>1028</v>
      </c>
      <c r="E426" t="s">
        <v>359</v>
      </c>
      <c r="F426" t="s">
        <v>360</v>
      </c>
      <c r="G426" t="s">
        <v>2710</v>
      </c>
      <c r="H426" t="s">
        <v>3463</v>
      </c>
      <c r="I426" s="5" t="s">
        <v>2890</v>
      </c>
      <c r="J426" t="s">
        <v>2545</v>
      </c>
      <c r="K426" t="s">
        <v>112</v>
      </c>
      <c r="L426">
        <v>584</v>
      </c>
      <c r="M426">
        <v>0.8208333333333333</v>
      </c>
      <c r="N426">
        <v>19.7</v>
      </c>
      <c r="O426" t="s">
        <v>4059</v>
      </c>
      <c r="P426" t="s">
        <v>2486</v>
      </c>
      <c r="Q426">
        <v>2020</v>
      </c>
      <c r="R426">
        <v>2019</v>
      </c>
      <c r="S426" s="1">
        <v>44749</v>
      </c>
      <c r="T426" s="1">
        <v>44747</v>
      </c>
      <c r="U426" t="s">
        <v>16</v>
      </c>
    </row>
    <row r="427" spans="1:21" x14ac:dyDescent="0.25">
      <c r="A427">
        <v>426</v>
      </c>
      <c r="B427">
        <v>34469429</v>
      </c>
      <c r="C427" t="s">
        <v>1143</v>
      </c>
      <c r="D427" t="s">
        <v>1030</v>
      </c>
      <c r="E427" t="s">
        <v>359</v>
      </c>
      <c r="F427" t="s">
        <v>360</v>
      </c>
      <c r="G427" t="s">
        <v>2710</v>
      </c>
      <c r="H427" t="s">
        <v>3464</v>
      </c>
      <c r="I427" s="5" t="s">
        <v>2890</v>
      </c>
      <c r="J427" t="s">
        <v>1820</v>
      </c>
      <c r="K427" t="s">
        <v>112</v>
      </c>
      <c r="L427">
        <v>560</v>
      </c>
      <c r="M427">
        <v>0.81319444444444444</v>
      </c>
      <c r="N427">
        <v>19.516666666666666</v>
      </c>
      <c r="O427" t="s">
        <v>4060</v>
      </c>
      <c r="P427" t="s">
        <v>2486</v>
      </c>
      <c r="Q427">
        <v>2019</v>
      </c>
      <c r="R427">
        <v>2017</v>
      </c>
      <c r="S427" s="1">
        <v>44747</v>
      </c>
      <c r="T427" s="1">
        <v>44744</v>
      </c>
      <c r="U427" t="s">
        <v>16</v>
      </c>
    </row>
    <row r="428" spans="1:21" x14ac:dyDescent="0.25">
      <c r="A428">
        <v>427</v>
      </c>
      <c r="B428">
        <v>53958983</v>
      </c>
      <c r="C428" t="s">
        <v>1031</v>
      </c>
      <c r="D428" t="s">
        <v>17</v>
      </c>
      <c r="E428" t="s">
        <v>954</v>
      </c>
      <c r="F428" t="s">
        <v>955</v>
      </c>
      <c r="H428" t="s">
        <v>3465</v>
      </c>
      <c r="I428" s="5" t="s">
        <v>2890</v>
      </c>
      <c r="J428" t="s">
        <v>1770</v>
      </c>
      <c r="K428" t="s">
        <v>57</v>
      </c>
      <c r="L428">
        <v>384</v>
      </c>
      <c r="P428" t="s">
        <v>2494</v>
      </c>
      <c r="Q428">
        <v>2020</v>
      </c>
      <c r="R428">
        <v>2019</v>
      </c>
      <c r="S428" s="1">
        <v>44745</v>
      </c>
      <c r="T428" s="1">
        <v>44682</v>
      </c>
      <c r="U428" t="s">
        <v>16</v>
      </c>
    </row>
    <row r="429" spans="1:21" x14ac:dyDescent="0.25">
      <c r="A429">
        <v>428</v>
      </c>
      <c r="B429">
        <v>24580607</v>
      </c>
      <c r="C429" t="s">
        <v>3466</v>
      </c>
      <c r="D429" t="s">
        <v>1033</v>
      </c>
      <c r="E429" t="s">
        <v>359</v>
      </c>
      <c r="F429" t="s">
        <v>360</v>
      </c>
      <c r="G429" t="s">
        <v>2710</v>
      </c>
      <c r="H429" t="s">
        <v>3467</v>
      </c>
      <c r="I429" s="5" t="s">
        <v>2890</v>
      </c>
      <c r="J429" t="s">
        <v>2492</v>
      </c>
      <c r="K429" t="s">
        <v>112</v>
      </c>
      <c r="L429">
        <v>607</v>
      </c>
      <c r="M429">
        <v>0.58472222222222225</v>
      </c>
      <c r="N429">
        <v>14.033333333333335</v>
      </c>
      <c r="O429" t="s">
        <v>4061</v>
      </c>
      <c r="P429" t="s">
        <v>2486</v>
      </c>
      <c r="Q429">
        <v>2015</v>
      </c>
      <c r="R429">
        <v>2013</v>
      </c>
      <c r="S429" s="1">
        <v>44743</v>
      </c>
      <c r="T429" s="1">
        <v>44743</v>
      </c>
      <c r="U429" t="s">
        <v>16</v>
      </c>
    </row>
    <row r="430" spans="1:21" x14ac:dyDescent="0.25">
      <c r="A430">
        <v>429</v>
      </c>
      <c r="B430">
        <v>59967608</v>
      </c>
      <c r="C430" t="s">
        <v>1034</v>
      </c>
      <c r="D430" t="s">
        <v>17</v>
      </c>
      <c r="E430" t="s">
        <v>18</v>
      </c>
      <c r="F430" t="s">
        <v>19</v>
      </c>
      <c r="H430" t="s">
        <v>3468</v>
      </c>
      <c r="I430" s="5" t="s">
        <v>2901</v>
      </c>
      <c r="J430" t="s">
        <v>2148</v>
      </c>
      <c r="K430" t="s">
        <v>2488</v>
      </c>
      <c r="L430">
        <v>257</v>
      </c>
      <c r="P430" t="s">
        <v>2494</v>
      </c>
      <c r="Q430">
        <v>2021</v>
      </c>
      <c r="R430">
        <v>2021</v>
      </c>
      <c r="S430" s="1">
        <v>44737</v>
      </c>
      <c r="T430" s="1">
        <v>44606</v>
      </c>
      <c r="U430" t="s">
        <v>16</v>
      </c>
    </row>
    <row r="431" spans="1:21" x14ac:dyDescent="0.25">
      <c r="A431">
        <v>430</v>
      </c>
      <c r="B431">
        <v>22669982</v>
      </c>
      <c r="C431" t="s">
        <v>3469</v>
      </c>
      <c r="D431" t="s">
        <v>1036</v>
      </c>
      <c r="E431" t="s">
        <v>359</v>
      </c>
      <c r="F431" t="s">
        <v>360</v>
      </c>
      <c r="G431" t="s">
        <v>2720</v>
      </c>
      <c r="H431" t="s">
        <v>3470</v>
      </c>
      <c r="I431" s="5" t="s">
        <v>2890</v>
      </c>
      <c r="J431" t="s">
        <v>2492</v>
      </c>
      <c r="K431" t="s">
        <v>112</v>
      </c>
      <c r="L431">
        <v>515</v>
      </c>
      <c r="M431">
        <v>0.61458333333333337</v>
      </c>
      <c r="N431">
        <v>14.75</v>
      </c>
      <c r="O431" t="s">
        <v>4062</v>
      </c>
      <c r="P431" t="s">
        <v>2486</v>
      </c>
      <c r="Q431">
        <v>2014</v>
      </c>
      <c r="R431">
        <v>2011</v>
      </c>
      <c r="S431" s="1">
        <v>44735</v>
      </c>
      <c r="T431" s="1">
        <v>44733</v>
      </c>
      <c r="U431" t="s">
        <v>16</v>
      </c>
    </row>
    <row r="432" spans="1:21" x14ac:dyDescent="0.25">
      <c r="A432">
        <v>431</v>
      </c>
      <c r="B432">
        <v>51918871</v>
      </c>
      <c r="C432" t="s">
        <v>2721</v>
      </c>
      <c r="D432" t="s">
        <v>17</v>
      </c>
      <c r="E432" t="s">
        <v>1037</v>
      </c>
      <c r="F432" t="s">
        <v>1038</v>
      </c>
      <c r="H432" t="s">
        <v>3471</v>
      </c>
      <c r="I432" s="5" t="s">
        <v>2901</v>
      </c>
      <c r="J432" t="s">
        <v>1959</v>
      </c>
      <c r="K432" t="s">
        <v>2488</v>
      </c>
      <c r="L432">
        <v>470</v>
      </c>
      <c r="P432" t="s">
        <v>2494</v>
      </c>
      <c r="Q432">
        <v>2020</v>
      </c>
      <c r="R432">
        <v>2019</v>
      </c>
      <c r="S432" s="1">
        <v>44046</v>
      </c>
      <c r="T432" s="1">
        <v>44029</v>
      </c>
      <c r="U432" t="s">
        <v>16</v>
      </c>
    </row>
    <row r="433" spans="1:21" x14ac:dyDescent="0.25">
      <c r="A433">
        <v>432</v>
      </c>
      <c r="B433">
        <v>60616301</v>
      </c>
      <c r="C433" t="s">
        <v>1039</v>
      </c>
      <c r="D433" t="s">
        <v>17</v>
      </c>
      <c r="E433" t="s">
        <v>1040</v>
      </c>
      <c r="F433" t="s">
        <v>1041</v>
      </c>
      <c r="H433" t="s">
        <v>3472</v>
      </c>
      <c r="I433" s="5" t="s">
        <v>2890</v>
      </c>
      <c r="J433" t="s">
        <v>1723</v>
      </c>
      <c r="K433" t="s">
        <v>2488</v>
      </c>
      <c r="L433">
        <v>304</v>
      </c>
      <c r="P433" t="s">
        <v>2494</v>
      </c>
      <c r="Q433">
        <v>2022</v>
      </c>
      <c r="R433">
        <v>2022</v>
      </c>
      <c r="S433" s="1">
        <v>44729</v>
      </c>
      <c r="T433" s="1">
        <v>44711</v>
      </c>
      <c r="U433" t="s">
        <v>16</v>
      </c>
    </row>
    <row r="434" spans="1:21" x14ac:dyDescent="0.25">
      <c r="A434">
        <v>433</v>
      </c>
      <c r="B434">
        <v>23355220</v>
      </c>
      <c r="C434" t="s">
        <v>2722</v>
      </c>
      <c r="D434" t="s">
        <v>1042</v>
      </c>
      <c r="E434" t="s">
        <v>359</v>
      </c>
      <c r="F434" t="s">
        <v>360</v>
      </c>
      <c r="H434" t="s">
        <v>3473</v>
      </c>
      <c r="I434" s="5" t="s">
        <v>2890</v>
      </c>
      <c r="J434" t="s">
        <v>1820</v>
      </c>
      <c r="K434" t="s">
        <v>57</v>
      </c>
      <c r="L434">
        <v>634</v>
      </c>
      <c r="P434" t="s">
        <v>2486</v>
      </c>
      <c r="Q434">
        <v>2013</v>
      </c>
      <c r="R434">
        <v>2009</v>
      </c>
      <c r="S434" s="1">
        <v>44728</v>
      </c>
      <c r="T434" s="1">
        <v>44723</v>
      </c>
      <c r="U434" t="s">
        <v>16</v>
      </c>
    </row>
    <row r="435" spans="1:21" x14ac:dyDescent="0.25">
      <c r="A435">
        <v>434</v>
      </c>
      <c r="B435">
        <v>58294135</v>
      </c>
      <c r="C435" t="s">
        <v>3474</v>
      </c>
      <c r="D435" t="s">
        <v>1044</v>
      </c>
      <c r="E435" t="s">
        <v>1006</v>
      </c>
      <c r="F435" t="s">
        <v>1007</v>
      </c>
      <c r="H435" t="s">
        <v>3475</v>
      </c>
      <c r="I435" s="5" t="s">
        <v>2890</v>
      </c>
      <c r="J435" t="s">
        <v>1685</v>
      </c>
      <c r="K435" t="s">
        <v>57</v>
      </c>
      <c r="L435">
        <v>344</v>
      </c>
      <c r="P435" t="s">
        <v>2486</v>
      </c>
      <c r="Q435">
        <v>2021</v>
      </c>
      <c r="R435">
        <v>2019</v>
      </c>
      <c r="S435" s="1">
        <v>44723</v>
      </c>
      <c r="T435" s="1">
        <v>44721</v>
      </c>
      <c r="U435" t="s">
        <v>16</v>
      </c>
    </row>
    <row r="436" spans="1:21" x14ac:dyDescent="0.25">
      <c r="A436">
        <v>435</v>
      </c>
      <c r="B436">
        <v>16131706</v>
      </c>
      <c r="C436" t="s">
        <v>1045</v>
      </c>
      <c r="D436" t="s">
        <v>17</v>
      </c>
      <c r="E436" t="s">
        <v>359</v>
      </c>
      <c r="F436" t="s">
        <v>360</v>
      </c>
      <c r="G436" t="s">
        <v>2531</v>
      </c>
      <c r="H436" t="s">
        <v>3476</v>
      </c>
      <c r="I436" s="5" t="s">
        <v>2890</v>
      </c>
      <c r="J436" t="s">
        <v>1668</v>
      </c>
      <c r="K436" t="s">
        <v>112</v>
      </c>
      <c r="L436">
        <v>375</v>
      </c>
      <c r="M436">
        <v>0.58402777777777781</v>
      </c>
      <c r="N436">
        <v>14.016666666666667</v>
      </c>
      <c r="O436" t="s">
        <v>4063</v>
      </c>
      <c r="P436" t="s">
        <v>2494</v>
      </c>
      <c r="Q436">
        <v>2014</v>
      </c>
      <c r="R436">
        <v>2007</v>
      </c>
      <c r="S436" s="1">
        <v>44721</v>
      </c>
      <c r="T436" s="1">
        <v>44718</v>
      </c>
      <c r="U436" t="s">
        <v>16</v>
      </c>
    </row>
    <row r="437" spans="1:21" x14ac:dyDescent="0.25">
      <c r="A437">
        <v>436</v>
      </c>
      <c r="B437">
        <v>56233955</v>
      </c>
      <c r="C437" t="s">
        <v>3477</v>
      </c>
      <c r="D437" t="s">
        <v>1047</v>
      </c>
      <c r="E437" t="s">
        <v>1006</v>
      </c>
      <c r="F437" t="s">
        <v>1007</v>
      </c>
      <c r="H437" t="s">
        <v>3478</v>
      </c>
      <c r="I437" s="5" t="s">
        <v>2890</v>
      </c>
      <c r="J437" t="s">
        <v>1685</v>
      </c>
      <c r="K437" t="s">
        <v>57</v>
      </c>
      <c r="L437">
        <v>400</v>
      </c>
      <c r="P437" t="s">
        <v>2486</v>
      </c>
      <c r="Q437">
        <v>2020</v>
      </c>
      <c r="R437">
        <v>2019</v>
      </c>
      <c r="S437" s="1">
        <v>44716</v>
      </c>
      <c r="T437" s="1">
        <v>44713</v>
      </c>
      <c r="U437" t="s">
        <v>16</v>
      </c>
    </row>
    <row r="438" spans="1:21" x14ac:dyDescent="0.25">
      <c r="A438">
        <v>437</v>
      </c>
      <c r="B438">
        <v>13485637</v>
      </c>
      <c r="C438" t="s">
        <v>3479</v>
      </c>
      <c r="D438" t="s">
        <v>1049</v>
      </c>
      <c r="E438" t="s">
        <v>359</v>
      </c>
      <c r="F438" t="s">
        <v>360</v>
      </c>
      <c r="G438" t="s">
        <v>2710</v>
      </c>
      <c r="H438" t="s">
        <v>3480</v>
      </c>
      <c r="I438" s="5" t="s">
        <v>2890</v>
      </c>
      <c r="J438" t="s">
        <v>2545</v>
      </c>
      <c r="K438" t="s">
        <v>112</v>
      </c>
      <c r="L438">
        <v>526</v>
      </c>
      <c r="M438">
        <v>0.74583333333333335</v>
      </c>
      <c r="N438">
        <v>17.899999999999999</v>
      </c>
      <c r="O438" t="s">
        <v>4064</v>
      </c>
      <c r="P438" t="s">
        <v>2486</v>
      </c>
      <c r="Q438">
        <v>2020</v>
      </c>
      <c r="R438">
        <v>2005</v>
      </c>
      <c r="S438" s="1">
        <v>44716</v>
      </c>
      <c r="T438" s="1">
        <v>44716</v>
      </c>
      <c r="U438" t="s">
        <v>16</v>
      </c>
    </row>
    <row r="439" spans="1:21" x14ac:dyDescent="0.25">
      <c r="A439">
        <v>438</v>
      </c>
      <c r="B439">
        <v>26506</v>
      </c>
      <c r="C439" t="s">
        <v>3481</v>
      </c>
      <c r="D439" t="s">
        <v>17</v>
      </c>
      <c r="E439" t="s">
        <v>1050</v>
      </c>
      <c r="F439" t="s">
        <v>1051</v>
      </c>
      <c r="H439" t="s">
        <v>3482</v>
      </c>
      <c r="I439" s="5" t="s">
        <v>2890</v>
      </c>
      <c r="J439" t="s">
        <v>1668</v>
      </c>
      <c r="K439" t="s">
        <v>2488</v>
      </c>
      <c r="L439">
        <v>341</v>
      </c>
      <c r="P439" t="s">
        <v>2494</v>
      </c>
      <c r="Q439">
        <v>2007</v>
      </c>
      <c r="R439">
        <v>2007</v>
      </c>
      <c r="S439" s="1">
        <v>44712</v>
      </c>
      <c r="T439" s="1">
        <v>44707</v>
      </c>
      <c r="U439" t="s">
        <v>16</v>
      </c>
    </row>
    <row r="440" spans="1:21" x14ac:dyDescent="0.25">
      <c r="A440">
        <v>439</v>
      </c>
      <c r="B440">
        <v>10058900</v>
      </c>
      <c r="C440" t="s">
        <v>3483</v>
      </c>
      <c r="D440" t="s">
        <v>1053</v>
      </c>
      <c r="E440" t="s">
        <v>359</v>
      </c>
      <c r="F440" t="s">
        <v>360</v>
      </c>
      <c r="G440" t="s">
        <v>2710</v>
      </c>
      <c r="H440" t="s">
        <v>3484</v>
      </c>
      <c r="I440" s="5" t="s">
        <v>2890</v>
      </c>
      <c r="J440" t="s">
        <v>2545</v>
      </c>
      <c r="K440" t="s">
        <v>112</v>
      </c>
      <c r="L440">
        <v>376</v>
      </c>
      <c r="M440">
        <v>0.64652777777777781</v>
      </c>
      <c r="N440">
        <v>15.516666666666667</v>
      </c>
      <c r="O440" t="s">
        <v>4065</v>
      </c>
      <c r="P440" t="s">
        <v>2486</v>
      </c>
      <c r="Q440">
        <v>2020</v>
      </c>
      <c r="R440">
        <v>2003</v>
      </c>
      <c r="S440" s="1">
        <v>44707</v>
      </c>
      <c r="T440" s="1">
        <v>44703</v>
      </c>
      <c r="U440" t="s">
        <v>16</v>
      </c>
    </row>
    <row r="441" spans="1:21" x14ac:dyDescent="0.25">
      <c r="A441">
        <v>440</v>
      </c>
      <c r="B441">
        <v>53879647</v>
      </c>
      <c r="C441" t="s">
        <v>3485</v>
      </c>
      <c r="D441" t="s">
        <v>1055</v>
      </c>
      <c r="E441" t="s">
        <v>1006</v>
      </c>
      <c r="F441" t="s">
        <v>1007</v>
      </c>
      <c r="H441" t="s">
        <v>3486</v>
      </c>
      <c r="I441" s="5" t="s">
        <v>2890</v>
      </c>
      <c r="J441" t="s">
        <v>1685</v>
      </c>
      <c r="K441" t="s">
        <v>57</v>
      </c>
      <c r="L441">
        <v>368</v>
      </c>
      <c r="P441" t="s">
        <v>2486</v>
      </c>
      <c r="Q441">
        <v>2020</v>
      </c>
      <c r="R441">
        <v>2018</v>
      </c>
      <c r="S441" s="1">
        <v>44706</v>
      </c>
      <c r="T441" s="1">
        <v>44695</v>
      </c>
      <c r="U441" t="s">
        <v>16</v>
      </c>
    </row>
    <row r="442" spans="1:21" x14ac:dyDescent="0.25">
      <c r="A442">
        <v>441</v>
      </c>
      <c r="B442">
        <v>6979826</v>
      </c>
      <c r="C442" t="s">
        <v>3487</v>
      </c>
      <c r="D442" t="s">
        <v>1057</v>
      </c>
      <c r="E442" t="s">
        <v>359</v>
      </c>
      <c r="F442" t="s">
        <v>360</v>
      </c>
      <c r="G442" t="s">
        <v>2723</v>
      </c>
      <c r="H442" t="s">
        <v>3488</v>
      </c>
      <c r="I442" s="5" t="s">
        <v>2890</v>
      </c>
      <c r="J442" t="s">
        <v>2712</v>
      </c>
      <c r="K442" t="s">
        <v>112</v>
      </c>
      <c r="L442">
        <v>474</v>
      </c>
      <c r="M442">
        <v>0.20555555555555555</v>
      </c>
      <c r="N442">
        <v>4.9333333333333336</v>
      </c>
      <c r="O442" t="s">
        <v>4066</v>
      </c>
      <c r="P442" t="s">
        <v>2486</v>
      </c>
      <c r="Q442">
        <v>2013</v>
      </c>
      <c r="R442">
        <v>2002</v>
      </c>
      <c r="S442" s="1">
        <v>44701</v>
      </c>
      <c r="T442" s="1">
        <v>44701</v>
      </c>
      <c r="U442" t="s">
        <v>16</v>
      </c>
    </row>
    <row r="443" spans="1:21" x14ac:dyDescent="0.25">
      <c r="A443">
        <v>442</v>
      </c>
      <c r="B443">
        <v>20553047</v>
      </c>
      <c r="C443" t="s">
        <v>3489</v>
      </c>
      <c r="D443" t="s">
        <v>1059</v>
      </c>
      <c r="E443" t="s">
        <v>359</v>
      </c>
      <c r="F443" t="s">
        <v>360</v>
      </c>
      <c r="G443" t="s">
        <v>2720</v>
      </c>
      <c r="H443" t="s">
        <v>3490</v>
      </c>
      <c r="I443" s="5" t="s">
        <v>2890</v>
      </c>
      <c r="J443" t="s">
        <v>2492</v>
      </c>
      <c r="K443" t="s">
        <v>112</v>
      </c>
      <c r="L443">
        <v>578</v>
      </c>
      <c r="M443">
        <v>0.6118055555555556</v>
      </c>
      <c r="N443">
        <v>14.683333333333334</v>
      </c>
      <c r="O443" t="s">
        <v>4067</v>
      </c>
      <c r="P443" t="s">
        <v>2486</v>
      </c>
      <c r="Q443">
        <v>2014</v>
      </c>
      <c r="R443">
        <v>2000</v>
      </c>
      <c r="S443" s="1">
        <v>44700</v>
      </c>
      <c r="T443" s="1">
        <v>44699</v>
      </c>
      <c r="U443" t="s">
        <v>16</v>
      </c>
    </row>
    <row r="444" spans="1:21" x14ac:dyDescent="0.25">
      <c r="A444">
        <v>443</v>
      </c>
      <c r="B444">
        <v>21943841</v>
      </c>
      <c r="C444" t="s">
        <v>3491</v>
      </c>
      <c r="D444" t="s">
        <v>1061</v>
      </c>
      <c r="E444" t="s">
        <v>359</v>
      </c>
      <c r="F444" t="s">
        <v>360</v>
      </c>
      <c r="G444" t="s">
        <v>2720</v>
      </c>
      <c r="H444" t="s">
        <v>3492</v>
      </c>
      <c r="I444" s="5" t="s">
        <v>2890</v>
      </c>
      <c r="J444" t="s">
        <v>2492</v>
      </c>
      <c r="K444" t="s">
        <v>112</v>
      </c>
      <c r="L444">
        <v>368</v>
      </c>
      <c r="M444">
        <v>0.45347222222222222</v>
      </c>
      <c r="N444">
        <v>10.883333333333333</v>
      </c>
      <c r="O444" t="s">
        <v>4068</v>
      </c>
      <c r="P444" t="s">
        <v>2486</v>
      </c>
      <c r="Q444">
        <v>2016</v>
      </c>
      <c r="R444">
        <v>1998</v>
      </c>
      <c r="S444" s="1">
        <v>44698</v>
      </c>
      <c r="T444" s="1">
        <v>44698</v>
      </c>
      <c r="U444" t="s">
        <v>16</v>
      </c>
    </row>
    <row r="445" spans="1:21" x14ac:dyDescent="0.25">
      <c r="A445">
        <v>444</v>
      </c>
      <c r="B445">
        <v>17306574</v>
      </c>
      <c r="C445" t="s">
        <v>3493</v>
      </c>
      <c r="D445" t="s">
        <v>1063</v>
      </c>
      <c r="E445" t="s">
        <v>359</v>
      </c>
      <c r="F445" t="s">
        <v>360</v>
      </c>
      <c r="G445" t="s">
        <v>2720</v>
      </c>
      <c r="H445" t="s">
        <v>3494</v>
      </c>
      <c r="I445" s="5" t="s">
        <v>2890</v>
      </c>
      <c r="J445" t="s">
        <v>2492</v>
      </c>
      <c r="K445" t="s">
        <v>112</v>
      </c>
      <c r="L445">
        <v>398</v>
      </c>
      <c r="M445">
        <v>0.4513888888888889</v>
      </c>
      <c r="N445">
        <v>10.833333333333334</v>
      </c>
      <c r="O445" t="s">
        <v>4069</v>
      </c>
      <c r="P445" t="s">
        <v>2486</v>
      </c>
      <c r="Q445">
        <v>2013</v>
      </c>
      <c r="R445">
        <v>1997</v>
      </c>
      <c r="S445" s="1">
        <v>44695</v>
      </c>
      <c r="T445" s="1">
        <v>44692</v>
      </c>
      <c r="U445" t="s">
        <v>16</v>
      </c>
    </row>
    <row r="446" spans="1:21" x14ac:dyDescent="0.25">
      <c r="A446">
        <v>445</v>
      </c>
      <c r="B446">
        <v>41958085</v>
      </c>
      <c r="C446" t="s">
        <v>1064</v>
      </c>
      <c r="D446" t="s">
        <v>17</v>
      </c>
      <c r="E446" t="s">
        <v>1065</v>
      </c>
      <c r="F446" t="s">
        <v>1066</v>
      </c>
      <c r="H446" t="s">
        <v>3495</v>
      </c>
      <c r="I446" s="5" t="s">
        <v>2901</v>
      </c>
      <c r="J446" t="s">
        <v>1673</v>
      </c>
      <c r="K446" t="s">
        <v>2488</v>
      </c>
      <c r="L446">
        <v>488</v>
      </c>
      <c r="P446" t="s">
        <v>2494</v>
      </c>
      <c r="Q446">
        <v>2018</v>
      </c>
      <c r="R446">
        <v>2018</v>
      </c>
      <c r="S446" s="1">
        <v>44694</v>
      </c>
      <c r="T446" s="1">
        <v>44690</v>
      </c>
      <c r="U446" t="s">
        <v>16</v>
      </c>
    </row>
    <row r="447" spans="1:21" x14ac:dyDescent="0.25">
      <c r="A447">
        <v>446</v>
      </c>
      <c r="B447">
        <v>29612594</v>
      </c>
      <c r="C447" t="s">
        <v>1067</v>
      </c>
      <c r="D447" t="s">
        <v>17</v>
      </c>
      <c r="E447" t="s">
        <v>1068</v>
      </c>
      <c r="F447" t="s">
        <v>1069</v>
      </c>
      <c r="H447" t="s">
        <v>3496</v>
      </c>
      <c r="I447" s="5" t="s">
        <v>2890</v>
      </c>
      <c r="J447" t="s">
        <v>2164</v>
      </c>
      <c r="K447" t="s">
        <v>57</v>
      </c>
      <c r="L447">
        <v>360</v>
      </c>
      <c r="P447" t="s">
        <v>2486</v>
      </c>
      <c r="Q447">
        <v>2016</v>
      </c>
      <c r="R447">
        <v>2015</v>
      </c>
      <c r="S447" s="1">
        <v>44689</v>
      </c>
      <c r="T447" s="1">
        <v>44674</v>
      </c>
      <c r="U447" t="s">
        <v>16</v>
      </c>
    </row>
    <row r="448" spans="1:21" x14ac:dyDescent="0.25">
      <c r="A448">
        <v>447</v>
      </c>
      <c r="B448">
        <v>42096248</v>
      </c>
      <c r="C448" t="s">
        <v>3497</v>
      </c>
      <c r="D448" t="s">
        <v>1071</v>
      </c>
      <c r="E448" t="s">
        <v>954</v>
      </c>
      <c r="F448" t="s">
        <v>955</v>
      </c>
      <c r="H448" t="s">
        <v>3498</v>
      </c>
      <c r="I448" s="5" t="s">
        <v>2890</v>
      </c>
      <c r="J448" t="s">
        <v>1675</v>
      </c>
      <c r="K448" t="s">
        <v>57</v>
      </c>
      <c r="L448">
        <v>372</v>
      </c>
      <c r="P448" t="s">
        <v>2486</v>
      </c>
      <c r="Q448">
        <v>2018</v>
      </c>
      <c r="R448">
        <v>2017</v>
      </c>
      <c r="S448" s="1">
        <v>44675</v>
      </c>
      <c r="T448" s="1">
        <v>44559</v>
      </c>
      <c r="U448" t="s">
        <v>16</v>
      </c>
    </row>
    <row r="449" spans="1:21" x14ac:dyDescent="0.25">
      <c r="A449">
        <v>448</v>
      </c>
      <c r="B449">
        <v>6535812</v>
      </c>
      <c r="C449" t="s">
        <v>3499</v>
      </c>
      <c r="D449" t="s">
        <v>1073</v>
      </c>
      <c r="E449" t="s">
        <v>287</v>
      </c>
      <c r="F449" t="s">
        <v>288</v>
      </c>
      <c r="G449" t="s">
        <v>2724</v>
      </c>
      <c r="H449" t="s">
        <v>3500</v>
      </c>
      <c r="I449" s="5" t="s">
        <v>2917</v>
      </c>
      <c r="J449" t="s">
        <v>2627</v>
      </c>
      <c r="K449" t="s">
        <v>112</v>
      </c>
      <c r="L449">
        <v>725</v>
      </c>
      <c r="M449">
        <v>1.2548611111111112</v>
      </c>
      <c r="N449">
        <v>30.116666666666667</v>
      </c>
      <c r="O449" t="s">
        <v>4070</v>
      </c>
      <c r="P449" t="s">
        <v>2486</v>
      </c>
      <c r="Q449">
        <v>2018</v>
      </c>
      <c r="R449">
        <v>2004</v>
      </c>
      <c r="S449" s="1">
        <v>44674</v>
      </c>
      <c r="T449" s="1">
        <v>44664</v>
      </c>
      <c r="U449" t="s">
        <v>16</v>
      </c>
    </row>
    <row r="450" spans="1:21" x14ac:dyDescent="0.25">
      <c r="A450">
        <v>449</v>
      </c>
      <c r="B450">
        <v>59857</v>
      </c>
      <c r="C450" t="s">
        <v>1074</v>
      </c>
      <c r="D450" t="s">
        <v>17</v>
      </c>
      <c r="E450" t="s">
        <v>1050</v>
      </c>
      <c r="F450" t="s">
        <v>1051</v>
      </c>
      <c r="H450" t="s">
        <v>3501</v>
      </c>
      <c r="I450" s="5" t="s">
        <v>2890</v>
      </c>
      <c r="J450" t="s">
        <v>2168</v>
      </c>
      <c r="K450" t="s">
        <v>57</v>
      </c>
      <c r="L450">
        <v>336</v>
      </c>
      <c r="P450" t="s">
        <v>2486</v>
      </c>
      <c r="Q450">
        <v>2005</v>
      </c>
      <c r="R450">
        <v>2004</v>
      </c>
      <c r="S450" s="1">
        <v>44669</v>
      </c>
      <c r="T450" s="1">
        <v>44665</v>
      </c>
      <c r="U450" t="s">
        <v>16</v>
      </c>
    </row>
    <row r="451" spans="1:21" x14ac:dyDescent="0.25">
      <c r="A451">
        <v>450</v>
      </c>
      <c r="B451">
        <v>59773100</v>
      </c>
      <c r="C451" t="s">
        <v>1075</v>
      </c>
      <c r="D451" t="s">
        <v>17</v>
      </c>
      <c r="E451" t="s">
        <v>1076</v>
      </c>
      <c r="F451" t="s">
        <v>1077</v>
      </c>
      <c r="H451" t="s">
        <v>3502</v>
      </c>
      <c r="I451" s="5" t="s">
        <v>2917</v>
      </c>
      <c r="J451" t="s">
        <v>1668</v>
      </c>
      <c r="K451" t="s">
        <v>57</v>
      </c>
      <c r="L451">
        <v>264</v>
      </c>
      <c r="P451" t="s">
        <v>2494</v>
      </c>
      <c r="Q451">
        <v>2022</v>
      </c>
      <c r="R451">
        <v>1997</v>
      </c>
      <c r="S451" s="1">
        <v>44664</v>
      </c>
      <c r="T451" s="1">
        <v>44646</v>
      </c>
      <c r="U451" t="s">
        <v>16</v>
      </c>
    </row>
    <row r="452" spans="1:21" x14ac:dyDescent="0.25">
      <c r="A452">
        <v>451</v>
      </c>
      <c r="B452">
        <v>6535855</v>
      </c>
      <c r="C452" t="s">
        <v>3503</v>
      </c>
      <c r="D452" t="s">
        <v>1079</v>
      </c>
      <c r="E452" t="s">
        <v>287</v>
      </c>
      <c r="F452" t="s">
        <v>288</v>
      </c>
      <c r="G452" t="s">
        <v>2724</v>
      </c>
      <c r="H452" t="s">
        <v>3504</v>
      </c>
      <c r="I452" s="5" t="s">
        <v>2890</v>
      </c>
      <c r="J452" t="s">
        <v>2499</v>
      </c>
      <c r="K452" t="s">
        <v>112</v>
      </c>
      <c r="L452">
        <v>371</v>
      </c>
      <c r="M452">
        <v>0.58472222222222225</v>
      </c>
      <c r="N452">
        <v>14.033333333333335</v>
      </c>
      <c r="O452" t="s">
        <v>4061</v>
      </c>
      <c r="P452" t="s">
        <v>2486</v>
      </c>
      <c r="Q452">
        <v>2018</v>
      </c>
      <c r="R452">
        <v>2004</v>
      </c>
      <c r="S452" s="1">
        <v>44658</v>
      </c>
      <c r="T452" s="1">
        <v>44651</v>
      </c>
      <c r="U452" t="s">
        <v>16</v>
      </c>
    </row>
    <row r="453" spans="1:21" x14ac:dyDescent="0.25">
      <c r="A453">
        <v>452</v>
      </c>
      <c r="B453">
        <v>59937676</v>
      </c>
      <c r="C453" t="s">
        <v>1080</v>
      </c>
      <c r="D453" t="s">
        <v>2726</v>
      </c>
      <c r="E453" t="s">
        <v>1081</v>
      </c>
      <c r="F453" t="s">
        <v>1082</v>
      </c>
      <c r="G453" t="s">
        <v>2725</v>
      </c>
      <c r="H453" t="s">
        <v>3505</v>
      </c>
      <c r="I453" s="5" t="s">
        <v>2901</v>
      </c>
      <c r="J453" t="s">
        <v>2492</v>
      </c>
      <c r="K453" t="s">
        <v>112</v>
      </c>
      <c r="L453">
        <v>264</v>
      </c>
      <c r="M453">
        <v>0.24374999999999999</v>
      </c>
      <c r="N453">
        <v>5.85</v>
      </c>
      <c r="O453" t="s">
        <v>4071</v>
      </c>
      <c r="P453" t="s">
        <v>2486</v>
      </c>
      <c r="Q453">
        <v>2021</v>
      </c>
      <c r="R453">
        <v>2020</v>
      </c>
      <c r="S453" s="1">
        <v>44650</v>
      </c>
      <c r="T453" s="1">
        <v>44587</v>
      </c>
      <c r="U453" t="s">
        <v>16</v>
      </c>
    </row>
    <row r="454" spans="1:21" x14ac:dyDescent="0.25">
      <c r="A454">
        <v>453</v>
      </c>
      <c r="B454">
        <v>41462047</v>
      </c>
      <c r="C454" t="s">
        <v>1083</v>
      </c>
      <c r="D454" t="s">
        <v>17</v>
      </c>
      <c r="E454" t="s">
        <v>1084</v>
      </c>
      <c r="F454" t="s">
        <v>1085</v>
      </c>
      <c r="H454" t="s">
        <v>3506</v>
      </c>
      <c r="I454" s="5" t="s">
        <v>2917</v>
      </c>
      <c r="J454" t="s">
        <v>1944</v>
      </c>
      <c r="K454" t="s">
        <v>57</v>
      </c>
      <c r="L454">
        <v>344</v>
      </c>
      <c r="P454" t="s">
        <v>2494</v>
      </c>
      <c r="Q454">
        <v>2018</v>
      </c>
      <c r="R454">
        <v>2018</v>
      </c>
      <c r="S454" s="1">
        <v>44649</v>
      </c>
      <c r="T454" s="1">
        <v>44646</v>
      </c>
      <c r="U454" t="s">
        <v>16</v>
      </c>
    </row>
    <row r="455" spans="1:21" x14ac:dyDescent="0.25">
      <c r="A455">
        <v>454</v>
      </c>
      <c r="B455">
        <v>6535894</v>
      </c>
      <c r="C455" t="s">
        <v>3507</v>
      </c>
      <c r="D455" t="s">
        <v>1087</v>
      </c>
      <c r="E455" t="s">
        <v>287</v>
      </c>
      <c r="F455" t="s">
        <v>288</v>
      </c>
      <c r="G455" t="s">
        <v>2724</v>
      </c>
      <c r="H455" t="s">
        <v>3508</v>
      </c>
      <c r="I455" s="5" t="s">
        <v>2890</v>
      </c>
      <c r="J455" t="s">
        <v>2627</v>
      </c>
      <c r="K455" t="s">
        <v>112</v>
      </c>
      <c r="L455">
        <v>636</v>
      </c>
      <c r="M455">
        <v>1.1361111111111111</v>
      </c>
      <c r="N455">
        <v>27.266666666666666</v>
      </c>
      <c r="O455" t="s">
        <v>4072</v>
      </c>
      <c r="P455" t="s">
        <v>2486</v>
      </c>
      <c r="Q455">
        <v>2018</v>
      </c>
      <c r="R455">
        <v>2003</v>
      </c>
      <c r="S455" s="1">
        <v>44648</v>
      </c>
      <c r="T455" s="1">
        <v>44630</v>
      </c>
      <c r="U455" t="s">
        <v>16</v>
      </c>
    </row>
    <row r="456" spans="1:21" x14ac:dyDescent="0.25">
      <c r="A456">
        <v>455</v>
      </c>
      <c r="B456">
        <v>36433167</v>
      </c>
      <c r="C456" t="s">
        <v>1090</v>
      </c>
      <c r="D456" t="s">
        <v>17</v>
      </c>
      <c r="E456" t="s">
        <v>1091</v>
      </c>
      <c r="F456" t="s">
        <v>1092</v>
      </c>
      <c r="H456" t="s">
        <v>3509</v>
      </c>
      <c r="I456" s="5" t="s">
        <v>2901</v>
      </c>
      <c r="J456" t="s">
        <v>1944</v>
      </c>
      <c r="K456" t="s">
        <v>57</v>
      </c>
      <c r="L456">
        <v>248</v>
      </c>
      <c r="P456" t="s">
        <v>2494</v>
      </c>
      <c r="Q456">
        <v>2017</v>
      </c>
      <c r="R456">
        <v>2015</v>
      </c>
      <c r="S456" s="1">
        <v>44645</v>
      </c>
      <c r="T456" s="1">
        <v>44640</v>
      </c>
      <c r="U456" t="s">
        <v>16</v>
      </c>
    </row>
    <row r="457" spans="1:21" x14ac:dyDescent="0.25">
      <c r="A457">
        <v>456</v>
      </c>
      <c r="B457">
        <v>58302405</v>
      </c>
      <c r="C457" t="s">
        <v>1093</v>
      </c>
      <c r="D457" t="s">
        <v>17</v>
      </c>
      <c r="E457" t="s">
        <v>1094</v>
      </c>
      <c r="F457" t="s">
        <v>1095</v>
      </c>
      <c r="H457" t="s">
        <v>3510</v>
      </c>
      <c r="I457" s="5" t="s">
        <v>2901</v>
      </c>
      <c r="J457" t="s">
        <v>1916</v>
      </c>
      <c r="K457" t="s">
        <v>57</v>
      </c>
      <c r="L457">
        <v>224</v>
      </c>
      <c r="P457" t="s">
        <v>2494</v>
      </c>
      <c r="Q457">
        <v>2021</v>
      </c>
      <c r="R457">
        <v>2020</v>
      </c>
      <c r="S457" s="1">
        <v>44637</v>
      </c>
      <c r="T457" s="1">
        <v>44633</v>
      </c>
      <c r="U457" t="s">
        <v>16</v>
      </c>
    </row>
    <row r="458" spans="1:21" x14ac:dyDescent="0.25">
      <c r="A458">
        <v>457</v>
      </c>
      <c r="B458">
        <v>55850977</v>
      </c>
      <c r="C458" t="s">
        <v>1096</v>
      </c>
      <c r="D458" t="s">
        <v>17</v>
      </c>
      <c r="E458" t="s">
        <v>1097</v>
      </c>
      <c r="F458" t="s">
        <v>1098</v>
      </c>
      <c r="H458" t="s">
        <v>3511</v>
      </c>
      <c r="I458" s="5" t="s">
        <v>2933</v>
      </c>
      <c r="J458" t="s">
        <v>1916</v>
      </c>
      <c r="K458" t="s">
        <v>2488</v>
      </c>
      <c r="L458">
        <v>320</v>
      </c>
      <c r="P458" t="s">
        <v>2494</v>
      </c>
      <c r="Q458">
        <v>2020</v>
      </c>
      <c r="R458">
        <v>2020</v>
      </c>
      <c r="S458" s="1">
        <v>44635</v>
      </c>
      <c r="T458" s="1">
        <v>44630</v>
      </c>
      <c r="U458" t="s">
        <v>16</v>
      </c>
    </row>
    <row r="459" spans="1:21" x14ac:dyDescent="0.25">
      <c r="A459">
        <v>458</v>
      </c>
      <c r="B459">
        <v>6605739</v>
      </c>
      <c r="C459" t="s">
        <v>3512</v>
      </c>
      <c r="D459" t="s">
        <v>1100</v>
      </c>
      <c r="E459" t="s">
        <v>287</v>
      </c>
      <c r="F459" t="s">
        <v>288</v>
      </c>
      <c r="G459" t="s">
        <v>2724</v>
      </c>
      <c r="H459" t="s">
        <v>3513</v>
      </c>
      <c r="I459" s="5" t="s">
        <v>2917</v>
      </c>
      <c r="J459" t="s">
        <v>2627</v>
      </c>
      <c r="K459" t="s">
        <v>112</v>
      </c>
      <c r="L459">
        <v>653</v>
      </c>
      <c r="M459">
        <v>1.2097222222222221</v>
      </c>
      <c r="N459">
        <v>29.033333333333331</v>
      </c>
      <c r="O459" t="s">
        <v>4073</v>
      </c>
      <c r="P459" t="s">
        <v>2486</v>
      </c>
      <c r="Q459">
        <v>2017</v>
      </c>
      <c r="R459">
        <v>1997</v>
      </c>
      <c r="S459" s="1">
        <v>44629</v>
      </c>
      <c r="T459" s="1">
        <v>44608</v>
      </c>
      <c r="U459" t="s">
        <v>16</v>
      </c>
    </row>
    <row r="460" spans="1:21" x14ac:dyDescent="0.25">
      <c r="A460">
        <v>459</v>
      </c>
      <c r="B460">
        <v>52959302</v>
      </c>
      <c r="C460" t="s">
        <v>1101</v>
      </c>
      <c r="D460" t="s">
        <v>17</v>
      </c>
      <c r="E460" t="s">
        <v>1094</v>
      </c>
      <c r="F460" t="s">
        <v>1095</v>
      </c>
      <c r="H460" t="s">
        <v>3514</v>
      </c>
      <c r="I460" s="5" t="s">
        <v>2890</v>
      </c>
      <c r="J460" t="s">
        <v>1673</v>
      </c>
      <c r="K460" t="s">
        <v>57</v>
      </c>
      <c r="L460">
        <v>168</v>
      </c>
      <c r="P460" t="s">
        <v>2494</v>
      </c>
      <c r="Q460">
        <v>2019</v>
      </c>
      <c r="R460">
        <v>2019</v>
      </c>
      <c r="S460" s="1">
        <v>44624</v>
      </c>
      <c r="T460" s="1">
        <v>44621</v>
      </c>
      <c r="U460" t="s">
        <v>16</v>
      </c>
    </row>
    <row r="461" spans="1:21" x14ac:dyDescent="0.25">
      <c r="A461">
        <v>460</v>
      </c>
      <c r="B461">
        <v>45407221</v>
      </c>
      <c r="C461" t="s">
        <v>1102</v>
      </c>
      <c r="D461" t="s">
        <v>17</v>
      </c>
      <c r="E461" t="s">
        <v>1103</v>
      </c>
      <c r="F461" t="s">
        <v>1104</v>
      </c>
      <c r="H461" t="s">
        <v>3515</v>
      </c>
      <c r="I461" s="5" t="s">
        <v>2933</v>
      </c>
      <c r="J461" t="s">
        <v>2179</v>
      </c>
      <c r="K461" t="s">
        <v>57</v>
      </c>
      <c r="L461">
        <v>340</v>
      </c>
      <c r="P461" t="s">
        <v>2494</v>
      </c>
      <c r="Q461">
        <v>2019</v>
      </c>
      <c r="R461">
        <v>2019</v>
      </c>
      <c r="S461" s="1">
        <v>44621</v>
      </c>
      <c r="T461" s="1">
        <v>44617</v>
      </c>
      <c r="U461" t="s">
        <v>16</v>
      </c>
    </row>
    <row r="462" spans="1:21" x14ac:dyDescent="0.25">
      <c r="A462">
        <v>461</v>
      </c>
      <c r="B462">
        <v>29622067</v>
      </c>
      <c r="C462" t="s">
        <v>1105</v>
      </c>
      <c r="D462" t="s">
        <v>17</v>
      </c>
      <c r="E462" t="s">
        <v>1106</v>
      </c>
      <c r="F462" t="s">
        <v>1107</v>
      </c>
      <c r="H462" t="s">
        <v>3516</v>
      </c>
      <c r="I462" s="5" t="s">
        <v>2890</v>
      </c>
      <c r="J462" t="s">
        <v>1673</v>
      </c>
      <c r="K462" t="s">
        <v>2488</v>
      </c>
      <c r="L462">
        <v>413</v>
      </c>
      <c r="P462" t="s">
        <v>2494</v>
      </c>
      <c r="Q462">
        <v>2016</v>
      </c>
      <c r="R462">
        <v>2016</v>
      </c>
      <c r="S462" s="1">
        <v>44620</v>
      </c>
      <c r="T462" s="1">
        <v>44613</v>
      </c>
      <c r="U462" t="s">
        <v>16</v>
      </c>
    </row>
    <row r="463" spans="1:21" x14ac:dyDescent="0.25">
      <c r="A463">
        <v>462</v>
      </c>
      <c r="B463">
        <v>36216607</v>
      </c>
      <c r="C463" t="s">
        <v>3517</v>
      </c>
      <c r="D463" t="s">
        <v>1109</v>
      </c>
      <c r="E463" t="s">
        <v>1110</v>
      </c>
      <c r="F463" t="s">
        <v>1111</v>
      </c>
      <c r="H463" t="s">
        <v>3518</v>
      </c>
      <c r="I463" s="5" t="s">
        <v>2901</v>
      </c>
      <c r="J463" t="s">
        <v>2182</v>
      </c>
      <c r="K463" t="s">
        <v>57</v>
      </c>
      <c r="L463">
        <v>384</v>
      </c>
      <c r="P463" t="s">
        <v>2494</v>
      </c>
      <c r="Q463">
        <v>2018</v>
      </c>
      <c r="R463">
        <v>2017</v>
      </c>
      <c r="S463" s="1">
        <v>44611</v>
      </c>
      <c r="T463" s="1">
        <v>44607</v>
      </c>
      <c r="U463" t="s">
        <v>16</v>
      </c>
    </row>
    <row r="464" spans="1:21" x14ac:dyDescent="0.25">
      <c r="A464">
        <v>463</v>
      </c>
      <c r="B464">
        <v>49202543</v>
      </c>
      <c r="C464" t="s">
        <v>3519</v>
      </c>
      <c r="D464" t="s">
        <v>1113</v>
      </c>
      <c r="E464" t="s">
        <v>1006</v>
      </c>
      <c r="F464" t="s">
        <v>1007</v>
      </c>
      <c r="H464" t="s">
        <v>3520</v>
      </c>
      <c r="I464" s="5" t="s">
        <v>2890</v>
      </c>
      <c r="J464" t="s">
        <v>1685</v>
      </c>
      <c r="K464" t="s">
        <v>57</v>
      </c>
      <c r="L464">
        <v>376</v>
      </c>
      <c r="P464" t="s">
        <v>2486</v>
      </c>
      <c r="Q464">
        <v>2019</v>
      </c>
      <c r="R464">
        <v>2018</v>
      </c>
      <c r="S464" s="1">
        <v>44609</v>
      </c>
      <c r="T464" s="1">
        <v>44600</v>
      </c>
      <c r="U464" t="s">
        <v>16</v>
      </c>
    </row>
    <row r="465" spans="1:21" x14ac:dyDescent="0.25">
      <c r="A465">
        <v>464</v>
      </c>
      <c r="B465">
        <v>54581279</v>
      </c>
      <c r="C465" t="s">
        <v>1114</v>
      </c>
      <c r="D465" t="s">
        <v>17</v>
      </c>
      <c r="E465" t="s">
        <v>1115</v>
      </c>
      <c r="F465" t="s">
        <v>1116</v>
      </c>
      <c r="H465" t="s">
        <v>3521</v>
      </c>
      <c r="I465" s="5" t="s">
        <v>2933</v>
      </c>
      <c r="J465" t="s">
        <v>2185</v>
      </c>
      <c r="K465" t="s">
        <v>2488</v>
      </c>
      <c r="L465">
        <v>540</v>
      </c>
      <c r="P465" t="s">
        <v>2494</v>
      </c>
      <c r="Q465">
        <v>2020</v>
      </c>
      <c r="R465">
        <v>2020</v>
      </c>
      <c r="S465" s="1">
        <v>44608</v>
      </c>
      <c r="T465" s="1">
        <v>44602</v>
      </c>
      <c r="U465" t="s">
        <v>16</v>
      </c>
    </row>
    <row r="466" spans="1:21" x14ac:dyDescent="0.25">
      <c r="A466">
        <v>465</v>
      </c>
      <c r="B466">
        <v>6605707</v>
      </c>
      <c r="C466" t="s">
        <v>3522</v>
      </c>
      <c r="D466" t="s">
        <v>1118</v>
      </c>
      <c r="E466" t="s">
        <v>287</v>
      </c>
      <c r="F466" t="s">
        <v>288</v>
      </c>
      <c r="G466" t="s">
        <v>2724</v>
      </c>
      <c r="H466" t="s">
        <v>3523</v>
      </c>
      <c r="I466" s="5" t="s">
        <v>2890</v>
      </c>
      <c r="J466" t="s">
        <v>2499</v>
      </c>
      <c r="K466" t="s">
        <v>112</v>
      </c>
      <c r="L466">
        <v>462</v>
      </c>
      <c r="M466">
        <v>0.81319444444444444</v>
      </c>
      <c r="N466">
        <v>19.516666666666666</v>
      </c>
      <c r="O466" t="s">
        <v>4060</v>
      </c>
      <c r="P466" t="s">
        <v>2486</v>
      </c>
      <c r="Q466">
        <v>2017</v>
      </c>
      <c r="R466">
        <v>1991</v>
      </c>
      <c r="S466" s="1">
        <v>44605</v>
      </c>
      <c r="T466" s="1">
        <v>44595</v>
      </c>
      <c r="U466" t="s">
        <v>16</v>
      </c>
    </row>
    <row r="467" spans="1:21" x14ac:dyDescent="0.25">
      <c r="A467">
        <v>466</v>
      </c>
      <c r="B467">
        <v>35796024</v>
      </c>
      <c r="C467" t="s">
        <v>2727</v>
      </c>
      <c r="D467" t="s">
        <v>17</v>
      </c>
      <c r="E467" t="s">
        <v>1119</v>
      </c>
      <c r="F467" t="s">
        <v>1120</v>
      </c>
      <c r="H467" t="s">
        <v>3524</v>
      </c>
      <c r="I467" s="5" t="s">
        <v>2890</v>
      </c>
      <c r="J467" t="s">
        <v>2728</v>
      </c>
      <c r="K467" t="s">
        <v>2488</v>
      </c>
      <c r="L467">
        <v>192</v>
      </c>
      <c r="P467" t="s">
        <v>2494</v>
      </c>
      <c r="Q467">
        <v>2018</v>
      </c>
      <c r="R467">
        <v>2018</v>
      </c>
      <c r="S467" s="1">
        <v>44600</v>
      </c>
      <c r="T467" s="1">
        <v>44595</v>
      </c>
      <c r="U467" t="s">
        <v>16</v>
      </c>
    </row>
    <row r="468" spans="1:21" x14ac:dyDescent="0.25">
      <c r="A468">
        <v>467</v>
      </c>
      <c r="B468">
        <v>6603219</v>
      </c>
      <c r="C468" t="s">
        <v>3525</v>
      </c>
      <c r="D468" t="s">
        <v>1122</v>
      </c>
      <c r="E468" t="s">
        <v>287</v>
      </c>
      <c r="F468" t="s">
        <v>288</v>
      </c>
      <c r="G468" t="s">
        <v>2724</v>
      </c>
      <c r="H468" t="s">
        <v>3526</v>
      </c>
      <c r="I468" s="5" t="s">
        <v>2917</v>
      </c>
      <c r="J468" t="s">
        <v>2627</v>
      </c>
      <c r="K468" t="s">
        <v>112</v>
      </c>
      <c r="L468">
        <v>420</v>
      </c>
      <c r="M468">
        <v>0.60833333333333328</v>
      </c>
      <c r="N468">
        <v>14.599999999999998</v>
      </c>
      <c r="O468" t="s">
        <v>4050</v>
      </c>
      <c r="P468" t="s">
        <v>2486</v>
      </c>
      <c r="Q468">
        <v>2016</v>
      </c>
      <c r="R468">
        <v>1987</v>
      </c>
      <c r="S468" s="1">
        <v>44593</v>
      </c>
      <c r="T468" s="1">
        <v>44589</v>
      </c>
      <c r="U468" t="s">
        <v>16</v>
      </c>
    </row>
    <row r="469" spans="1:21" x14ac:dyDescent="0.25">
      <c r="A469">
        <v>468</v>
      </c>
      <c r="B469">
        <v>59927668</v>
      </c>
      <c r="C469" t="s">
        <v>1123</v>
      </c>
      <c r="D469" t="s">
        <v>17</v>
      </c>
      <c r="E469" t="s">
        <v>1124</v>
      </c>
      <c r="F469" t="s">
        <v>1125</v>
      </c>
      <c r="H469" t="s">
        <v>3527</v>
      </c>
      <c r="I469" s="5" t="s">
        <v>2890</v>
      </c>
      <c r="J469" t="s">
        <v>2189</v>
      </c>
      <c r="K469" t="s">
        <v>2488</v>
      </c>
      <c r="L469">
        <v>144</v>
      </c>
      <c r="P469" t="s">
        <v>2494</v>
      </c>
      <c r="Q469">
        <v>2021</v>
      </c>
      <c r="R469">
        <v>2021</v>
      </c>
      <c r="S469" s="1">
        <v>44598</v>
      </c>
      <c r="T469" s="1">
        <v>44594</v>
      </c>
      <c r="U469" t="s">
        <v>16</v>
      </c>
    </row>
    <row r="470" spans="1:21" x14ac:dyDescent="0.25">
      <c r="A470">
        <v>469</v>
      </c>
      <c r="B470">
        <v>58913978</v>
      </c>
      <c r="C470" t="s">
        <v>1126</v>
      </c>
      <c r="D470" t="s">
        <v>17</v>
      </c>
      <c r="E470" t="s">
        <v>1127</v>
      </c>
      <c r="F470" t="s">
        <v>1128</v>
      </c>
      <c r="H470" t="s">
        <v>3528</v>
      </c>
      <c r="I470" s="5" t="s">
        <v>2901</v>
      </c>
      <c r="J470" t="s">
        <v>1770</v>
      </c>
      <c r="K470" t="s">
        <v>2488</v>
      </c>
      <c r="L470">
        <v>456</v>
      </c>
      <c r="P470" t="s">
        <v>2494</v>
      </c>
      <c r="Q470">
        <v>2021</v>
      </c>
      <c r="R470">
        <v>2012</v>
      </c>
      <c r="S470" s="1">
        <v>44595</v>
      </c>
      <c r="T470" s="1">
        <v>44591</v>
      </c>
      <c r="U470" t="s">
        <v>16</v>
      </c>
    </row>
    <row r="471" spans="1:21" x14ac:dyDescent="0.25">
      <c r="A471">
        <v>470</v>
      </c>
      <c r="B471">
        <v>58187472</v>
      </c>
      <c r="C471" t="s">
        <v>1129</v>
      </c>
      <c r="D471" t="s">
        <v>17</v>
      </c>
      <c r="E471" t="s">
        <v>1130</v>
      </c>
      <c r="F471" t="s">
        <v>1131</v>
      </c>
      <c r="H471" t="s">
        <v>3529</v>
      </c>
      <c r="I471" s="5" t="s">
        <v>2933</v>
      </c>
      <c r="J471" t="s">
        <v>1668</v>
      </c>
      <c r="K471" t="s">
        <v>57</v>
      </c>
      <c r="L471">
        <v>280</v>
      </c>
      <c r="P471" t="s">
        <v>2486</v>
      </c>
      <c r="Q471">
        <v>2021</v>
      </c>
      <c r="R471">
        <v>2021</v>
      </c>
      <c r="S471" s="1">
        <v>44590</v>
      </c>
      <c r="T471" s="1">
        <v>44586</v>
      </c>
      <c r="U471" t="s">
        <v>16</v>
      </c>
    </row>
    <row r="472" spans="1:21" x14ac:dyDescent="0.25">
      <c r="A472">
        <v>471</v>
      </c>
      <c r="B472">
        <v>20742000</v>
      </c>
      <c r="C472" t="s">
        <v>3530</v>
      </c>
      <c r="D472" t="s">
        <v>1133</v>
      </c>
      <c r="E472" t="s">
        <v>302</v>
      </c>
      <c r="F472" t="s">
        <v>303</v>
      </c>
      <c r="H472" t="s">
        <v>3531</v>
      </c>
      <c r="I472" s="5" t="s">
        <v>2901</v>
      </c>
      <c r="J472" t="s">
        <v>1723</v>
      </c>
      <c r="K472" t="s">
        <v>57</v>
      </c>
      <c r="L472">
        <v>916</v>
      </c>
      <c r="P472" t="s">
        <v>2486</v>
      </c>
      <c r="Q472">
        <v>2011</v>
      </c>
      <c r="R472">
        <v>1989</v>
      </c>
      <c r="S472" s="1">
        <v>44589</v>
      </c>
      <c r="T472" s="1">
        <v>44563</v>
      </c>
      <c r="U472" t="s">
        <v>16</v>
      </c>
    </row>
    <row r="473" spans="1:21" x14ac:dyDescent="0.25">
      <c r="A473">
        <v>472</v>
      </c>
      <c r="B473">
        <v>57421571</v>
      </c>
      <c r="C473" t="s">
        <v>1134</v>
      </c>
      <c r="D473" t="s">
        <v>17</v>
      </c>
      <c r="E473" t="s">
        <v>1124</v>
      </c>
      <c r="F473" t="s">
        <v>1125</v>
      </c>
      <c r="H473" t="s">
        <v>3532</v>
      </c>
      <c r="I473" s="5" t="s">
        <v>2890</v>
      </c>
      <c r="J473" t="s">
        <v>1668</v>
      </c>
      <c r="K473" t="s">
        <v>2488</v>
      </c>
      <c r="L473">
        <v>216</v>
      </c>
      <c r="P473" t="s">
        <v>2494</v>
      </c>
      <c r="Q473">
        <v>2021</v>
      </c>
      <c r="R473">
        <v>2021</v>
      </c>
      <c r="S473" s="1">
        <v>44586</v>
      </c>
      <c r="T473" s="1">
        <v>44506</v>
      </c>
      <c r="U473" t="s">
        <v>16</v>
      </c>
    </row>
    <row r="474" spans="1:21" x14ac:dyDescent="0.25">
      <c r="A474">
        <v>473</v>
      </c>
      <c r="B474">
        <v>32018713</v>
      </c>
      <c r="C474" t="s">
        <v>2729</v>
      </c>
      <c r="D474" t="s">
        <v>2730</v>
      </c>
      <c r="E474" t="s">
        <v>1135</v>
      </c>
      <c r="F474" t="s">
        <v>1136</v>
      </c>
      <c r="H474" t="s">
        <v>3533</v>
      </c>
      <c r="I474" s="5" t="s">
        <v>2933</v>
      </c>
      <c r="J474" t="s">
        <v>2195</v>
      </c>
      <c r="K474" t="s">
        <v>2488</v>
      </c>
      <c r="L474">
        <v>256</v>
      </c>
      <c r="P474" t="s">
        <v>2494</v>
      </c>
      <c r="Q474">
        <v>2017</v>
      </c>
      <c r="R474">
        <v>2017</v>
      </c>
      <c r="S474" s="1">
        <v>44584</v>
      </c>
      <c r="T474" s="1">
        <v>44506</v>
      </c>
      <c r="U474" t="s">
        <v>16</v>
      </c>
    </row>
    <row r="475" spans="1:21" x14ac:dyDescent="0.25">
      <c r="A475">
        <v>474</v>
      </c>
      <c r="B475">
        <v>6603200</v>
      </c>
      <c r="C475" t="s">
        <v>3534</v>
      </c>
      <c r="D475" t="s">
        <v>1138</v>
      </c>
      <c r="E475" t="s">
        <v>287</v>
      </c>
      <c r="F475" t="s">
        <v>288</v>
      </c>
      <c r="G475" t="s">
        <v>2724</v>
      </c>
      <c r="H475" t="s">
        <v>3535</v>
      </c>
      <c r="I475" s="5" t="s">
        <v>2917</v>
      </c>
      <c r="J475" t="s">
        <v>2627</v>
      </c>
      <c r="K475" t="s">
        <v>112</v>
      </c>
      <c r="L475">
        <v>199</v>
      </c>
      <c r="M475">
        <v>0.31180555555555556</v>
      </c>
      <c r="N475">
        <v>7.4833333333333334</v>
      </c>
      <c r="O475" t="s">
        <v>4074</v>
      </c>
      <c r="P475" t="s">
        <v>2486</v>
      </c>
      <c r="Q475">
        <v>2016</v>
      </c>
      <c r="R475">
        <v>1982</v>
      </c>
      <c r="S475" s="1">
        <v>44583</v>
      </c>
      <c r="T475" s="1">
        <v>44566</v>
      </c>
      <c r="U475" t="s">
        <v>16</v>
      </c>
    </row>
    <row r="476" spans="1:21" x14ac:dyDescent="0.25">
      <c r="A476">
        <v>475</v>
      </c>
      <c r="B476">
        <v>52496980</v>
      </c>
      <c r="C476" t="s">
        <v>1139</v>
      </c>
      <c r="D476" t="s">
        <v>17</v>
      </c>
      <c r="E476" t="s">
        <v>552</v>
      </c>
      <c r="F476" t="s">
        <v>553</v>
      </c>
      <c r="G476" t="s">
        <v>2731</v>
      </c>
      <c r="H476" t="s">
        <v>3536</v>
      </c>
      <c r="I476" s="5" t="s">
        <v>2901</v>
      </c>
      <c r="J476" t="s">
        <v>2545</v>
      </c>
      <c r="K476" t="s">
        <v>112</v>
      </c>
      <c r="L476">
        <v>552</v>
      </c>
      <c r="M476">
        <v>0.73333333333333328</v>
      </c>
      <c r="N476">
        <v>17.599999999999998</v>
      </c>
      <c r="O476" t="s">
        <v>4017</v>
      </c>
      <c r="P476" t="s">
        <v>2486</v>
      </c>
      <c r="Q476">
        <v>2020</v>
      </c>
      <c r="R476">
        <v>2019</v>
      </c>
      <c r="S476" s="1">
        <v>44580</v>
      </c>
      <c r="T476" s="1">
        <v>44576</v>
      </c>
      <c r="U476" t="s">
        <v>16</v>
      </c>
    </row>
    <row r="477" spans="1:21" x14ac:dyDescent="0.25">
      <c r="A477">
        <v>476</v>
      </c>
      <c r="B477">
        <v>53437928</v>
      </c>
      <c r="C477" t="s">
        <v>1140</v>
      </c>
      <c r="D477" t="s">
        <v>17</v>
      </c>
      <c r="E477" t="s">
        <v>287</v>
      </c>
      <c r="F477" t="s">
        <v>288</v>
      </c>
      <c r="H477" t="s">
        <v>3537</v>
      </c>
      <c r="I477" s="5" t="s">
        <v>2933</v>
      </c>
      <c r="J477" t="s">
        <v>1668</v>
      </c>
      <c r="K477" t="s">
        <v>2488</v>
      </c>
      <c r="L477">
        <v>608</v>
      </c>
      <c r="P477" t="s">
        <v>2494</v>
      </c>
      <c r="Q477">
        <v>2020</v>
      </c>
      <c r="R477">
        <v>2019</v>
      </c>
      <c r="S477" s="1">
        <v>44580</v>
      </c>
      <c r="T477" s="1">
        <v>44545</v>
      </c>
      <c r="U477" t="s">
        <v>16</v>
      </c>
    </row>
    <row r="478" spans="1:21" x14ac:dyDescent="0.25">
      <c r="A478">
        <v>477</v>
      </c>
      <c r="B478">
        <v>34120884</v>
      </c>
      <c r="C478" t="s">
        <v>1141</v>
      </c>
      <c r="D478" t="s">
        <v>17</v>
      </c>
      <c r="E478" t="s">
        <v>552</v>
      </c>
      <c r="F478" t="s">
        <v>553</v>
      </c>
      <c r="G478" t="s">
        <v>2732</v>
      </c>
      <c r="H478" t="s">
        <v>3538</v>
      </c>
      <c r="I478" s="5" t="s">
        <v>2901</v>
      </c>
      <c r="J478" t="s">
        <v>2198</v>
      </c>
      <c r="K478" t="s">
        <v>112</v>
      </c>
      <c r="L478">
        <v>624</v>
      </c>
      <c r="M478">
        <v>0.7631944444444444</v>
      </c>
      <c r="N478">
        <v>18.316666666666666</v>
      </c>
      <c r="O478" t="s">
        <v>4075</v>
      </c>
      <c r="P478" t="s">
        <v>2486</v>
      </c>
      <c r="Q478">
        <v>2017</v>
      </c>
      <c r="R478">
        <v>2015</v>
      </c>
      <c r="S478" s="1">
        <v>44575</v>
      </c>
      <c r="T478" s="1">
        <v>44567</v>
      </c>
      <c r="U478" t="s">
        <v>16</v>
      </c>
    </row>
    <row r="479" spans="1:21" x14ac:dyDescent="0.25">
      <c r="A479">
        <v>478</v>
      </c>
      <c r="B479">
        <v>59004227</v>
      </c>
      <c r="C479" t="s">
        <v>1143</v>
      </c>
      <c r="D479" t="s">
        <v>17</v>
      </c>
      <c r="E479" t="s">
        <v>62</v>
      </c>
      <c r="F479" t="s">
        <v>63</v>
      </c>
      <c r="H479" t="s">
        <v>3539</v>
      </c>
      <c r="I479" s="5" t="s">
        <v>2890</v>
      </c>
      <c r="J479" t="s">
        <v>1668</v>
      </c>
      <c r="K479" t="s">
        <v>2488</v>
      </c>
      <c r="L479">
        <v>216</v>
      </c>
      <c r="P479" t="s">
        <v>2494</v>
      </c>
      <c r="Q479">
        <v>2021</v>
      </c>
      <c r="R479">
        <v>2021</v>
      </c>
      <c r="S479" s="1">
        <v>44572</v>
      </c>
      <c r="T479" s="1">
        <v>44569</v>
      </c>
      <c r="U479" t="s">
        <v>16</v>
      </c>
    </row>
    <row r="480" spans="1:21" x14ac:dyDescent="0.25">
      <c r="A480">
        <v>479</v>
      </c>
      <c r="B480">
        <v>59004220</v>
      </c>
      <c r="C480" t="s">
        <v>1144</v>
      </c>
      <c r="D480" t="s">
        <v>17</v>
      </c>
      <c r="E480" t="s">
        <v>62</v>
      </c>
      <c r="F480" t="s">
        <v>63</v>
      </c>
      <c r="H480" t="s">
        <v>3540</v>
      </c>
      <c r="I480" s="5" t="s">
        <v>2890</v>
      </c>
      <c r="J480" t="s">
        <v>1668</v>
      </c>
      <c r="K480" t="s">
        <v>2488</v>
      </c>
      <c r="L480">
        <v>248</v>
      </c>
      <c r="P480" t="s">
        <v>2494</v>
      </c>
      <c r="Q480">
        <v>2021</v>
      </c>
      <c r="R480">
        <v>2021</v>
      </c>
      <c r="S480" s="1">
        <v>44569</v>
      </c>
      <c r="T480" s="1">
        <v>44456</v>
      </c>
      <c r="U480" t="s">
        <v>16</v>
      </c>
    </row>
    <row r="481" spans="1:21" x14ac:dyDescent="0.25">
      <c r="A481">
        <v>480</v>
      </c>
      <c r="B481">
        <v>29036</v>
      </c>
      <c r="C481" t="s">
        <v>1145</v>
      </c>
      <c r="D481" t="s">
        <v>17</v>
      </c>
      <c r="E481" t="s">
        <v>1146</v>
      </c>
      <c r="F481" t="s">
        <v>1147</v>
      </c>
      <c r="H481" t="s">
        <v>3541</v>
      </c>
      <c r="I481" s="5" t="s">
        <v>2901</v>
      </c>
      <c r="J481" t="s">
        <v>2204</v>
      </c>
      <c r="K481" t="s">
        <v>57</v>
      </c>
      <c r="L481">
        <v>546</v>
      </c>
      <c r="P481" t="s">
        <v>2603</v>
      </c>
      <c r="Q481">
        <v>2005</v>
      </c>
      <c r="R481">
        <v>2004</v>
      </c>
      <c r="S481" s="1">
        <v>44568</v>
      </c>
      <c r="T481" s="1">
        <v>44532</v>
      </c>
      <c r="U481" t="s">
        <v>16</v>
      </c>
    </row>
    <row r="482" spans="1:21" x14ac:dyDescent="0.25">
      <c r="A482">
        <v>481</v>
      </c>
      <c r="B482">
        <v>56899806</v>
      </c>
      <c r="C482" t="s">
        <v>3542</v>
      </c>
      <c r="D482" t="s">
        <v>1149</v>
      </c>
      <c r="E482" t="s">
        <v>552</v>
      </c>
      <c r="F482" t="s">
        <v>553</v>
      </c>
      <c r="G482" t="s">
        <v>2731</v>
      </c>
      <c r="H482" t="s">
        <v>3543</v>
      </c>
      <c r="I482" s="5" t="s">
        <v>2890</v>
      </c>
      <c r="J482" t="s">
        <v>2545</v>
      </c>
      <c r="K482" t="s">
        <v>112</v>
      </c>
      <c r="L482">
        <v>552</v>
      </c>
      <c r="M482">
        <v>0.66666666666666663</v>
      </c>
      <c r="N482">
        <v>16</v>
      </c>
      <c r="O482" t="s">
        <v>4076</v>
      </c>
      <c r="P482" t="s">
        <v>2486</v>
      </c>
      <c r="Q482">
        <v>2021</v>
      </c>
      <c r="R482">
        <v>2020</v>
      </c>
      <c r="S482" s="1">
        <v>44567</v>
      </c>
      <c r="T482" s="1">
        <v>44561</v>
      </c>
      <c r="U482" t="s">
        <v>16</v>
      </c>
    </row>
    <row r="483" spans="1:21" x14ac:dyDescent="0.25">
      <c r="A483">
        <v>482</v>
      </c>
      <c r="B483">
        <v>43702450</v>
      </c>
      <c r="C483" t="s">
        <v>3481</v>
      </c>
      <c r="D483" t="s">
        <v>1151</v>
      </c>
      <c r="E483" t="s">
        <v>552</v>
      </c>
      <c r="F483" t="s">
        <v>553</v>
      </c>
      <c r="G483" t="s">
        <v>2731</v>
      </c>
      <c r="H483" t="s">
        <v>3544</v>
      </c>
      <c r="I483" s="5" t="s">
        <v>2901</v>
      </c>
      <c r="J483" t="s">
        <v>2545</v>
      </c>
      <c r="K483" t="s">
        <v>112</v>
      </c>
      <c r="L483">
        <v>432</v>
      </c>
      <c r="M483">
        <v>0.60486111111111107</v>
      </c>
      <c r="N483">
        <v>14.516666666666666</v>
      </c>
      <c r="O483" t="s">
        <v>3917</v>
      </c>
      <c r="P483" t="s">
        <v>2486</v>
      </c>
      <c r="Q483">
        <v>2019</v>
      </c>
      <c r="R483">
        <v>2018</v>
      </c>
      <c r="S483" s="1">
        <v>44560</v>
      </c>
      <c r="T483" s="1">
        <v>44558</v>
      </c>
      <c r="U483" t="s">
        <v>16</v>
      </c>
    </row>
    <row r="484" spans="1:21" x14ac:dyDescent="0.25">
      <c r="A484">
        <v>483</v>
      </c>
      <c r="B484">
        <v>40654090</v>
      </c>
      <c r="C484" t="s">
        <v>3545</v>
      </c>
      <c r="D484" t="s">
        <v>1153</v>
      </c>
      <c r="E484" t="s">
        <v>1006</v>
      </c>
      <c r="F484" t="s">
        <v>1007</v>
      </c>
      <c r="H484" t="s">
        <v>3546</v>
      </c>
      <c r="I484" s="5" t="s">
        <v>2890</v>
      </c>
      <c r="J484" t="s">
        <v>2208</v>
      </c>
      <c r="K484" t="s">
        <v>57</v>
      </c>
      <c r="L484">
        <v>367</v>
      </c>
      <c r="P484" t="s">
        <v>2486</v>
      </c>
      <c r="Q484">
        <v>2018</v>
      </c>
      <c r="R484">
        <v>2016</v>
      </c>
      <c r="S484" s="1">
        <v>44559</v>
      </c>
      <c r="T484" s="1">
        <v>44558</v>
      </c>
      <c r="U484" t="s">
        <v>16</v>
      </c>
    </row>
    <row r="485" spans="1:21" x14ac:dyDescent="0.25">
      <c r="A485">
        <v>484</v>
      </c>
      <c r="B485">
        <v>16071295</v>
      </c>
      <c r="C485" t="s">
        <v>3547</v>
      </c>
      <c r="D485" t="s">
        <v>1155</v>
      </c>
      <c r="E485" t="s">
        <v>1156</v>
      </c>
      <c r="F485" t="s">
        <v>1157</v>
      </c>
      <c r="G485" t="s">
        <v>2733</v>
      </c>
      <c r="H485" t="s">
        <v>3548</v>
      </c>
      <c r="I485" s="5" t="s">
        <v>2890</v>
      </c>
      <c r="J485" t="s">
        <v>2492</v>
      </c>
      <c r="K485" t="s">
        <v>112</v>
      </c>
      <c r="L485">
        <v>244</v>
      </c>
      <c r="M485">
        <v>0.27152777777777776</v>
      </c>
      <c r="N485">
        <v>6.5166666666666657</v>
      </c>
      <c r="O485" t="s">
        <v>4077</v>
      </c>
      <c r="P485" t="s">
        <v>2486</v>
      </c>
      <c r="Q485">
        <v>2012</v>
      </c>
      <c r="R485">
        <v>2012</v>
      </c>
      <c r="S485" s="1">
        <v>44433</v>
      </c>
      <c r="T485" s="1">
        <v>44558</v>
      </c>
      <c r="U485" t="s">
        <v>16</v>
      </c>
    </row>
    <row r="486" spans="1:21" x14ac:dyDescent="0.25">
      <c r="A486">
        <v>485</v>
      </c>
      <c r="B486">
        <v>55260956</v>
      </c>
      <c r="C486" t="s">
        <v>1158</v>
      </c>
      <c r="D486" t="s">
        <v>17</v>
      </c>
      <c r="E486" t="s">
        <v>62</v>
      </c>
      <c r="F486" t="s">
        <v>63</v>
      </c>
      <c r="H486" t="s">
        <v>3549</v>
      </c>
      <c r="I486" s="5" t="s">
        <v>2901</v>
      </c>
      <c r="J486" t="s">
        <v>1668</v>
      </c>
      <c r="K486" t="s">
        <v>2488</v>
      </c>
      <c r="L486">
        <v>248</v>
      </c>
      <c r="P486" t="s">
        <v>2494</v>
      </c>
      <c r="Q486">
        <v>2020</v>
      </c>
      <c r="R486">
        <v>2020</v>
      </c>
      <c r="S486" s="1">
        <v>44209</v>
      </c>
      <c r="T486" s="1">
        <v>44154</v>
      </c>
      <c r="U486" t="s">
        <v>16</v>
      </c>
    </row>
    <row r="487" spans="1:21" x14ac:dyDescent="0.25">
      <c r="A487">
        <v>486</v>
      </c>
      <c r="B487">
        <v>8540533</v>
      </c>
      <c r="C487" t="s">
        <v>1159</v>
      </c>
      <c r="D487" t="s">
        <v>17</v>
      </c>
      <c r="E487" t="s">
        <v>1160</v>
      </c>
      <c r="F487" t="s">
        <v>1161</v>
      </c>
      <c r="H487" t="s">
        <v>3550</v>
      </c>
      <c r="I487" s="5" t="s">
        <v>3006</v>
      </c>
      <c r="J487" t="s">
        <v>2212</v>
      </c>
      <c r="K487" t="s">
        <v>57</v>
      </c>
      <c r="L487">
        <v>877</v>
      </c>
      <c r="P487" t="s">
        <v>2494</v>
      </c>
      <c r="Q487">
        <v>2009</v>
      </c>
      <c r="R487">
        <v>1878</v>
      </c>
      <c r="S487" s="1">
        <v>44215</v>
      </c>
      <c r="T487" s="1">
        <v>44076</v>
      </c>
      <c r="U487" t="s">
        <v>16</v>
      </c>
    </row>
    <row r="488" spans="1:21" x14ac:dyDescent="0.25">
      <c r="A488">
        <v>487</v>
      </c>
      <c r="B488">
        <v>55850937</v>
      </c>
      <c r="C488" t="s">
        <v>1162</v>
      </c>
      <c r="D488" t="s">
        <v>17</v>
      </c>
      <c r="E488" t="s">
        <v>1163</v>
      </c>
      <c r="F488" t="s">
        <v>1164</v>
      </c>
      <c r="H488" t="s">
        <v>3551</v>
      </c>
      <c r="I488" s="5" t="s">
        <v>2901</v>
      </c>
      <c r="J488" t="s">
        <v>1668</v>
      </c>
      <c r="K488" t="s">
        <v>2488</v>
      </c>
      <c r="L488">
        <v>424</v>
      </c>
      <c r="P488" t="s">
        <v>2494</v>
      </c>
      <c r="Q488">
        <v>2020</v>
      </c>
      <c r="R488">
        <v>2020</v>
      </c>
      <c r="S488" s="1">
        <v>44235</v>
      </c>
      <c r="T488" s="1">
        <v>44169</v>
      </c>
      <c r="U488" t="s">
        <v>16</v>
      </c>
    </row>
    <row r="489" spans="1:21" x14ac:dyDescent="0.25">
      <c r="A489">
        <v>488</v>
      </c>
      <c r="B489">
        <v>28224373</v>
      </c>
      <c r="C489" t="s">
        <v>1165</v>
      </c>
      <c r="D489" t="s">
        <v>17</v>
      </c>
      <c r="E489" t="s">
        <v>1166</v>
      </c>
      <c r="F489" t="s">
        <v>1167</v>
      </c>
      <c r="H489" t="s">
        <v>3552</v>
      </c>
      <c r="I489" s="5" t="s">
        <v>2901</v>
      </c>
      <c r="J489" t="s">
        <v>1668</v>
      </c>
      <c r="K489" t="s">
        <v>2488</v>
      </c>
      <c r="L489">
        <v>208</v>
      </c>
      <c r="P489" t="s">
        <v>2494</v>
      </c>
      <c r="Q489">
        <v>2015</v>
      </c>
      <c r="R489">
        <v>2014</v>
      </c>
      <c r="S489" s="1">
        <v>44269</v>
      </c>
      <c r="T489" s="1">
        <v>44265</v>
      </c>
      <c r="U489" t="s">
        <v>16</v>
      </c>
    </row>
    <row r="490" spans="1:21" x14ac:dyDescent="0.25">
      <c r="A490">
        <v>489</v>
      </c>
      <c r="B490">
        <v>6567017</v>
      </c>
      <c r="C490" t="s">
        <v>1168</v>
      </c>
      <c r="D490" t="s">
        <v>17</v>
      </c>
      <c r="E490" t="s">
        <v>1169</v>
      </c>
      <c r="F490" t="s">
        <v>1170</v>
      </c>
      <c r="H490" t="s">
        <v>3553</v>
      </c>
      <c r="I490" s="5" t="s">
        <v>2890</v>
      </c>
      <c r="J490" t="s">
        <v>1668</v>
      </c>
      <c r="K490" t="s">
        <v>2488</v>
      </c>
      <c r="L490">
        <v>320</v>
      </c>
      <c r="P490" t="s">
        <v>2494</v>
      </c>
      <c r="Q490">
        <v>2010</v>
      </c>
      <c r="R490">
        <v>2010</v>
      </c>
      <c r="S490" s="1">
        <v>44272</v>
      </c>
      <c r="T490" s="1">
        <v>44270</v>
      </c>
      <c r="U490" t="s">
        <v>16</v>
      </c>
    </row>
    <row r="491" spans="1:21" x14ac:dyDescent="0.25">
      <c r="A491">
        <v>490</v>
      </c>
      <c r="B491">
        <v>25008928</v>
      </c>
      <c r="C491" t="s">
        <v>1171</v>
      </c>
      <c r="D491" t="s">
        <v>17</v>
      </c>
      <c r="E491" t="s">
        <v>265</v>
      </c>
      <c r="F491" t="s">
        <v>266</v>
      </c>
      <c r="H491" t="s">
        <v>3554</v>
      </c>
      <c r="I491" s="5" t="s">
        <v>2901</v>
      </c>
      <c r="J491" t="s">
        <v>2217</v>
      </c>
      <c r="K491" t="s">
        <v>2488</v>
      </c>
      <c r="L491">
        <v>168</v>
      </c>
      <c r="P491" t="s">
        <v>2494</v>
      </c>
      <c r="Q491">
        <v>2010</v>
      </c>
      <c r="R491">
        <v>1939</v>
      </c>
      <c r="S491" s="1">
        <v>44307</v>
      </c>
      <c r="T491" s="1">
        <v>44237</v>
      </c>
      <c r="U491" t="s">
        <v>16</v>
      </c>
    </row>
    <row r="492" spans="1:21" x14ac:dyDescent="0.25">
      <c r="A492">
        <v>491</v>
      </c>
      <c r="B492">
        <v>42935117</v>
      </c>
      <c r="C492" t="s">
        <v>1172</v>
      </c>
      <c r="D492" t="s">
        <v>17</v>
      </c>
      <c r="E492" t="s">
        <v>1173</v>
      </c>
      <c r="F492" t="s">
        <v>1174</v>
      </c>
      <c r="G492" t="s">
        <v>2734</v>
      </c>
      <c r="H492" t="s">
        <v>3555</v>
      </c>
      <c r="I492" s="5" t="s">
        <v>3006</v>
      </c>
      <c r="J492" t="s">
        <v>2492</v>
      </c>
      <c r="K492" t="s">
        <v>112</v>
      </c>
      <c r="L492">
        <v>280</v>
      </c>
      <c r="M492">
        <v>0.34652777777777777</v>
      </c>
      <c r="N492">
        <v>8.3166666666666664</v>
      </c>
      <c r="O492" t="s">
        <v>3886</v>
      </c>
      <c r="P492" t="s">
        <v>2486</v>
      </c>
      <c r="Q492">
        <v>2020</v>
      </c>
      <c r="R492">
        <v>1966</v>
      </c>
      <c r="S492" s="1">
        <v>44312</v>
      </c>
      <c r="T492" s="1">
        <v>44309</v>
      </c>
      <c r="U492" t="s">
        <v>16</v>
      </c>
    </row>
    <row r="493" spans="1:21" x14ac:dyDescent="0.25">
      <c r="A493">
        <v>492</v>
      </c>
      <c r="B493">
        <v>30274539</v>
      </c>
      <c r="C493" t="s">
        <v>1175</v>
      </c>
      <c r="D493" t="s">
        <v>17</v>
      </c>
      <c r="E493" t="s">
        <v>1176</v>
      </c>
      <c r="F493" t="s">
        <v>1177</v>
      </c>
      <c r="G493" t="s">
        <v>2735</v>
      </c>
      <c r="H493" t="s">
        <v>3556</v>
      </c>
      <c r="I493" s="5" t="s">
        <v>2933</v>
      </c>
      <c r="J493" t="s">
        <v>2266</v>
      </c>
      <c r="K493" t="s">
        <v>112</v>
      </c>
      <c r="L493">
        <v>192</v>
      </c>
      <c r="M493">
        <v>0.2298611111111111</v>
      </c>
      <c r="N493">
        <v>5.5166666666666666</v>
      </c>
      <c r="O493" t="s">
        <v>4078</v>
      </c>
      <c r="P493" t="s">
        <v>2486</v>
      </c>
      <c r="Q493">
        <v>2015</v>
      </c>
      <c r="R493">
        <v>1963</v>
      </c>
      <c r="S493" s="1">
        <v>44317</v>
      </c>
      <c r="T493" s="1">
        <v>44317</v>
      </c>
      <c r="U493" t="s">
        <v>16</v>
      </c>
    </row>
    <row r="494" spans="1:21" x14ac:dyDescent="0.25">
      <c r="A494">
        <v>493</v>
      </c>
      <c r="B494">
        <v>53047316</v>
      </c>
      <c r="C494" t="s">
        <v>1178</v>
      </c>
      <c r="D494" t="s">
        <v>17</v>
      </c>
      <c r="E494" t="s">
        <v>1179</v>
      </c>
      <c r="F494" t="s">
        <v>1180</v>
      </c>
      <c r="H494" t="s">
        <v>3557</v>
      </c>
      <c r="I494" s="5" t="s">
        <v>2901</v>
      </c>
      <c r="J494" t="s">
        <v>2221</v>
      </c>
      <c r="K494" t="s">
        <v>2488</v>
      </c>
      <c r="L494">
        <v>344</v>
      </c>
      <c r="P494" t="s">
        <v>2494</v>
      </c>
      <c r="Q494">
        <v>2019</v>
      </c>
      <c r="R494">
        <v>2016</v>
      </c>
      <c r="S494" s="1">
        <v>44332</v>
      </c>
      <c r="T494" s="1">
        <v>44326</v>
      </c>
      <c r="U494" t="s">
        <v>16</v>
      </c>
    </row>
    <row r="495" spans="1:21" x14ac:dyDescent="0.25">
      <c r="A495">
        <v>494</v>
      </c>
      <c r="B495">
        <v>25335540</v>
      </c>
      <c r="C495" t="s">
        <v>1181</v>
      </c>
      <c r="D495" t="s">
        <v>17</v>
      </c>
      <c r="E495" t="s">
        <v>503</v>
      </c>
      <c r="F495" t="s">
        <v>504</v>
      </c>
      <c r="G495" t="s">
        <v>2736</v>
      </c>
      <c r="H495" t="s">
        <v>3558</v>
      </c>
      <c r="I495" s="5" t="s">
        <v>2901</v>
      </c>
      <c r="J495" t="s">
        <v>2492</v>
      </c>
      <c r="K495" t="s">
        <v>112</v>
      </c>
      <c r="L495">
        <v>336</v>
      </c>
      <c r="P495" t="s">
        <v>2486</v>
      </c>
      <c r="Q495">
        <v>2015</v>
      </c>
      <c r="R495">
        <v>2012</v>
      </c>
      <c r="S495" s="1">
        <v>44372</v>
      </c>
      <c r="T495" s="1">
        <v>44372</v>
      </c>
      <c r="U495" t="s">
        <v>16</v>
      </c>
    </row>
    <row r="496" spans="1:21" x14ac:dyDescent="0.25">
      <c r="A496">
        <v>495</v>
      </c>
      <c r="B496">
        <v>55369220</v>
      </c>
      <c r="C496" t="s">
        <v>1182</v>
      </c>
      <c r="D496" t="s">
        <v>17</v>
      </c>
      <c r="E496" t="s">
        <v>1183</v>
      </c>
      <c r="F496" t="s">
        <v>1184</v>
      </c>
      <c r="H496" t="s">
        <v>3559</v>
      </c>
      <c r="I496" s="5" t="s">
        <v>2890</v>
      </c>
      <c r="J496" t="s">
        <v>1723</v>
      </c>
      <c r="K496" t="s">
        <v>2488</v>
      </c>
      <c r="L496">
        <v>264</v>
      </c>
      <c r="P496" t="s">
        <v>2494</v>
      </c>
      <c r="Q496">
        <v>2020</v>
      </c>
      <c r="R496">
        <v>2019</v>
      </c>
      <c r="S496" s="1">
        <v>44377</v>
      </c>
      <c r="T496" s="1">
        <v>44317</v>
      </c>
      <c r="U496" t="s">
        <v>16</v>
      </c>
    </row>
    <row r="497" spans="1:21" x14ac:dyDescent="0.25">
      <c r="A497">
        <v>496</v>
      </c>
      <c r="B497">
        <v>18589289</v>
      </c>
      <c r="C497" t="s">
        <v>3560</v>
      </c>
      <c r="D497" t="s">
        <v>1186</v>
      </c>
      <c r="E497" t="s">
        <v>62</v>
      </c>
      <c r="F497" t="s">
        <v>63</v>
      </c>
      <c r="H497" t="s">
        <v>3561</v>
      </c>
      <c r="I497" s="5" t="s">
        <v>2933</v>
      </c>
      <c r="J497" t="s">
        <v>1668</v>
      </c>
      <c r="K497" t="s">
        <v>57</v>
      </c>
      <c r="L497">
        <v>360</v>
      </c>
      <c r="P497" t="s">
        <v>2494</v>
      </c>
      <c r="Q497">
        <v>2013</v>
      </c>
      <c r="R497">
        <v>2013</v>
      </c>
      <c r="S497" s="1">
        <v>44382</v>
      </c>
      <c r="T497" s="1">
        <v>44378</v>
      </c>
      <c r="U497" t="s">
        <v>16</v>
      </c>
    </row>
    <row r="498" spans="1:21" x14ac:dyDescent="0.25">
      <c r="A498">
        <v>497</v>
      </c>
      <c r="B498">
        <v>57813264</v>
      </c>
      <c r="C498" t="s">
        <v>1187</v>
      </c>
      <c r="D498" t="s">
        <v>17</v>
      </c>
      <c r="E498" t="s">
        <v>1188</v>
      </c>
      <c r="F498" t="s">
        <v>1189</v>
      </c>
      <c r="H498" t="s">
        <v>3562</v>
      </c>
      <c r="I498" s="5" t="s">
        <v>2901</v>
      </c>
      <c r="J498" t="s">
        <v>1723</v>
      </c>
      <c r="K498" t="s">
        <v>2488</v>
      </c>
      <c r="L498">
        <v>380</v>
      </c>
      <c r="P498" t="s">
        <v>2494</v>
      </c>
      <c r="Q498">
        <v>2021</v>
      </c>
      <c r="R498">
        <v>2021</v>
      </c>
      <c r="S498" s="1">
        <v>44392</v>
      </c>
      <c r="T498" s="1">
        <v>44317</v>
      </c>
      <c r="U498" t="s">
        <v>16</v>
      </c>
    </row>
    <row r="499" spans="1:21" x14ac:dyDescent="0.25">
      <c r="A499">
        <v>498</v>
      </c>
      <c r="B499">
        <v>32828647</v>
      </c>
      <c r="C499" t="s">
        <v>1190</v>
      </c>
      <c r="D499" t="s">
        <v>17</v>
      </c>
      <c r="E499" t="s">
        <v>1191</v>
      </c>
      <c r="F499" t="s">
        <v>1192</v>
      </c>
      <c r="H499" t="s">
        <v>3563</v>
      </c>
      <c r="I499" s="5" t="s">
        <v>2890</v>
      </c>
      <c r="J499" t="s">
        <v>2227</v>
      </c>
      <c r="K499" t="s">
        <v>57</v>
      </c>
      <c r="L499">
        <v>271</v>
      </c>
      <c r="P499" t="s">
        <v>2486</v>
      </c>
      <c r="Q499">
        <v>2016</v>
      </c>
      <c r="R499">
        <v>1972</v>
      </c>
      <c r="S499" s="1">
        <v>44394</v>
      </c>
      <c r="T499" s="1">
        <v>44390</v>
      </c>
      <c r="U499" t="s">
        <v>16</v>
      </c>
    </row>
    <row r="500" spans="1:21" x14ac:dyDescent="0.25">
      <c r="A500">
        <v>499</v>
      </c>
      <c r="B500">
        <v>25492472</v>
      </c>
      <c r="C500" t="s">
        <v>1193</v>
      </c>
      <c r="D500" t="s">
        <v>17</v>
      </c>
      <c r="E500" t="s">
        <v>503</v>
      </c>
      <c r="F500" t="s">
        <v>504</v>
      </c>
      <c r="G500" t="s">
        <v>2737</v>
      </c>
      <c r="H500" t="s">
        <v>3564</v>
      </c>
      <c r="I500" s="5" t="s">
        <v>2901</v>
      </c>
      <c r="J500" t="s">
        <v>2492</v>
      </c>
      <c r="K500" t="s">
        <v>112</v>
      </c>
      <c r="L500">
        <v>424</v>
      </c>
      <c r="M500">
        <v>0.53194444444444444</v>
      </c>
      <c r="N500">
        <v>12.766666666666666</v>
      </c>
      <c r="O500" t="s">
        <v>4079</v>
      </c>
      <c r="P500" t="s">
        <v>2486</v>
      </c>
      <c r="Q500">
        <v>2015</v>
      </c>
      <c r="R500">
        <v>2013</v>
      </c>
      <c r="S500" s="1">
        <v>44397</v>
      </c>
      <c r="T500" s="1">
        <v>44397</v>
      </c>
      <c r="U500" t="s">
        <v>16</v>
      </c>
    </row>
    <row r="501" spans="1:21" x14ac:dyDescent="0.25">
      <c r="A501">
        <v>500</v>
      </c>
      <c r="B501">
        <v>35994949</v>
      </c>
      <c r="C501" t="s">
        <v>1194</v>
      </c>
      <c r="D501" t="s">
        <v>17</v>
      </c>
      <c r="E501" t="s">
        <v>503</v>
      </c>
      <c r="F501" t="s">
        <v>504</v>
      </c>
      <c r="G501" t="s">
        <v>2738</v>
      </c>
      <c r="H501" t="s">
        <v>3565</v>
      </c>
      <c r="I501" s="5" t="s">
        <v>2890</v>
      </c>
      <c r="J501" t="s">
        <v>2492</v>
      </c>
      <c r="K501" t="s">
        <v>112</v>
      </c>
      <c r="L501">
        <v>192</v>
      </c>
      <c r="M501">
        <v>0.11736111111111111</v>
      </c>
      <c r="N501">
        <v>2.8166666666666664</v>
      </c>
      <c r="O501" t="s">
        <v>4080</v>
      </c>
      <c r="P501" t="s">
        <v>2486</v>
      </c>
      <c r="Q501">
        <v>2017</v>
      </c>
      <c r="R501">
        <v>2012</v>
      </c>
      <c r="S501" s="1">
        <v>44400</v>
      </c>
      <c r="T501" s="1">
        <v>44400</v>
      </c>
      <c r="U501" t="s">
        <v>16</v>
      </c>
    </row>
    <row r="502" spans="1:21" x14ac:dyDescent="0.25">
      <c r="A502">
        <v>501</v>
      </c>
      <c r="B502">
        <v>26368846</v>
      </c>
      <c r="C502" t="s">
        <v>1195</v>
      </c>
      <c r="D502" t="s">
        <v>17</v>
      </c>
      <c r="E502" t="s">
        <v>1196</v>
      </c>
      <c r="F502" t="s">
        <v>1197</v>
      </c>
      <c r="H502" t="s">
        <v>3566</v>
      </c>
      <c r="I502" s="5" t="s">
        <v>2890</v>
      </c>
      <c r="J502" t="s">
        <v>1944</v>
      </c>
      <c r="K502" t="s">
        <v>57</v>
      </c>
      <c r="L502">
        <v>224</v>
      </c>
      <c r="P502" t="s">
        <v>2494</v>
      </c>
      <c r="Q502">
        <v>2015</v>
      </c>
      <c r="R502">
        <v>2010</v>
      </c>
      <c r="S502" s="1">
        <v>44413</v>
      </c>
      <c r="T502" s="1">
        <v>44411</v>
      </c>
      <c r="U502" t="s">
        <v>16</v>
      </c>
    </row>
    <row r="503" spans="1:21" x14ac:dyDescent="0.25">
      <c r="A503">
        <v>502</v>
      </c>
      <c r="B503">
        <v>34614536</v>
      </c>
      <c r="C503" t="s">
        <v>1198</v>
      </c>
      <c r="D503" t="s">
        <v>17</v>
      </c>
      <c r="E503" t="s">
        <v>503</v>
      </c>
      <c r="F503" t="s">
        <v>504</v>
      </c>
      <c r="G503" t="s">
        <v>2737</v>
      </c>
      <c r="H503" t="s">
        <v>3567</v>
      </c>
      <c r="I503" s="5" t="s">
        <v>2901</v>
      </c>
      <c r="J503" t="s">
        <v>2492</v>
      </c>
      <c r="K503" t="s">
        <v>112</v>
      </c>
      <c r="L503">
        <v>360</v>
      </c>
      <c r="M503">
        <v>0.42986111111111114</v>
      </c>
      <c r="N503">
        <v>10.316666666666666</v>
      </c>
      <c r="O503" t="s">
        <v>4081</v>
      </c>
      <c r="P503" t="s">
        <v>2486</v>
      </c>
      <c r="Q503">
        <v>2017</v>
      </c>
      <c r="R503">
        <v>2014</v>
      </c>
      <c r="S503" s="1">
        <v>44414</v>
      </c>
      <c r="T503" s="1">
        <v>44413</v>
      </c>
      <c r="U503" t="s">
        <v>16</v>
      </c>
    </row>
    <row r="504" spans="1:21" x14ac:dyDescent="0.25">
      <c r="A504">
        <v>503</v>
      </c>
      <c r="B504">
        <v>40597210</v>
      </c>
      <c r="C504" t="s">
        <v>1199</v>
      </c>
      <c r="D504" t="s">
        <v>2739</v>
      </c>
      <c r="E504" t="s">
        <v>503</v>
      </c>
      <c r="F504" t="s">
        <v>504</v>
      </c>
      <c r="G504" t="s">
        <v>2602</v>
      </c>
      <c r="H504" t="s">
        <v>3568</v>
      </c>
      <c r="I504" s="5" t="s">
        <v>2890</v>
      </c>
      <c r="J504" t="s">
        <v>2492</v>
      </c>
      <c r="K504" t="s">
        <v>112</v>
      </c>
      <c r="L504">
        <v>440</v>
      </c>
      <c r="M504">
        <v>0.63194444444444442</v>
      </c>
      <c r="N504">
        <v>15.166666666666666</v>
      </c>
      <c r="O504" t="s">
        <v>4082</v>
      </c>
      <c r="P504" t="s">
        <v>2486</v>
      </c>
      <c r="Q504">
        <v>2018</v>
      </c>
      <c r="R504">
        <v>2016</v>
      </c>
      <c r="S504" s="1">
        <v>44429</v>
      </c>
      <c r="T504" s="1">
        <v>44423</v>
      </c>
      <c r="U504" t="s">
        <v>16</v>
      </c>
    </row>
    <row r="505" spans="1:21" x14ac:dyDescent="0.25">
      <c r="A505">
        <v>504</v>
      </c>
      <c r="B505">
        <v>56780957</v>
      </c>
      <c r="C505" t="s">
        <v>1200</v>
      </c>
      <c r="D505" t="s">
        <v>17</v>
      </c>
      <c r="E505" t="s">
        <v>329</v>
      </c>
      <c r="F505" t="s">
        <v>330</v>
      </c>
      <c r="H505" t="s">
        <v>3569</v>
      </c>
      <c r="I505" s="5" t="s">
        <v>2933</v>
      </c>
      <c r="J505" t="s">
        <v>1811</v>
      </c>
      <c r="K505" t="s">
        <v>57</v>
      </c>
      <c r="L505">
        <v>300</v>
      </c>
      <c r="P505" t="s">
        <v>2486</v>
      </c>
      <c r="Q505">
        <v>2021</v>
      </c>
      <c r="R505">
        <v>2021</v>
      </c>
      <c r="S505" s="1">
        <v>44434</v>
      </c>
      <c r="T505" s="1">
        <v>44428</v>
      </c>
      <c r="U505" t="s">
        <v>16</v>
      </c>
    </row>
    <row r="506" spans="1:21" x14ac:dyDescent="0.25">
      <c r="A506">
        <v>505</v>
      </c>
      <c r="B506">
        <v>13487869</v>
      </c>
      <c r="C506" t="s">
        <v>1201</v>
      </c>
      <c r="D506" t="s">
        <v>17</v>
      </c>
      <c r="E506" t="s">
        <v>1202</v>
      </c>
      <c r="F506" t="s">
        <v>1203</v>
      </c>
      <c r="H506" t="s">
        <v>3570</v>
      </c>
      <c r="I506" s="5" t="s">
        <v>2917</v>
      </c>
      <c r="J506" t="s">
        <v>2235</v>
      </c>
      <c r="K506" t="s">
        <v>2488</v>
      </c>
      <c r="L506">
        <v>310</v>
      </c>
      <c r="P506" t="s">
        <v>2494</v>
      </c>
      <c r="Q506">
        <v>2012</v>
      </c>
      <c r="R506">
        <v>2012</v>
      </c>
      <c r="S506" s="1">
        <v>44441</v>
      </c>
      <c r="T506" s="1">
        <v>44440</v>
      </c>
      <c r="U506" t="s">
        <v>16</v>
      </c>
    </row>
    <row r="507" spans="1:21" x14ac:dyDescent="0.25">
      <c r="A507">
        <v>506</v>
      </c>
      <c r="B507">
        <v>35291687</v>
      </c>
      <c r="C507" t="s">
        <v>1204</v>
      </c>
      <c r="D507" t="s">
        <v>17</v>
      </c>
      <c r="E507" t="s">
        <v>1205</v>
      </c>
      <c r="F507" t="s">
        <v>1206</v>
      </c>
      <c r="H507" t="s">
        <v>3571</v>
      </c>
      <c r="I507" s="5" t="s">
        <v>2890</v>
      </c>
      <c r="J507" t="s">
        <v>1668</v>
      </c>
      <c r="K507" t="s">
        <v>2488</v>
      </c>
      <c r="L507">
        <v>304</v>
      </c>
      <c r="P507" t="s">
        <v>2494</v>
      </c>
      <c r="Q507">
        <v>2017</v>
      </c>
      <c r="R507">
        <v>2016</v>
      </c>
      <c r="S507" s="1">
        <v>44445</v>
      </c>
      <c r="T507" s="1">
        <v>44442</v>
      </c>
      <c r="U507" t="s">
        <v>16</v>
      </c>
    </row>
    <row r="508" spans="1:21" x14ac:dyDescent="0.25">
      <c r="A508">
        <v>507</v>
      </c>
      <c r="B508">
        <v>40935775</v>
      </c>
      <c r="C508" t="s">
        <v>3572</v>
      </c>
      <c r="D508" t="s">
        <v>1208</v>
      </c>
      <c r="E508" t="s">
        <v>503</v>
      </c>
      <c r="F508" t="s">
        <v>504</v>
      </c>
      <c r="G508" t="s">
        <v>2602</v>
      </c>
      <c r="H508" t="s">
        <v>3573</v>
      </c>
      <c r="I508" s="5" t="s">
        <v>2890</v>
      </c>
      <c r="J508" t="s">
        <v>2492</v>
      </c>
      <c r="K508" t="s">
        <v>112</v>
      </c>
      <c r="L508">
        <v>440</v>
      </c>
      <c r="M508">
        <v>0.62361111111111112</v>
      </c>
      <c r="N508">
        <v>14.966666666666667</v>
      </c>
      <c r="O508" t="s">
        <v>4083</v>
      </c>
      <c r="P508" t="s">
        <v>2486</v>
      </c>
      <c r="Q508">
        <v>2018</v>
      </c>
      <c r="R508">
        <v>2017</v>
      </c>
      <c r="S508" s="1">
        <v>44449</v>
      </c>
      <c r="T508" s="1">
        <v>44446</v>
      </c>
      <c r="U508" t="s">
        <v>16</v>
      </c>
    </row>
    <row r="509" spans="1:21" x14ac:dyDescent="0.25">
      <c r="A509">
        <v>508</v>
      </c>
      <c r="B509">
        <v>48888554</v>
      </c>
      <c r="C509" t="s">
        <v>1209</v>
      </c>
      <c r="D509" t="s">
        <v>17</v>
      </c>
      <c r="E509" t="s">
        <v>1210</v>
      </c>
      <c r="F509" t="s">
        <v>1211</v>
      </c>
      <c r="H509" t="s">
        <v>3574</v>
      </c>
      <c r="I509" s="5" t="s">
        <v>2901</v>
      </c>
      <c r="J509" t="s">
        <v>1770</v>
      </c>
      <c r="K509" t="s">
        <v>2488</v>
      </c>
      <c r="L509">
        <v>232</v>
      </c>
      <c r="P509" t="s">
        <v>2494</v>
      </c>
      <c r="Q509">
        <v>2019</v>
      </c>
      <c r="R509">
        <v>2016</v>
      </c>
      <c r="S509" s="1">
        <v>44454</v>
      </c>
      <c r="T509" s="1">
        <v>44448</v>
      </c>
      <c r="U509" t="s">
        <v>16</v>
      </c>
    </row>
    <row r="510" spans="1:21" x14ac:dyDescent="0.25">
      <c r="A510">
        <v>509</v>
      </c>
      <c r="B510">
        <v>18637181</v>
      </c>
      <c r="C510" t="s">
        <v>3575</v>
      </c>
      <c r="D510" t="s">
        <v>1213</v>
      </c>
      <c r="E510" t="s">
        <v>1156</v>
      </c>
      <c r="F510" t="s">
        <v>1157</v>
      </c>
      <c r="G510" t="s">
        <v>2733</v>
      </c>
      <c r="H510" t="s">
        <v>3576</v>
      </c>
      <c r="I510" s="5" t="s">
        <v>2890</v>
      </c>
      <c r="J510" t="s">
        <v>2492</v>
      </c>
      <c r="K510" t="s">
        <v>112</v>
      </c>
      <c r="L510">
        <v>118</v>
      </c>
      <c r="M510">
        <v>0.15208333333333332</v>
      </c>
      <c r="N510">
        <v>3.6499999999999995</v>
      </c>
      <c r="O510" t="s">
        <v>4084</v>
      </c>
      <c r="P510" t="s">
        <v>2486</v>
      </c>
      <c r="Q510">
        <v>2013</v>
      </c>
      <c r="R510">
        <v>2013</v>
      </c>
      <c r="S510" s="1">
        <v>44469</v>
      </c>
      <c r="T510" s="1">
        <v>44469</v>
      </c>
      <c r="U510" t="s">
        <v>16</v>
      </c>
    </row>
    <row r="511" spans="1:21" x14ac:dyDescent="0.25">
      <c r="A511">
        <v>510</v>
      </c>
      <c r="B511">
        <v>55362531</v>
      </c>
      <c r="C511" t="s">
        <v>1214</v>
      </c>
      <c r="D511" t="s">
        <v>17</v>
      </c>
      <c r="E511" t="s">
        <v>1215</v>
      </c>
      <c r="F511" t="s">
        <v>1216</v>
      </c>
      <c r="H511" t="s">
        <v>3577</v>
      </c>
      <c r="I511" s="5" t="s">
        <v>2890</v>
      </c>
      <c r="J511" t="s">
        <v>1668</v>
      </c>
      <c r="K511" t="s">
        <v>2488</v>
      </c>
      <c r="L511">
        <v>264</v>
      </c>
      <c r="P511" t="s">
        <v>2494</v>
      </c>
      <c r="Q511">
        <v>2020</v>
      </c>
      <c r="R511">
        <v>2020</v>
      </c>
      <c r="S511" s="1">
        <v>44477</v>
      </c>
      <c r="T511" s="1">
        <v>44455</v>
      </c>
      <c r="U511" t="s">
        <v>16</v>
      </c>
    </row>
    <row r="512" spans="1:21" x14ac:dyDescent="0.25">
      <c r="A512">
        <v>511</v>
      </c>
      <c r="B512">
        <v>48557446</v>
      </c>
      <c r="C512" t="s">
        <v>3578</v>
      </c>
      <c r="D512" t="s">
        <v>2744</v>
      </c>
      <c r="E512" t="s">
        <v>1006</v>
      </c>
      <c r="F512" t="s">
        <v>1007</v>
      </c>
      <c r="H512" t="s">
        <v>3579</v>
      </c>
      <c r="I512" s="5" t="s">
        <v>2890</v>
      </c>
      <c r="J512" t="s">
        <v>1668</v>
      </c>
      <c r="K512" t="s">
        <v>57</v>
      </c>
      <c r="L512">
        <v>408</v>
      </c>
      <c r="P512" t="s">
        <v>2486</v>
      </c>
      <c r="Q512">
        <v>2019</v>
      </c>
      <c r="R512">
        <v>2017</v>
      </c>
      <c r="S512" s="1">
        <v>44495</v>
      </c>
      <c r="T512" s="1">
        <v>44485</v>
      </c>
      <c r="U512" t="s">
        <v>16</v>
      </c>
    </row>
    <row r="513" spans="1:21" x14ac:dyDescent="0.25">
      <c r="A513">
        <v>512</v>
      </c>
      <c r="B513">
        <v>24560948</v>
      </c>
      <c r="C513" t="s">
        <v>3580</v>
      </c>
      <c r="D513" t="s">
        <v>1219</v>
      </c>
      <c r="E513" t="s">
        <v>552</v>
      </c>
      <c r="F513" t="s">
        <v>553</v>
      </c>
      <c r="G513" t="s">
        <v>1142</v>
      </c>
      <c r="H513" t="s">
        <v>3581</v>
      </c>
      <c r="I513" s="5" t="s">
        <v>2890</v>
      </c>
      <c r="J513" t="s">
        <v>2198</v>
      </c>
      <c r="K513" t="s">
        <v>112</v>
      </c>
      <c r="L513">
        <v>632</v>
      </c>
      <c r="M513">
        <v>0.8041666666666667</v>
      </c>
      <c r="N513">
        <v>19.3</v>
      </c>
      <c r="O513" t="s">
        <v>4085</v>
      </c>
      <c r="P513" t="s">
        <v>2486</v>
      </c>
      <c r="Q513">
        <v>2015</v>
      </c>
      <c r="R513">
        <v>2011</v>
      </c>
      <c r="S513" s="1">
        <v>44506</v>
      </c>
      <c r="T513" s="1">
        <v>44499</v>
      </c>
      <c r="U513" t="s">
        <v>16</v>
      </c>
    </row>
    <row r="514" spans="1:21" x14ac:dyDescent="0.25">
      <c r="A514">
        <v>513</v>
      </c>
      <c r="B514">
        <v>26592542</v>
      </c>
      <c r="C514" t="s">
        <v>3582</v>
      </c>
      <c r="D514" t="s">
        <v>1221</v>
      </c>
      <c r="E514" t="s">
        <v>552</v>
      </c>
      <c r="F514" t="s">
        <v>553</v>
      </c>
      <c r="G514" t="s">
        <v>1142</v>
      </c>
      <c r="H514" t="s">
        <v>3583</v>
      </c>
      <c r="I514" s="5" t="s">
        <v>2901</v>
      </c>
      <c r="J514" t="s">
        <v>2198</v>
      </c>
      <c r="K514" t="s">
        <v>112</v>
      </c>
      <c r="L514">
        <v>640</v>
      </c>
      <c r="M514">
        <v>0.79374999999999996</v>
      </c>
      <c r="N514">
        <v>19.049999999999997</v>
      </c>
      <c r="O514" t="s">
        <v>4086</v>
      </c>
      <c r="P514" t="s">
        <v>2486</v>
      </c>
      <c r="Q514">
        <v>2015</v>
      </c>
      <c r="R514">
        <v>2012</v>
      </c>
      <c r="S514" s="1">
        <v>44518</v>
      </c>
      <c r="T514" s="1">
        <v>44516</v>
      </c>
      <c r="U514" t="s">
        <v>16</v>
      </c>
    </row>
    <row r="515" spans="1:21" x14ac:dyDescent="0.25">
      <c r="A515">
        <v>514</v>
      </c>
      <c r="B515">
        <v>30305449</v>
      </c>
      <c r="C515" t="s">
        <v>906</v>
      </c>
      <c r="D515" t="s">
        <v>1223</v>
      </c>
      <c r="E515" t="s">
        <v>552</v>
      </c>
      <c r="F515" t="s">
        <v>553</v>
      </c>
      <c r="G515" t="s">
        <v>1142</v>
      </c>
      <c r="H515" t="s">
        <v>3584</v>
      </c>
      <c r="I515" s="5" t="s">
        <v>2901</v>
      </c>
      <c r="J515" t="s">
        <v>2198</v>
      </c>
      <c r="K515" t="s">
        <v>112</v>
      </c>
      <c r="L515">
        <v>616</v>
      </c>
      <c r="M515">
        <v>0.76180555555555551</v>
      </c>
      <c r="N515">
        <v>18.283333333333331</v>
      </c>
      <c r="O515" t="s">
        <v>4087</v>
      </c>
      <c r="P515" t="s">
        <v>2486</v>
      </c>
      <c r="Q515">
        <v>2016</v>
      </c>
      <c r="R515">
        <v>2016</v>
      </c>
      <c r="S515" s="1">
        <v>44524</v>
      </c>
      <c r="T515" s="1">
        <v>44512</v>
      </c>
      <c r="U515" t="s">
        <v>16</v>
      </c>
    </row>
    <row r="516" spans="1:21" x14ac:dyDescent="0.25">
      <c r="A516">
        <v>515</v>
      </c>
      <c r="B516">
        <v>38091498</v>
      </c>
      <c r="C516" t="s">
        <v>3585</v>
      </c>
      <c r="D516" t="s">
        <v>1225</v>
      </c>
      <c r="E516" t="s">
        <v>552</v>
      </c>
      <c r="F516" t="s">
        <v>553</v>
      </c>
      <c r="G516" t="s">
        <v>1142</v>
      </c>
      <c r="H516" t="s">
        <v>3586</v>
      </c>
      <c r="I516" s="5" t="s">
        <v>2901</v>
      </c>
      <c r="J516" t="s">
        <v>2198</v>
      </c>
      <c r="K516" t="s">
        <v>112</v>
      </c>
      <c r="L516">
        <v>526</v>
      </c>
      <c r="M516">
        <v>0.625</v>
      </c>
      <c r="N516">
        <v>15</v>
      </c>
      <c r="O516" t="s">
        <v>4088</v>
      </c>
      <c r="P516" t="s">
        <v>2486</v>
      </c>
      <c r="Q516">
        <v>2018</v>
      </c>
      <c r="R516">
        <v>2017</v>
      </c>
      <c r="S516" s="1">
        <v>44542</v>
      </c>
      <c r="T516" s="1">
        <v>44536</v>
      </c>
      <c r="U516" t="s">
        <v>16</v>
      </c>
    </row>
    <row r="517" spans="1:21" x14ac:dyDescent="0.25">
      <c r="A517">
        <v>516</v>
      </c>
      <c r="B517">
        <v>37808857</v>
      </c>
      <c r="C517" t="s">
        <v>1226</v>
      </c>
      <c r="D517" t="s">
        <v>17</v>
      </c>
      <c r="E517" t="s">
        <v>1227</v>
      </c>
      <c r="F517" t="s">
        <v>1228</v>
      </c>
      <c r="H517" t="s">
        <v>3587</v>
      </c>
      <c r="I517" s="5" t="s">
        <v>2890</v>
      </c>
      <c r="J517" t="s">
        <v>2247</v>
      </c>
      <c r="K517" t="s">
        <v>2488</v>
      </c>
      <c r="L517">
        <v>176</v>
      </c>
      <c r="P517" t="s">
        <v>2494</v>
      </c>
      <c r="Q517">
        <v>2013</v>
      </c>
      <c r="R517">
        <v>1972</v>
      </c>
      <c r="S517" s="1">
        <v>44544</v>
      </c>
      <c r="T517" s="1">
        <v>44540</v>
      </c>
      <c r="U517" t="s">
        <v>16</v>
      </c>
    </row>
    <row r="518" spans="1:21" x14ac:dyDescent="0.25">
      <c r="A518">
        <v>517</v>
      </c>
      <c r="B518">
        <v>24886265</v>
      </c>
      <c r="C518" t="s">
        <v>2740</v>
      </c>
      <c r="D518" t="s">
        <v>2741</v>
      </c>
      <c r="E518" t="s">
        <v>1229</v>
      </c>
      <c r="F518" t="s">
        <v>1230</v>
      </c>
      <c r="H518" t="s">
        <v>3588</v>
      </c>
      <c r="I518" s="5" t="s">
        <v>2917</v>
      </c>
      <c r="J518" t="s">
        <v>1723</v>
      </c>
      <c r="K518" t="s">
        <v>2488</v>
      </c>
      <c r="L518">
        <v>365</v>
      </c>
      <c r="P518" t="s">
        <v>2494</v>
      </c>
      <c r="Q518">
        <v>2015</v>
      </c>
      <c r="R518">
        <v>2015</v>
      </c>
      <c r="S518" s="1">
        <v>44541</v>
      </c>
      <c r="T518" s="1">
        <v>44506</v>
      </c>
      <c r="U518" t="s">
        <v>16</v>
      </c>
    </row>
    <row r="519" spans="1:21" x14ac:dyDescent="0.25">
      <c r="A519">
        <v>518</v>
      </c>
      <c r="B519">
        <v>30344622</v>
      </c>
      <c r="C519" t="s">
        <v>3589</v>
      </c>
      <c r="D519" t="s">
        <v>1232</v>
      </c>
      <c r="E519" t="s">
        <v>1006</v>
      </c>
      <c r="F519" t="s">
        <v>1007</v>
      </c>
      <c r="H519" t="s">
        <v>3590</v>
      </c>
      <c r="I519" s="5" t="s">
        <v>2890</v>
      </c>
      <c r="J519" t="s">
        <v>2208</v>
      </c>
      <c r="K519" t="s">
        <v>57</v>
      </c>
      <c r="L519">
        <v>334</v>
      </c>
      <c r="P519" t="s">
        <v>2486</v>
      </c>
      <c r="Q519">
        <v>2016</v>
      </c>
      <c r="R519">
        <v>2015</v>
      </c>
      <c r="S519" s="1">
        <v>44540</v>
      </c>
      <c r="T519" s="1">
        <v>44506</v>
      </c>
      <c r="U519" t="s">
        <v>16</v>
      </c>
    </row>
    <row r="520" spans="1:21" x14ac:dyDescent="0.25">
      <c r="A520">
        <v>519</v>
      </c>
      <c r="B520">
        <v>25613395</v>
      </c>
      <c r="C520" t="s">
        <v>2742</v>
      </c>
      <c r="D520" t="s">
        <v>17</v>
      </c>
      <c r="E520" t="s">
        <v>2743</v>
      </c>
      <c r="F520" t="s">
        <v>1233</v>
      </c>
      <c r="H520" t="s">
        <v>3591</v>
      </c>
      <c r="I520" s="5" t="s">
        <v>2890</v>
      </c>
      <c r="J520" t="s">
        <v>1723</v>
      </c>
      <c r="K520" t="s">
        <v>2488</v>
      </c>
      <c r="L520">
        <v>336</v>
      </c>
      <c r="P520" t="s">
        <v>2494</v>
      </c>
      <c r="Q520">
        <v>2016</v>
      </c>
      <c r="R520">
        <v>2016</v>
      </c>
      <c r="S520" s="1">
        <v>44516</v>
      </c>
      <c r="T520" s="1">
        <v>44513</v>
      </c>
      <c r="U520" t="s">
        <v>16</v>
      </c>
    </row>
    <row r="521" spans="1:21" x14ac:dyDescent="0.25">
      <c r="A521">
        <v>520</v>
      </c>
      <c r="B521">
        <v>50615414</v>
      </c>
      <c r="C521" t="s">
        <v>1234</v>
      </c>
      <c r="D521" t="s">
        <v>2745</v>
      </c>
      <c r="E521" t="s">
        <v>1006</v>
      </c>
      <c r="F521" t="s">
        <v>1007</v>
      </c>
      <c r="H521" t="s">
        <v>3592</v>
      </c>
      <c r="I521" s="5" t="s">
        <v>2890</v>
      </c>
      <c r="J521" t="s">
        <v>1668</v>
      </c>
      <c r="K521" t="s">
        <v>57</v>
      </c>
      <c r="L521">
        <v>360</v>
      </c>
      <c r="P521" t="s">
        <v>2486</v>
      </c>
      <c r="Q521">
        <v>2020</v>
      </c>
      <c r="R521">
        <v>2017</v>
      </c>
      <c r="S521" s="1">
        <v>44502</v>
      </c>
      <c r="T521" s="1">
        <v>44496</v>
      </c>
      <c r="U521" t="s">
        <v>16</v>
      </c>
    </row>
    <row r="522" spans="1:21" x14ac:dyDescent="0.25">
      <c r="A522">
        <v>521</v>
      </c>
      <c r="B522">
        <v>50523311</v>
      </c>
      <c r="C522" t="s">
        <v>1235</v>
      </c>
      <c r="D522" t="s">
        <v>17</v>
      </c>
      <c r="E522" t="s">
        <v>1236</v>
      </c>
      <c r="F522" t="s">
        <v>1237</v>
      </c>
      <c r="H522" t="s">
        <v>3593</v>
      </c>
      <c r="I522" s="5" t="s">
        <v>2901</v>
      </c>
      <c r="J522" t="s">
        <v>2253</v>
      </c>
      <c r="K522" t="s">
        <v>2488</v>
      </c>
      <c r="L522">
        <v>282</v>
      </c>
      <c r="P522" t="s">
        <v>2494</v>
      </c>
      <c r="Q522">
        <v>2019</v>
      </c>
      <c r="R522">
        <v>2017</v>
      </c>
      <c r="S522" s="1">
        <v>44355</v>
      </c>
      <c r="T522" s="1">
        <v>44333</v>
      </c>
      <c r="U522" t="s">
        <v>16</v>
      </c>
    </row>
    <row r="523" spans="1:21" x14ac:dyDescent="0.25">
      <c r="A523">
        <v>522</v>
      </c>
      <c r="B523">
        <v>36413262</v>
      </c>
      <c r="C523" t="s">
        <v>3594</v>
      </c>
      <c r="D523" t="s">
        <v>2746</v>
      </c>
      <c r="E523" t="s">
        <v>1006</v>
      </c>
      <c r="F523" t="s">
        <v>1007</v>
      </c>
      <c r="H523" t="s">
        <v>3595</v>
      </c>
      <c r="I523" s="5" t="s">
        <v>2890</v>
      </c>
      <c r="J523" t="s">
        <v>1668</v>
      </c>
      <c r="K523" t="s">
        <v>57</v>
      </c>
      <c r="L523">
        <v>397</v>
      </c>
      <c r="P523" t="s">
        <v>2486</v>
      </c>
      <c r="Q523">
        <v>2017</v>
      </c>
      <c r="R523">
        <v>2016</v>
      </c>
      <c r="S523" s="1">
        <v>44481</v>
      </c>
      <c r="T523" s="1">
        <v>44469</v>
      </c>
      <c r="U523" t="s">
        <v>16</v>
      </c>
    </row>
    <row r="524" spans="1:21" x14ac:dyDescent="0.25">
      <c r="A524">
        <v>523</v>
      </c>
      <c r="B524">
        <v>29096381</v>
      </c>
      <c r="C524" t="s">
        <v>3596</v>
      </c>
      <c r="D524" t="s">
        <v>1240</v>
      </c>
      <c r="E524" t="s">
        <v>1156</v>
      </c>
      <c r="F524" t="s">
        <v>1157</v>
      </c>
      <c r="G524" t="s">
        <v>2733</v>
      </c>
      <c r="H524" t="s">
        <v>3597</v>
      </c>
      <c r="I524" s="5" t="s">
        <v>2890</v>
      </c>
      <c r="J524" t="s">
        <v>2492</v>
      </c>
      <c r="K524" t="s">
        <v>112</v>
      </c>
      <c r="L524">
        <v>171</v>
      </c>
      <c r="M524">
        <v>0.15902777777777777</v>
      </c>
      <c r="N524">
        <v>3.8166666666666664</v>
      </c>
      <c r="O524" t="s">
        <v>4089</v>
      </c>
      <c r="P524" t="s">
        <v>2486</v>
      </c>
      <c r="Q524">
        <v>2016</v>
      </c>
      <c r="R524">
        <v>2016</v>
      </c>
      <c r="S524" s="1">
        <v>44471</v>
      </c>
      <c r="T524" s="1">
        <v>44469</v>
      </c>
      <c r="U524" t="s">
        <v>16</v>
      </c>
    </row>
    <row r="525" spans="1:21" x14ac:dyDescent="0.25">
      <c r="A525">
        <v>524</v>
      </c>
      <c r="B525">
        <v>36569799</v>
      </c>
      <c r="C525" t="s">
        <v>1241</v>
      </c>
      <c r="D525" t="s">
        <v>17</v>
      </c>
      <c r="E525" t="s">
        <v>1242</v>
      </c>
      <c r="F525" t="s">
        <v>1243</v>
      </c>
      <c r="H525" t="s">
        <v>3598</v>
      </c>
      <c r="I525" s="5" t="s">
        <v>3006</v>
      </c>
      <c r="J525" t="s">
        <v>2687</v>
      </c>
      <c r="K525" t="s">
        <v>2488</v>
      </c>
      <c r="L525">
        <v>336</v>
      </c>
      <c r="P525" t="s">
        <v>2494</v>
      </c>
      <c r="Q525">
        <v>2017</v>
      </c>
      <c r="R525">
        <v>2015</v>
      </c>
      <c r="S525" s="1">
        <v>44468</v>
      </c>
      <c r="T525" s="1">
        <v>44455</v>
      </c>
      <c r="U525" t="s">
        <v>16</v>
      </c>
    </row>
    <row r="526" spans="1:21" x14ac:dyDescent="0.25">
      <c r="A526">
        <v>525</v>
      </c>
      <c r="B526">
        <v>44417842</v>
      </c>
      <c r="C526" t="s">
        <v>1244</v>
      </c>
      <c r="D526" t="s">
        <v>17</v>
      </c>
      <c r="E526" t="s">
        <v>329</v>
      </c>
      <c r="F526" t="s">
        <v>330</v>
      </c>
      <c r="G526" t="s">
        <v>2747</v>
      </c>
      <c r="H526" t="s">
        <v>3599</v>
      </c>
      <c r="I526" s="5" t="s">
        <v>2901</v>
      </c>
      <c r="J526" t="s">
        <v>2492</v>
      </c>
      <c r="K526" t="s">
        <v>2748</v>
      </c>
      <c r="L526">
        <v>296</v>
      </c>
      <c r="M526">
        <v>0.35416666666666669</v>
      </c>
      <c r="N526">
        <v>8.5</v>
      </c>
      <c r="O526" t="s">
        <v>4090</v>
      </c>
      <c r="P526" t="s">
        <v>2486</v>
      </c>
      <c r="Q526">
        <v>2019</v>
      </c>
      <c r="R526">
        <v>2019</v>
      </c>
      <c r="S526" s="1">
        <v>44463</v>
      </c>
      <c r="T526" s="1">
        <v>44459</v>
      </c>
      <c r="U526" t="s">
        <v>16</v>
      </c>
    </row>
    <row r="527" spans="1:21" x14ac:dyDescent="0.25">
      <c r="A527">
        <v>526</v>
      </c>
      <c r="B527">
        <v>38746485</v>
      </c>
      <c r="C527" t="s">
        <v>2749</v>
      </c>
      <c r="D527" t="s">
        <v>17</v>
      </c>
      <c r="E527" t="s">
        <v>1245</v>
      </c>
      <c r="F527" t="s">
        <v>1246</v>
      </c>
      <c r="H527" t="s">
        <v>3600</v>
      </c>
      <c r="I527" s="5" t="s">
        <v>2890</v>
      </c>
      <c r="J527" t="s">
        <v>2532</v>
      </c>
      <c r="K527" t="s">
        <v>112</v>
      </c>
      <c r="L527">
        <v>448</v>
      </c>
      <c r="M527">
        <v>0.79236111111111107</v>
      </c>
      <c r="N527">
        <v>19.016666666666666</v>
      </c>
      <c r="O527" t="s">
        <v>4091</v>
      </c>
      <c r="P527" t="s">
        <v>2494</v>
      </c>
      <c r="Q527">
        <v>2018</v>
      </c>
      <c r="R527">
        <v>2018</v>
      </c>
      <c r="S527" s="1">
        <v>44456</v>
      </c>
      <c r="T527" s="1">
        <v>44454</v>
      </c>
      <c r="U527" t="s">
        <v>16</v>
      </c>
    </row>
    <row r="528" spans="1:21" x14ac:dyDescent="0.25">
      <c r="A528">
        <v>527</v>
      </c>
      <c r="B528">
        <v>42844737</v>
      </c>
      <c r="C528" t="s">
        <v>1247</v>
      </c>
      <c r="D528" t="s">
        <v>17</v>
      </c>
      <c r="E528" t="s">
        <v>1248</v>
      </c>
      <c r="F528" t="s">
        <v>1249</v>
      </c>
      <c r="H528" t="s">
        <v>3601</v>
      </c>
      <c r="I528" s="5" t="s">
        <v>2890</v>
      </c>
      <c r="J528" t="s">
        <v>1668</v>
      </c>
      <c r="K528" t="s">
        <v>2488</v>
      </c>
      <c r="L528">
        <v>320</v>
      </c>
      <c r="P528" t="s">
        <v>2494</v>
      </c>
      <c r="Q528">
        <v>2018</v>
      </c>
      <c r="R528">
        <v>2018</v>
      </c>
      <c r="S528" s="1">
        <v>44449</v>
      </c>
      <c r="T528" s="1">
        <v>44447</v>
      </c>
      <c r="U528" t="s">
        <v>16</v>
      </c>
    </row>
    <row r="529" spans="1:21" x14ac:dyDescent="0.25">
      <c r="A529">
        <v>528</v>
      </c>
      <c r="B529">
        <v>57828721</v>
      </c>
      <c r="C529" t="s">
        <v>1250</v>
      </c>
      <c r="D529" t="s">
        <v>17</v>
      </c>
      <c r="E529" t="s">
        <v>1251</v>
      </c>
      <c r="F529" t="s">
        <v>1252</v>
      </c>
      <c r="H529" t="s">
        <v>3602</v>
      </c>
      <c r="I529" s="5" t="s">
        <v>2901</v>
      </c>
      <c r="J529" t="s">
        <v>1668</v>
      </c>
      <c r="K529" t="s">
        <v>2488</v>
      </c>
      <c r="L529">
        <v>424</v>
      </c>
      <c r="P529" t="s">
        <v>2494</v>
      </c>
      <c r="Q529">
        <v>2021</v>
      </c>
      <c r="R529">
        <v>2019</v>
      </c>
      <c r="S529" s="1">
        <v>44430</v>
      </c>
      <c r="T529" s="1">
        <v>44350</v>
      </c>
      <c r="U529" t="s">
        <v>16</v>
      </c>
    </row>
    <row r="530" spans="1:21" x14ac:dyDescent="0.25">
      <c r="A530">
        <v>529</v>
      </c>
      <c r="B530">
        <v>40051366</v>
      </c>
      <c r="C530" t="s">
        <v>1253</v>
      </c>
      <c r="D530" t="s">
        <v>17</v>
      </c>
      <c r="E530" t="s">
        <v>228</v>
      </c>
      <c r="F530" t="s">
        <v>229</v>
      </c>
      <c r="H530" t="s">
        <v>3603</v>
      </c>
      <c r="I530" s="5" t="s">
        <v>2933</v>
      </c>
      <c r="J530" t="s">
        <v>1668</v>
      </c>
      <c r="K530" t="s">
        <v>2488</v>
      </c>
      <c r="L530">
        <v>304</v>
      </c>
      <c r="P530" t="s">
        <v>2494</v>
      </c>
      <c r="Q530">
        <v>2018</v>
      </c>
      <c r="R530">
        <v>2017</v>
      </c>
      <c r="S530" s="1">
        <v>44406</v>
      </c>
      <c r="T530" s="1">
        <v>44402</v>
      </c>
      <c r="U530" t="s">
        <v>16</v>
      </c>
    </row>
    <row r="531" spans="1:21" x14ac:dyDescent="0.25">
      <c r="A531">
        <v>530</v>
      </c>
      <c r="B531">
        <v>17312529</v>
      </c>
      <c r="C531" t="s">
        <v>3604</v>
      </c>
      <c r="D531" t="s">
        <v>1257</v>
      </c>
      <c r="E531" t="s">
        <v>62</v>
      </c>
      <c r="F531" t="s">
        <v>63</v>
      </c>
      <c r="H531" t="s">
        <v>3605</v>
      </c>
      <c r="I531" s="5" t="s">
        <v>2901</v>
      </c>
      <c r="J531" t="s">
        <v>1668</v>
      </c>
      <c r="K531" t="s">
        <v>57</v>
      </c>
      <c r="L531">
        <v>375</v>
      </c>
      <c r="P531" t="s">
        <v>2494</v>
      </c>
      <c r="Q531">
        <v>2012</v>
      </c>
      <c r="R531">
        <v>2012</v>
      </c>
      <c r="S531" s="1">
        <v>44367</v>
      </c>
      <c r="T531" s="1">
        <v>44345</v>
      </c>
      <c r="U531" t="s">
        <v>16</v>
      </c>
    </row>
    <row r="532" spans="1:21" x14ac:dyDescent="0.25">
      <c r="A532">
        <v>531</v>
      </c>
      <c r="B532">
        <v>51832906</v>
      </c>
      <c r="C532" t="s">
        <v>3606</v>
      </c>
      <c r="D532" t="s">
        <v>1259</v>
      </c>
      <c r="E532" t="s">
        <v>241</v>
      </c>
      <c r="F532" t="s">
        <v>242</v>
      </c>
      <c r="G532" t="s">
        <v>2527</v>
      </c>
      <c r="H532" t="s">
        <v>3607</v>
      </c>
      <c r="I532" s="5" t="s">
        <v>2890</v>
      </c>
      <c r="J532" t="s">
        <v>2545</v>
      </c>
      <c r="K532" t="s">
        <v>112</v>
      </c>
      <c r="L532">
        <v>672</v>
      </c>
      <c r="M532">
        <v>1.3333333333333333</v>
      </c>
      <c r="N532">
        <v>32</v>
      </c>
      <c r="O532" t="s">
        <v>4092</v>
      </c>
      <c r="P532" t="s">
        <v>2486</v>
      </c>
      <c r="Q532">
        <v>2019</v>
      </c>
      <c r="R532">
        <v>2018</v>
      </c>
      <c r="S532" s="1">
        <v>44366</v>
      </c>
      <c r="T532" s="1">
        <v>44349</v>
      </c>
      <c r="U532" t="s">
        <v>16</v>
      </c>
    </row>
    <row r="533" spans="1:21" x14ac:dyDescent="0.25">
      <c r="A533">
        <v>532</v>
      </c>
      <c r="B533">
        <v>29541801</v>
      </c>
      <c r="C533" t="s">
        <v>3608</v>
      </c>
      <c r="D533" t="s">
        <v>1261</v>
      </c>
      <c r="E533" t="s">
        <v>241</v>
      </c>
      <c r="F533" t="s">
        <v>242</v>
      </c>
      <c r="G533" t="s">
        <v>2527</v>
      </c>
      <c r="H533" t="s">
        <v>3609</v>
      </c>
      <c r="I533" s="5" t="s">
        <v>2901</v>
      </c>
      <c r="J533" t="s">
        <v>2266</v>
      </c>
      <c r="K533" t="s">
        <v>112</v>
      </c>
      <c r="L533">
        <v>571</v>
      </c>
      <c r="M533">
        <v>0.95972222222222225</v>
      </c>
      <c r="N533">
        <v>23.033333333333335</v>
      </c>
      <c r="O533" t="s">
        <v>4093</v>
      </c>
      <c r="P533" t="s">
        <v>2486</v>
      </c>
      <c r="Q533">
        <v>2016</v>
      </c>
      <c r="R533">
        <v>2015</v>
      </c>
      <c r="S533" s="1">
        <v>44349</v>
      </c>
      <c r="T533" s="1">
        <v>44339</v>
      </c>
      <c r="U533" t="s">
        <v>16</v>
      </c>
    </row>
    <row r="534" spans="1:21" x14ac:dyDescent="0.25">
      <c r="A534">
        <v>533</v>
      </c>
      <c r="B534">
        <v>57177129</v>
      </c>
      <c r="C534" t="s">
        <v>1262</v>
      </c>
      <c r="D534" t="s">
        <v>17</v>
      </c>
      <c r="E534" t="s">
        <v>1263</v>
      </c>
      <c r="F534" t="s">
        <v>1264</v>
      </c>
      <c r="H534" t="s">
        <v>3610</v>
      </c>
      <c r="I534" s="5" t="s">
        <v>2901</v>
      </c>
      <c r="J534" t="s">
        <v>2217</v>
      </c>
      <c r="K534" t="s">
        <v>57</v>
      </c>
      <c r="L534">
        <v>376</v>
      </c>
      <c r="P534" t="s">
        <v>2494</v>
      </c>
      <c r="Q534">
        <v>2021</v>
      </c>
      <c r="R534">
        <v>2020</v>
      </c>
      <c r="S534" s="1">
        <v>44339</v>
      </c>
      <c r="T534" s="1">
        <v>44326</v>
      </c>
      <c r="U534" t="s">
        <v>16</v>
      </c>
    </row>
    <row r="535" spans="1:21" x14ac:dyDescent="0.25">
      <c r="A535">
        <v>534</v>
      </c>
      <c r="B535">
        <v>23354059</v>
      </c>
      <c r="C535" t="s">
        <v>3611</v>
      </c>
      <c r="D535" t="s">
        <v>1266</v>
      </c>
      <c r="E535" t="s">
        <v>241</v>
      </c>
      <c r="F535" t="s">
        <v>242</v>
      </c>
      <c r="G535" t="s">
        <v>2751</v>
      </c>
      <c r="H535" t="s">
        <v>3612</v>
      </c>
      <c r="I535" s="5" t="s">
        <v>2890</v>
      </c>
      <c r="J535" t="s">
        <v>2266</v>
      </c>
      <c r="K535" t="s">
        <v>112</v>
      </c>
      <c r="L535">
        <v>480</v>
      </c>
      <c r="M535">
        <v>0.8</v>
      </c>
      <c r="N535">
        <v>19.200000000000003</v>
      </c>
      <c r="O535" t="s">
        <v>4094</v>
      </c>
      <c r="P535" t="s">
        <v>2486</v>
      </c>
      <c r="Q535">
        <v>2015</v>
      </c>
      <c r="R535">
        <v>2014</v>
      </c>
      <c r="S535" s="1">
        <v>44335</v>
      </c>
      <c r="T535" s="1">
        <v>44326</v>
      </c>
      <c r="U535" t="s">
        <v>16</v>
      </c>
    </row>
    <row r="536" spans="1:21" x14ac:dyDescent="0.25">
      <c r="A536">
        <v>535</v>
      </c>
      <c r="B536">
        <v>56587219</v>
      </c>
      <c r="C536" t="s">
        <v>1267</v>
      </c>
      <c r="D536" t="s">
        <v>17</v>
      </c>
      <c r="E536" t="s">
        <v>1251</v>
      </c>
      <c r="F536" t="s">
        <v>1252</v>
      </c>
      <c r="H536" t="s">
        <v>3613</v>
      </c>
      <c r="I536" s="5" t="s">
        <v>2901</v>
      </c>
      <c r="J536" t="s">
        <v>1668</v>
      </c>
      <c r="K536" t="s">
        <v>2488</v>
      </c>
      <c r="L536">
        <v>496</v>
      </c>
      <c r="P536" t="s">
        <v>2494</v>
      </c>
      <c r="Q536">
        <v>2021</v>
      </c>
      <c r="R536">
        <v>2018</v>
      </c>
      <c r="S536" s="1">
        <v>44331</v>
      </c>
      <c r="T536" s="1">
        <v>44326</v>
      </c>
      <c r="U536" t="s">
        <v>16</v>
      </c>
    </row>
    <row r="537" spans="1:21" x14ac:dyDescent="0.25">
      <c r="A537">
        <v>536</v>
      </c>
      <c r="B537">
        <v>20565610</v>
      </c>
      <c r="C537" t="s">
        <v>3614</v>
      </c>
      <c r="D537" t="s">
        <v>1269</v>
      </c>
      <c r="E537" t="s">
        <v>241</v>
      </c>
      <c r="F537" t="s">
        <v>242</v>
      </c>
      <c r="G537" t="s">
        <v>2751</v>
      </c>
      <c r="H537" t="s">
        <v>3615</v>
      </c>
      <c r="I537" s="5" t="s">
        <v>2901</v>
      </c>
      <c r="J537" t="s">
        <v>2266</v>
      </c>
      <c r="K537" t="s">
        <v>112</v>
      </c>
      <c r="L537">
        <v>448</v>
      </c>
      <c r="M537">
        <v>0.73611111111111116</v>
      </c>
      <c r="N537">
        <v>17.666666666666668</v>
      </c>
      <c r="O537" t="s">
        <v>4095</v>
      </c>
      <c r="P537" t="s">
        <v>2486</v>
      </c>
      <c r="Q537">
        <v>2014</v>
      </c>
      <c r="R537">
        <v>2013</v>
      </c>
      <c r="S537" s="1">
        <v>44326</v>
      </c>
      <c r="T537" s="1">
        <v>44323</v>
      </c>
      <c r="U537" t="s">
        <v>16</v>
      </c>
    </row>
    <row r="538" spans="1:21" x14ac:dyDescent="0.25">
      <c r="A538">
        <v>537</v>
      </c>
      <c r="B538">
        <v>34850181</v>
      </c>
      <c r="C538" t="s">
        <v>3616</v>
      </c>
      <c r="D538" t="s">
        <v>1271</v>
      </c>
      <c r="E538" t="s">
        <v>798</v>
      </c>
      <c r="F538" t="s">
        <v>799</v>
      </c>
      <c r="H538" t="s">
        <v>3617</v>
      </c>
      <c r="I538" s="5" t="s">
        <v>2890</v>
      </c>
      <c r="J538" t="s">
        <v>2272</v>
      </c>
      <c r="K538" t="s">
        <v>57</v>
      </c>
      <c r="L538">
        <v>544</v>
      </c>
      <c r="P538" t="s">
        <v>2603</v>
      </c>
      <c r="Q538">
        <v>2017</v>
      </c>
      <c r="R538">
        <v>2017</v>
      </c>
      <c r="S538" s="1">
        <v>44323</v>
      </c>
      <c r="T538" s="1">
        <v>44286</v>
      </c>
      <c r="U538" t="s">
        <v>16</v>
      </c>
    </row>
    <row r="539" spans="1:21" x14ac:dyDescent="0.25">
      <c r="A539">
        <v>538</v>
      </c>
      <c r="B539">
        <v>13399910</v>
      </c>
      <c r="C539" t="s">
        <v>1272</v>
      </c>
      <c r="D539" t="s">
        <v>17</v>
      </c>
      <c r="E539" t="s">
        <v>1273</v>
      </c>
      <c r="F539" t="s">
        <v>1274</v>
      </c>
      <c r="G539" t="s">
        <v>2719</v>
      </c>
      <c r="H539" t="s">
        <v>3618</v>
      </c>
      <c r="I539" s="5" t="s">
        <v>2901</v>
      </c>
      <c r="J539" t="s">
        <v>2492</v>
      </c>
      <c r="K539" t="s">
        <v>112</v>
      </c>
      <c r="L539">
        <v>575</v>
      </c>
      <c r="M539">
        <v>0.91388888888888886</v>
      </c>
      <c r="N539">
        <v>21.933333333333334</v>
      </c>
      <c r="O539" t="s">
        <v>4096</v>
      </c>
      <c r="P539" t="s">
        <v>2486</v>
      </c>
      <c r="Q539">
        <v>2019</v>
      </c>
      <c r="R539">
        <v>1992</v>
      </c>
      <c r="S539" s="1">
        <v>44322</v>
      </c>
      <c r="T539" s="1">
        <v>44317</v>
      </c>
      <c r="U539" t="s">
        <v>16</v>
      </c>
    </row>
    <row r="540" spans="1:21" x14ac:dyDescent="0.25">
      <c r="A540">
        <v>539</v>
      </c>
      <c r="B540">
        <v>23120062</v>
      </c>
      <c r="C540" t="s">
        <v>1275</v>
      </c>
      <c r="D540" t="s">
        <v>17</v>
      </c>
      <c r="E540" t="s">
        <v>1276</v>
      </c>
      <c r="F540" t="s">
        <v>1277</v>
      </c>
      <c r="H540" t="s">
        <v>3619</v>
      </c>
      <c r="I540" s="5" t="s">
        <v>2917</v>
      </c>
      <c r="J540" t="s">
        <v>3620</v>
      </c>
      <c r="K540" t="s">
        <v>2488</v>
      </c>
      <c r="L540">
        <v>344</v>
      </c>
      <c r="P540" t="s">
        <v>2494</v>
      </c>
      <c r="Q540">
        <v>2014</v>
      </c>
      <c r="R540">
        <v>2012</v>
      </c>
      <c r="S540" s="1">
        <v>44317</v>
      </c>
      <c r="T540" s="1">
        <v>44311</v>
      </c>
      <c r="U540" t="s">
        <v>16</v>
      </c>
    </row>
    <row r="541" spans="1:21" x14ac:dyDescent="0.25">
      <c r="A541">
        <v>540</v>
      </c>
      <c r="B541">
        <v>44297679</v>
      </c>
      <c r="C541" t="s">
        <v>1278</v>
      </c>
      <c r="D541" t="s">
        <v>17</v>
      </c>
      <c r="E541" t="s">
        <v>1279</v>
      </c>
      <c r="F541" t="s">
        <v>1280</v>
      </c>
      <c r="G541" t="s">
        <v>2752</v>
      </c>
      <c r="H541" t="s">
        <v>3621</v>
      </c>
      <c r="I541" s="5" t="s">
        <v>2901</v>
      </c>
      <c r="J541" t="s">
        <v>2545</v>
      </c>
      <c r="K541" t="s">
        <v>112</v>
      </c>
      <c r="L541">
        <v>320</v>
      </c>
      <c r="M541">
        <v>0.50069444444444444</v>
      </c>
      <c r="N541">
        <v>12.016666666666666</v>
      </c>
      <c r="O541" t="s">
        <v>4097</v>
      </c>
      <c r="P541" t="s">
        <v>2486</v>
      </c>
      <c r="Q541">
        <v>2020</v>
      </c>
      <c r="R541">
        <v>2017</v>
      </c>
      <c r="S541" s="1">
        <v>44315</v>
      </c>
      <c r="T541" s="1">
        <v>44312</v>
      </c>
      <c r="U541" t="s">
        <v>16</v>
      </c>
    </row>
    <row r="542" spans="1:21" x14ac:dyDescent="0.25">
      <c r="A542">
        <v>541</v>
      </c>
      <c r="B542">
        <v>19219489</v>
      </c>
      <c r="C542" t="s">
        <v>2753</v>
      </c>
      <c r="D542" t="s">
        <v>17</v>
      </c>
      <c r="E542" t="s">
        <v>1281</v>
      </c>
      <c r="F542" t="s">
        <v>1282</v>
      </c>
      <c r="H542" t="s">
        <v>3622</v>
      </c>
      <c r="I542" s="5" t="s">
        <v>2890</v>
      </c>
      <c r="J542" t="s">
        <v>2277</v>
      </c>
      <c r="K542" t="s">
        <v>2488</v>
      </c>
      <c r="L542">
        <v>336</v>
      </c>
      <c r="P542" t="s">
        <v>2494</v>
      </c>
      <c r="Q542">
        <v>2011</v>
      </c>
      <c r="R542">
        <v>2011</v>
      </c>
      <c r="S542" s="1">
        <v>44314</v>
      </c>
      <c r="T542" s="1">
        <v>44301</v>
      </c>
      <c r="U542" t="s">
        <v>16</v>
      </c>
    </row>
    <row r="543" spans="1:21" x14ac:dyDescent="0.25">
      <c r="A543">
        <v>542</v>
      </c>
      <c r="B543">
        <v>33819853</v>
      </c>
      <c r="C543" t="s">
        <v>1283</v>
      </c>
      <c r="D543" t="s">
        <v>17</v>
      </c>
      <c r="E543" t="s">
        <v>329</v>
      </c>
      <c r="F543" t="s">
        <v>330</v>
      </c>
      <c r="G543" t="s">
        <v>2754</v>
      </c>
      <c r="H543" t="s">
        <v>3623</v>
      </c>
      <c r="I543" s="5" t="s">
        <v>2933</v>
      </c>
      <c r="J543" t="s">
        <v>2492</v>
      </c>
      <c r="K543" t="s">
        <v>112</v>
      </c>
      <c r="L543">
        <v>306</v>
      </c>
      <c r="M543">
        <v>0.3888888888888889</v>
      </c>
      <c r="N543">
        <v>9.3333333333333339</v>
      </c>
      <c r="O543" t="s">
        <v>4098</v>
      </c>
      <c r="P543" t="s">
        <v>2486</v>
      </c>
      <c r="Q543">
        <v>2018</v>
      </c>
      <c r="R543">
        <v>2017</v>
      </c>
      <c r="S543" s="1">
        <v>44311</v>
      </c>
      <c r="T543" s="1">
        <v>44305</v>
      </c>
      <c r="U543" t="s">
        <v>16</v>
      </c>
    </row>
    <row r="544" spans="1:21" x14ac:dyDescent="0.25">
      <c r="A544">
        <v>543</v>
      </c>
      <c r="B544">
        <v>23505783</v>
      </c>
      <c r="C544" t="s">
        <v>1284</v>
      </c>
      <c r="D544" t="s">
        <v>1288</v>
      </c>
      <c r="E544" t="s">
        <v>1285</v>
      </c>
      <c r="F544" t="s">
        <v>1286</v>
      </c>
      <c r="G544" t="s">
        <v>2755</v>
      </c>
      <c r="H544" t="s">
        <v>3624</v>
      </c>
      <c r="I544" s="5" t="s">
        <v>2917</v>
      </c>
      <c r="J544" t="s">
        <v>2590</v>
      </c>
      <c r="K544" t="s">
        <v>112</v>
      </c>
      <c r="L544">
        <v>368</v>
      </c>
      <c r="M544">
        <v>0.52708333333333335</v>
      </c>
      <c r="N544">
        <v>12.65</v>
      </c>
      <c r="O544" t="s">
        <v>4099</v>
      </c>
      <c r="P544" t="s">
        <v>2486</v>
      </c>
      <c r="Q544">
        <v>2015</v>
      </c>
      <c r="R544">
        <v>2013</v>
      </c>
      <c r="S544" s="1">
        <v>44305</v>
      </c>
      <c r="T544" s="1">
        <v>44300</v>
      </c>
      <c r="U544" t="s">
        <v>16</v>
      </c>
    </row>
    <row r="545" spans="1:21" x14ac:dyDescent="0.25">
      <c r="A545">
        <v>544</v>
      </c>
      <c r="B545">
        <v>6821429</v>
      </c>
      <c r="C545" t="s">
        <v>3625</v>
      </c>
      <c r="D545" t="s">
        <v>1297</v>
      </c>
      <c r="E545" t="s">
        <v>1285</v>
      </c>
      <c r="F545" t="s">
        <v>1286</v>
      </c>
      <c r="G545" t="s">
        <v>2755</v>
      </c>
      <c r="H545" t="s">
        <v>3626</v>
      </c>
      <c r="I545" s="5" t="s">
        <v>2917</v>
      </c>
      <c r="J545" t="s">
        <v>2590</v>
      </c>
      <c r="K545" t="s">
        <v>112</v>
      </c>
      <c r="L545">
        <v>561</v>
      </c>
      <c r="M545">
        <v>0.88055555555555554</v>
      </c>
      <c r="N545">
        <v>21.133333333333333</v>
      </c>
      <c r="O545" t="s">
        <v>4100</v>
      </c>
      <c r="P545" t="s">
        <v>2486</v>
      </c>
      <c r="Q545">
        <v>2017</v>
      </c>
      <c r="R545">
        <v>1999</v>
      </c>
      <c r="S545" s="1">
        <v>44300</v>
      </c>
      <c r="T545" s="1">
        <v>44287</v>
      </c>
      <c r="U545" t="s">
        <v>16</v>
      </c>
    </row>
    <row r="546" spans="1:21" x14ac:dyDescent="0.25">
      <c r="A546">
        <v>545</v>
      </c>
      <c r="B546">
        <v>28178221</v>
      </c>
      <c r="C546" t="s">
        <v>3627</v>
      </c>
      <c r="D546" t="s">
        <v>1290</v>
      </c>
      <c r="E546" t="s">
        <v>1291</v>
      </c>
      <c r="F546" t="s">
        <v>1292</v>
      </c>
      <c r="H546" t="s">
        <v>3628</v>
      </c>
      <c r="I546" s="5" t="s">
        <v>2890</v>
      </c>
      <c r="J546" t="s">
        <v>1668</v>
      </c>
      <c r="K546" t="s">
        <v>2488</v>
      </c>
      <c r="L546">
        <v>392</v>
      </c>
      <c r="P546" t="s">
        <v>2494</v>
      </c>
      <c r="Q546">
        <v>2015</v>
      </c>
      <c r="R546">
        <v>2014</v>
      </c>
      <c r="S546" s="1">
        <v>44300</v>
      </c>
      <c r="T546" s="1">
        <v>44294</v>
      </c>
      <c r="U546" t="s">
        <v>16</v>
      </c>
    </row>
    <row r="547" spans="1:21" x14ac:dyDescent="0.25">
      <c r="A547">
        <v>546</v>
      </c>
      <c r="B547">
        <v>15840258</v>
      </c>
      <c r="C547" t="s">
        <v>1293</v>
      </c>
      <c r="D547" t="s">
        <v>17</v>
      </c>
      <c r="E547" t="s">
        <v>1294</v>
      </c>
      <c r="F547" t="s">
        <v>1295</v>
      </c>
      <c r="H547" t="s">
        <v>3629</v>
      </c>
      <c r="I547" s="5" t="s">
        <v>2917</v>
      </c>
      <c r="J547" t="s">
        <v>2283</v>
      </c>
      <c r="K547" t="s">
        <v>2488</v>
      </c>
      <c r="L547">
        <v>192</v>
      </c>
      <c r="P547" t="s">
        <v>2486</v>
      </c>
      <c r="Q547">
        <v>2012</v>
      </c>
      <c r="R547">
        <v>2009</v>
      </c>
      <c r="S547" s="1">
        <v>44294</v>
      </c>
      <c r="T547" s="1">
        <v>44274</v>
      </c>
      <c r="U547" t="s">
        <v>16</v>
      </c>
    </row>
    <row r="548" spans="1:21" x14ac:dyDescent="0.25">
      <c r="A548">
        <v>547</v>
      </c>
      <c r="B548">
        <v>6821410</v>
      </c>
      <c r="C548" t="s">
        <v>3630</v>
      </c>
      <c r="D548" t="s">
        <v>1299</v>
      </c>
      <c r="E548" t="s">
        <v>1285</v>
      </c>
      <c r="F548" t="s">
        <v>1286</v>
      </c>
      <c r="G548" t="s">
        <v>2755</v>
      </c>
      <c r="H548" t="s">
        <v>3631</v>
      </c>
      <c r="I548" s="5" t="s">
        <v>2890</v>
      </c>
      <c r="J548" t="s">
        <v>2590</v>
      </c>
      <c r="K548" t="s">
        <v>112</v>
      </c>
      <c r="L548">
        <v>433</v>
      </c>
      <c r="M548">
        <v>0.72152777777777777</v>
      </c>
      <c r="N548">
        <v>17.316666666666666</v>
      </c>
      <c r="O548" t="s">
        <v>4101</v>
      </c>
      <c r="P548" t="s">
        <v>2486</v>
      </c>
      <c r="Q548">
        <v>2017</v>
      </c>
      <c r="R548">
        <v>1997</v>
      </c>
      <c r="S548" s="1">
        <v>44287</v>
      </c>
      <c r="T548" s="1">
        <v>44280</v>
      </c>
      <c r="U548" t="s">
        <v>16</v>
      </c>
    </row>
    <row r="549" spans="1:21" x14ac:dyDescent="0.25">
      <c r="A549">
        <v>548</v>
      </c>
      <c r="B549">
        <v>5691249</v>
      </c>
      <c r="C549" t="s">
        <v>2756</v>
      </c>
      <c r="D549" t="s">
        <v>17</v>
      </c>
      <c r="E549" t="s">
        <v>1281</v>
      </c>
      <c r="F549" t="s">
        <v>1282</v>
      </c>
      <c r="H549" t="s">
        <v>3632</v>
      </c>
      <c r="I549" s="5" t="s">
        <v>2890</v>
      </c>
      <c r="J549" t="s">
        <v>2285</v>
      </c>
      <c r="K549" t="s">
        <v>2488</v>
      </c>
      <c r="L549">
        <v>462</v>
      </c>
      <c r="P549" t="s">
        <v>2494</v>
      </c>
      <c r="Q549">
        <v>2004</v>
      </c>
      <c r="R549">
        <v>2004</v>
      </c>
      <c r="S549" s="1">
        <v>44286</v>
      </c>
      <c r="T549" s="1">
        <v>44274</v>
      </c>
      <c r="U549" t="s">
        <v>16</v>
      </c>
    </row>
    <row r="550" spans="1:21" x14ac:dyDescent="0.25">
      <c r="A550">
        <v>549</v>
      </c>
      <c r="B550">
        <v>6821374</v>
      </c>
      <c r="C550" t="s">
        <v>3633</v>
      </c>
      <c r="D550" t="s">
        <v>1302</v>
      </c>
      <c r="E550" t="s">
        <v>1285</v>
      </c>
      <c r="F550" t="s">
        <v>1286</v>
      </c>
      <c r="G550" t="s">
        <v>2755</v>
      </c>
      <c r="H550" t="s">
        <v>3634</v>
      </c>
      <c r="I550" s="5" t="s">
        <v>2890</v>
      </c>
      <c r="J550" t="s">
        <v>2590</v>
      </c>
      <c r="K550" t="s">
        <v>112</v>
      </c>
      <c r="L550">
        <v>342</v>
      </c>
      <c r="M550">
        <v>0.54791666666666672</v>
      </c>
      <c r="N550">
        <v>13.150000000000002</v>
      </c>
      <c r="O550" t="s">
        <v>4102</v>
      </c>
      <c r="P550" t="s">
        <v>2486</v>
      </c>
      <c r="Q550">
        <v>2016</v>
      </c>
      <c r="R550">
        <v>1996</v>
      </c>
      <c r="S550" s="1">
        <v>44280</v>
      </c>
      <c r="T550" s="1">
        <v>44272</v>
      </c>
      <c r="U550" t="s">
        <v>16</v>
      </c>
    </row>
    <row r="551" spans="1:21" x14ac:dyDescent="0.25">
      <c r="A551">
        <v>550</v>
      </c>
      <c r="B551">
        <v>34811896</v>
      </c>
      <c r="C551" t="s">
        <v>3635</v>
      </c>
      <c r="D551" t="s">
        <v>1300</v>
      </c>
      <c r="E551" t="s">
        <v>798</v>
      </c>
      <c r="F551" t="s">
        <v>799</v>
      </c>
      <c r="H551" t="s">
        <v>3636</v>
      </c>
      <c r="I551" s="5" t="s">
        <v>2901</v>
      </c>
      <c r="J551" t="s">
        <v>2272</v>
      </c>
      <c r="K551" t="s">
        <v>57</v>
      </c>
      <c r="L551">
        <v>722</v>
      </c>
      <c r="P551" t="s">
        <v>2603</v>
      </c>
      <c r="Q551">
        <v>2017</v>
      </c>
      <c r="R551">
        <v>2017</v>
      </c>
      <c r="S551" s="1">
        <v>44275</v>
      </c>
      <c r="T551" s="1">
        <v>44260</v>
      </c>
      <c r="U551" t="s">
        <v>16</v>
      </c>
    </row>
    <row r="552" spans="1:21" x14ac:dyDescent="0.25">
      <c r="A552">
        <v>551</v>
      </c>
      <c r="B552">
        <v>6821368</v>
      </c>
      <c r="C552" t="s">
        <v>3637</v>
      </c>
      <c r="D552" t="s">
        <v>1306</v>
      </c>
      <c r="E552" t="s">
        <v>1285</v>
      </c>
      <c r="F552" t="s">
        <v>1286</v>
      </c>
      <c r="G552" t="s">
        <v>2755</v>
      </c>
      <c r="H552" t="s">
        <v>3638</v>
      </c>
      <c r="I552" s="5" t="s">
        <v>2917</v>
      </c>
      <c r="J552" t="s">
        <v>2590</v>
      </c>
      <c r="K552" t="s">
        <v>112</v>
      </c>
      <c r="L552">
        <v>330</v>
      </c>
      <c r="M552">
        <v>0.52847222222222223</v>
      </c>
      <c r="N552">
        <v>12.683333333333334</v>
      </c>
      <c r="O552" t="s">
        <v>4103</v>
      </c>
      <c r="P552" t="s">
        <v>2486</v>
      </c>
      <c r="Q552">
        <v>2017</v>
      </c>
      <c r="R552">
        <v>1995</v>
      </c>
      <c r="S552" s="1">
        <v>44272</v>
      </c>
      <c r="T552" s="1">
        <v>44264</v>
      </c>
      <c r="U552" t="s">
        <v>16</v>
      </c>
    </row>
    <row r="553" spans="1:21" x14ac:dyDescent="0.25">
      <c r="A553">
        <v>552</v>
      </c>
      <c r="B553">
        <v>188497</v>
      </c>
      <c r="C553" t="s">
        <v>2757</v>
      </c>
      <c r="D553" t="s">
        <v>17</v>
      </c>
      <c r="E553" t="s">
        <v>1303</v>
      </c>
      <c r="F553" t="s">
        <v>1304</v>
      </c>
      <c r="H553" t="s">
        <v>3639</v>
      </c>
      <c r="I553" s="5" t="s">
        <v>2901</v>
      </c>
      <c r="J553" t="s">
        <v>1668</v>
      </c>
      <c r="K553" t="s">
        <v>2488</v>
      </c>
      <c r="L553">
        <v>349</v>
      </c>
      <c r="P553" t="s">
        <v>2494</v>
      </c>
      <c r="Q553">
        <v>2018</v>
      </c>
      <c r="R553">
        <v>1981</v>
      </c>
      <c r="S553" s="1">
        <v>44265</v>
      </c>
      <c r="T553" s="1">
        <v>44261</v>
      </c>
      <c r="U553" t="s">
        <v>16</v>
      </c>
    </row>
    <row r="554" spans="1:21" x14ac:dyDescent="0.25">
      <c r="A554">
        <v>553</v>
      </c>
      <c r="B554">
        <v>6821358</v>
      </c>
      <c r="C554" t="s">
        <v>3640</v>
      </c>
      <c r="D554" t="s">
        <v>1313</v>
      </c>
      <c r="E554" t="s">
        <v>1285</v>
      </c>
      <c r="F554" t="s">
        <v>1286</v>
      </c>
      <c r="G554" t="s">
        <v>2755</v>
      </c>
      <c r="H554" t="s">
        <v>3641</v>
      </c>
      <c r="I554" s="5" t="s">
        <v>2890</v>
      </c>
      <c r="J554" t="s">
        <v>2590</v>
      </c>
      <c r="K554" t="s">
        <v>112</v>
      </c>
      <c r="L554">
        <v>306</v>
      </c>
      <c r="M554">
        <v>0.49166666666666664</v>
      </c>
      <c r="N554">
        <v>11.799999999999999</v>
      </c>
      <c r="O554" t="s">
        <v>4104</v>
      </c>
      <c r="P554" t="s">
        <v>2486</v>
      </c>
      <c r="Q554">
        <v>2015</v>
      </c>
      <c r="R554">
        <v>1994</v>
      </c>
      <c r="S554" s="1">
        <v>44264</v>
      </c>
      <c r="T554" s="1">
        <v>44256</v>
      </c>
      <c r="U554" t="s">
        <v>16</v>
      </c>
    </row>
    <row r="555" spans="1:21" x14ac:dyDescent="0.25">
      <c r="A555">
        <v>554</v>
      </c>
      <c r="B555">
        <v>27801102</v>
      </c>
      <c r="C555" t="s">
        <v>3642</v>
      </c>
      <c r="D555" t="s">
        <v>1308</v>
      </c>
      <c r="E555" t="s">
        <v>798</v>
      </c>
      <c r="F555" t="s">
        <v>799</v>
      </c>
      <c r="H555" t="s">
        <v>3643</v>
      </c>
      <c r="I555" s="5" t="s">
        <v>2890</v>
      </c>
      <c r="J555" t="s">
        <v>1691</v>
      </c>
      <c r="K555" t="s">
        <v>57</v>
      </c>
      <c r="L555">
        <v>264</v>
      </c>
      <c r="P555" t="s">
        <v>2486</v>
      </c>
      <c r="Q555">
        <v>2015</v>
      </c>
      <c r="R555">
        <v>2014</v>
      </c>
      <c r="S555" s="1">
        <v>44260</v>
      </c>
      <c r="T555" s="1">
        <v>44256</v>
      </c>
      <c r="U555" t="s">
        <v>16</v>
      </c>
    </row>
    <row r="556" spans="1:21" x14ac:dyDescent="0.25">
      <c r="A556">
        <v>555</v>
      </c>
      <c r="B556">
        <v>52968293</v>
      </c>
      <c r="C556" t="s">
        <v>1309</v>
      </c>
      <c r="D556" t="s">
        <v>17</v>
      </c>
      <c r="E556" t="s">
        <v>1310</v>
      </c>
      <c r="F556" t="s">
        <v>1311</v>
      </c>
      <c r="H556" t="s">
        <v>3644</v>
      </c>
      <c r="I556" s="5" t="s">
        <v>2901</v>
      </c>
      <c r="J556" t="s">
        <v>1780</v>
      </c>
      <c r="K556" t="s">
        <v>2488</v>
      </c>
      <c r="L556">
        <v>416</v>
      </c>
      <c r="P556" t="s">
        <v>2494</v>
      </c>
      <c r="Q556">
        <v>2022</v>
      </c>
      <c r="R556">
        <v>2022</v>
      </c>
      <c r="S556" s="1">
        <v>44260</v>
      </c>
      <c r="T556" s="1">
        <v>44250</v>
      </c>
      <c r="U556" t="s">
        <v>16</v>
      </c>
    </row>
    <row r="557" spans="1:21" x14ac:dyDescent="0.25">
      <c r="A557">
        <v>556</v>
      </c>
      <c r="B557">
        <v>12664659</v>
      </c>
      <c r="C557" t="s">
        <v>3645</v>
      </c>
      <c r="D557" t="s">
        <v>2758</v>
      </c>
      <c r="E557" t="s">
        <v>1285</v>
      </c>
      <c r="F557" t="s">
        <v>1286</v>
      </c>
      <c r="G557" t="s">
        <v>2755</v>
      </c>
      <c r="H557" t="s">
        <v>3646</v>
      </c>
      <c r="I557" s="5" t="s">
        <v>2890</v>
      </c>
      <c r="J557" t="s">
        <v>2590</v>
      </c>
      <c r="K557" t="s">
        <v>112</v>
      </c>
      <c r="L557">
        <v>394</v>
      </c>
      <c r="M557">
        <v>0.69861111111111107</v>
      </c>
      <c r="N557">
        <v>16.766666666666666</v>
      </c>
      <c r="O557" t="s">
        <v>4105</v>
      </c>
      <c r="P557" t="s">
        <v>2486</v>
      </c>
      <c r="Q557">
        <v>2019</v>
      </c>
      <c r="R557">
        <v>1992</v>
      </c>
      <c r="S557" s="1">
        <v>44256</v>
      </c>
      <c r="T557" s="1">
        <v>44248</v>
      </c>
      <c r="U557" t="s">
        <v>16</v>
      </c>
    </row>
    <row r="558" spans="1:21" x14ac:dyDescent="0.25">
      <c r="A558">
        <v>557</v>
      </c>
      <c r="B558">
        <v>26118612</v>
      </c>
      <c r="C558" t="s">
        <v>3647</v>
      </c>
      <c r="D558" t="s">
        <v>1315</v>
      </c>
      <c r="E558" t="s">
        <v>798</v>
      </c>
      <c r="F558" t="s">
        <v>799</v>
      </c>
      <c r="H558" t="s">
        <v>3648</v>
      </c>
      <c r="I558" s="5" t="s">
        <v>2890</v>
      </c>
      <c r="J558" t="s">
        <v>1691</v>
      </c>
      <c r="K558" t="s">
        <v>2488</v>
      </c>
      <c r="L558">
        <v>368</v>
      </c>
      <c r="P558" t="s">
        <v>2486</v>
      </c>
      <c r="Q558">
        <v>2015</v>
      </c>
      <c r="R558">
        <v>2013</v>
      </c>
      <c r="S558" s="1">
        <v>44251</v>
      </c>
      <c r="T558" s="1">
        <v>44236</v>
      </c>
      <c r="U558" t="s">
        <v>16</v>
      </c>
    </row>
    <row r="559" spans="1:21" x14ac:dyDescent="0.25">
      <c r="A559">
        <v>558</v>
      </c>
      <c r="B559">
        <v>33867160</v>
      </c>
      <c r="C559" t="s">
        <v>1316</v>
      </c>
      <c r="D559" t="s">
        <v>17</v>
      </c>
      <c r="E559" t="s">
        <v>1317</v>
      </c>
      <c r="F559" t="s">
        <v>1318</v>
      </c>
      <c r="H559" t="s">
        <v>3649</v>
      </c>
      <c r="I559" s="5" t="s">
        <v>2890</v>
      </c>
      <c r="J559" t="s">
        <v>1673</v>
      </c>
      <c r="K559" t="s">
        <v>2488</v>
      </c>
      <c r="L559">
        <v>391</v>
      </c>
      <c r="P559" t="s">
        <v>2494</v>
      </c>
      <c r="Q559">
        <v>2016</v>
      </c>
      <c r="R559">
        <v>2016</v>
      </c>
      <c r="S559" s="1">
        <v>44248</v>
      </c>
      <c r="T559" s="1">
        <v>44243</v>
      </c>
      <c r="U559" t="s">
        <v>16</v>
      </c>
    </row>
    <row r="560" spans="1:21" x14ac:dyDescent="0.25">
      <c r="A560">
        <v>559</v>
      </c>
      <c r="B560">
        <v>22401179</v>
      </c>
      <c r="C560" t="s">
        <v>3650</v>
      </c>
      <c r="D560" t="s">
        <v>2759</v>
      </c>
      <c r="E560" t="s">
        <v>1285</v>
      </c>
      <c r="F560" t="s">
        <v>1286</v>
      </c>
      <c r="G560" t="s">
        <v>2755</v>
      </c>
      <c r="H560" t="s">
        <v>3651</v>
      </c>
      <c r="I560" s="5" t="s">
        <v>2890</v>
      </c>
      <c r="J560" t="s">
        <v>2590</v>
      </c>
      <c r="K560" t="s">
        <v>112</v>
      </c>
      <c r="L560">
        <v>360</v>
      </c>
      <c r="M560">
        <v>0.55277777777777781</v>
      </c>
      <c r="N560">
        <v>13.266666666666667</v>
      </c>
      <c r="O560" t="s">
        <v>4106</v>
      </c>
      <c r="P560" t="s">
        <v>2486</v>
      </c>
      <c r="Q560">
        <v>2013</v>
      </c>
      <c r="R560">
        <v>1986</v>
      </c>
      <c r="S560" s="1">
        <v>44248</v>
      </c>
      <c r="T560" s="1">
        <v>44243</v>
      </c>
      <c r="U560" t="s">
        <v>16</v>
      </c>
    </row>
    <row r="561" spans="1:21" x14ac:dyDescent="0.25">
      <c r="A561">
        <v>560</v>
      </c>
      <c r="B561">
        <v>10305231</v>
      </c>
      <c r="C561" t="s">
        <v>2760</v>
      </c>
      <c r="D561" t="s">
        <v>1320</v>
      </c>
      <c r="E561" t="s">
        <v>1321</v>
      </c>
      <c r="F561" t="s">
        <v>1322</v>
      </c>
      <c r="H561" t="s">
        <v>3652</v>
      </c>
      <c r="I561" s="5" t="s">
        <v>2890</v>
      </c>
      <c r="J561" t="s">
        <v>2227</v>
      </c>
      <c r="K561" t="s">
        <v>2488</v>
      </c>
      <c r="L561">
        <v>320</v>
      </c>
      <c r="P561" t="s">
        <v>2494</v>
      </c>
      <c r="Q561">
        <v>2011</v>
      </c>
      <c r="R561">
        <v>2011</v>
      </c>
      <c r="S561" s="1">
        <v>44243</v>
      </c>
      <c r="T561" s="1">
        <v>44236</v>
      </c>
      <c r="U561" t="s">
        <v>16</v>
      </c>
    </row>
    <row r="562" spans="1:21" x14ac:dyDescent="0.25">
      <c r="A562">
        <v>561</v>
      </c>
      <c r="B562">
        <v>25515376</v>
      </c>
      <c r="C562" t="s">
        <v>3653</v>
      </c>
      <c r="D562" t="s">
        <v>1324</v>
      </c>
      <c r="E562" t="s">
        <v>798</v>
      </c>
      <c r="F562" t="s">
        <v>799</v>
      </c>
      <c r="H562" t="s">
        <v>3654</v>
      </c>
      <c r="I562" s="5" t="s">
        <v>2901</v>
      </c>
      <c r="J562" t="s">
        <v>1691</v>
      </c>
      <c r="K562" t="s">
        <v>57</v>
      </c>
      <c r="L562">
        <v>440</v>
      </c>
      <c r="P562" t="s">
        <v>2486</v>
      </c>
      <c r="Q562">
        <v>2015</v>
      </c>
      <c r="R562">
        <v>2013</v>
      </c>
      <c r="S562" s="1">
        <v>44232</v>
      </c>
      <c r="T562" s="1">
        <v>44126</v>
      </c>
      <c r="U562" t="s">
        <v>16</v>
      </c>
    </row>
    <row r="563" spans="1:21" x14ac:dyDescent="0.25">
      <c r="A563">
        <v>562</v>
      </c>
      <c r="B563">
        <v>35992336</v>
      </c>
      <c r="C563" t="s">
        <v>1325</v>
      </c>
      <c r="D563" t="s">
        <v>17</v>
      </c>
      <c r="E563" t="s">
        <v>1281</v>
      </c>
      <c r="F563" t="s">
        <v>1282</v>
      </c>
      <c r="H563" t="s">
        <v>3655</v>
      </c>
      <c r="I563" s="5" t="s">
        <v>2890</v>
      </c>
      <c r="J563" t="s">
        <v>2227</v>
      </c>
      <c r="K563" t="s">
        <v>2488</v>
      </c>
      <c r="L563">
        <v>336</v>
      </c>
      <c r="P563" t="s">
        <v>2494</v>
      </c>
      <c r="Q563">
        <v>2017</v>
      </c>
      <c r="R563">
        <v>2017</v>
      </c>
      <c r="S563" s="1">
        <v>44231</v>
      </c>
      <c r="T563" s="1">
        <v>44221</v>
      </c>
      <c r="U563" t="s">
        <v>16</v>
      </c>
    </row>
    <row r="564" spans="1:21" x14ac:dyDescent="0.25">
      <c r="A564">
        <v>563</v>
      </c>
      <c r="B564">
        <v>20416926</v>
      </c>
      <c r="C564" t="s">
        <v>1326</v>
      </c>
      <c r="D564" t="s">
        <v>17</v>
      </c>
      <c r="E564" t="s">
        <v>1115</v>
      </c>
      <c r="F564" t="s">
        <v>1116</v>
      </c>
      <c r="H564" t="s">
        <v>3656</v>
      </c>
      <c r="I564" s="5" t="s">
        <v>2890</v>
      </c>
      <c r="J564" t="s">
        <v>2185</v>
      </c>
      <c r="K564" t="s">
        <v>2488</v>
      </c>
      <c r="L564">
        <v>384</v>
      </c>
      <c r="P564" t="s">
        <v>2494</v>
      </c>
      <c r="Q564">
        <v>2014</v>
      </c>
      <c r="R564">
        <v>2012</v>
      </c>
      <c r="S564" s="1">
        <v>44226</v>
      </c>
      <c r="T564" s="1">
        <v>44179</v>
      </c>
      <c r="U564" t="s">
        <v>16</v>
      </c>
    </row>
    <row r="565" spans="1:21" x14ac:dyDescent="0.25">
      <c r="A565">
        <v>564</v>
      </c>
      <c r="B565">
        <v>55825011</v>
      </c>
      <c r="C565" t="s">
        <v>1327</v>
      </c>
      <c r="D565" t="s">
        <v>17</v>
      </c>
      <c r="E565" t="s">
        <v>1328</v>
      </c>
      <c r="F565" t="s">
        <v>1329</v>
      </c>
      <c r="H565" t="s">
        <v>3657</v>
      </c>
      <c r="I565" s="5" t="s">
        <v>2901</v>
      </c>
      <c r="J565" t="s">
        <v>1668</v>
      </c>
      <c r="K565" t="s">
        <v>2488</v>
      </c>
      <c r="L565">
        <v>320</v>
      </c>
      <c r="P565" t="s">
        <v>2494</v>
      </c>
      <c r="Q565">
        <v>2020</v>
      </c>
      <c r="R565">
        <v>2020</v>
      </c>
      <c r="S565" s="1">
        <v>44220</v>
      </c>
      <c r="T565" s="1">
        <v>44154</v>
      </c>
      <c r="U565" t="s">
        <v>16</v>
      </c>
    </row>
    <row r="566" spans="1:21" x14ac:dyDescent="0.25">
      <c r="A566">
        <v>565</v>
      </c>
      <c r="B566">
        <v>55670529</v>
      </c>
      <c r="C566" t="s">
        <v>1330</v>
      </c>
      <c r="D566" t="s">
        <v>17</v>
      </c>
      <c r="E566" t="s">
        <v>1331</v>
      </c>
      <c r="F566" t="s">
        <v>1332</v>
      </c>
      <c r="H566" t="s">
        <v>3658</v>
      </c>
      <c r="I566" s="5" t="s">
        <v>2901</v>
      </c>
      <c r="J566" t="s">
        <v>1668</v>
      </c>
      <c r="K566" t="s">
        <v>2488</v>
      </c>
      <c r="L566">
        <v>400</v>
      </c>
      <c r="P566" t="s">
        <v>2494</v>
      </c>
      <c r="Q566">
        <v>2020</v>
      </c>
      <c r="R566">
        <v>2019</v>
      </c>
      <c r="S566" s="1">
        <v>44206</v>
      </c>
      <c r="T566" s="1">
        <v>44154</v>
      </c>
      <c r="U566" t="s">
        <v>16</v>
      </c>
    </row>
    <row r="567" spans="1:21" x14ac:dyDescent="0.25">
      <c r="A567">
        <v>566</v>
      </c>
      <c r="B567">
        <v>39349029</v>
      </c>
      <c r="C567" t="s">
        <v>3659</v>
      </c>
      <c r="D567" t="s">
        <v>1334</v>
      </c>
      <c r="E567" t="s">
        <v>364</v>
      </c>
      <c r="F567" t="s">
        <v>365</v>
      </c>
      <c r="H567" t="s">
        <v>3660</v>
      </c>
      <c r="I567" s="5" t="s">
        <v>2933</v>
      </c>
      <c r="J567" t="s">
        <v>2121</v>
      </c>
      <c r="K567" t="s">
        <v>57</v>
      </c>
      <c r="L567">
        <v>423</v>
      </c>
      <c r="P567" t="s">
        <v>2486</v>
      </c>
      <c r="Q567">
        <v>2018</v>
      </c>
      <c r="R567">
        <v>2014</v>
      </c>
      <c r="S567" s="1">
        <v>44199</v>
      </c>
      <c r="T567" s="1">
        <v>44189</v>
      </c>
      <c r="U567" t="s">
        <v>16</v>
      </c>
    </row>
    <row r="568" spans="1:21" x14ac:dyDescent="0.25">
      <c r="A568">
        <v>567</v>
      </c>
      <c r="B568">
        <v>54841852</v>
      </c>
      <c r="C568" t="s">
        <v>1335</v>
      </c>
      <c r="D568" t="s">
        <v>17</v>
      </c>
      <c r="E568" t="s">
        <v>969</v>
      </c>
      <c r="F568" t="s">
        <v>970</v>
      </c>
      <c r="H568" t="s">
        <v>3661</v>
      </c>
      <c r="I568" s="5" t="s">
        <v>2901</v>
      </c>
      <c r="J568" t="s">
        <v>1668</v>
      </c>
      <c r="K568" t="s">
        <v>2488</v>
      </c>
      <c r="L568">
        <v>296</v>
      </c>
      <c r="P568" t="s">
        <v>2494</v>
      </c>
      <c r="Q568">
        <v>2020</v>
      </c>
      <c r="R568">
        <v>2020</v>
      </c>
      <c r="S568" s="1">
        <v>44189</v>
      </c>
      <c r="T568" s="1">
        <v>44174</v>
      </c>
      <c r="U568" t="s">
        <v>16</v>
      </c>
    </row>
    <row r="569" spans="1:21" x14ac:dyDescent="0.25">
      <c r="A569">
        <v>568</v>
      </c>
      <c r="B569">
        <v>33845482</v>
      </c>
      <c r="C569" t="s">
        <v>3662</v>
      </c>
      <c r="D569" t="s">
        <v>1337</v>
      </c>
      <c r="E569" t="s">
        <v>364</v>
      </c>
      <c r="F569" t="s">
        <v>365</v>
      </c>
      <c r="H569" t="s">
        <v>3663</v>
      </c>
      <c r="I569" s="5" t="s">
        <v>2901</v>
      </c>
      <c r="J569" t="s">
        <v>2121</v>
      </c>
      <c r="K569" t="s">
        <v>57</v>
      </c>
      <c r="L569">
        <v>352</v>
      </c>
      <c r="P569" t="s">
        <v>2486</v>
      </c>
      <c r="Q569">
        <v>2017</v>
      </c>
      <c r="R569">
        <v>2013</v>
      </c>
      <c r="S569" s="1">
        <v>44187</v>
      </c>
      <c r="T569" s="1">
        <v>44116</v>
      </c>
      <c r="U569" t="s">
        <v>16</v>
      </c>
    </row>
    <row r="570" spans="1:21" x14ac:dyDescent="0.25">
      <c r="A570">
        <v>569</v>
      </c>
      <c r="B570">
        <v>35904878</v>
      </c>
      <c r="C570" t="s">
        <v>3664</v>
      </c>
      <c r="D570" t="s">
        <v>2761</v>
      </c>
      <c r="E570" t="s">
        <v>1006</v>
      </c>
      <c r="F570" t="s">
        <v>1007</v>
      </c>
      <c r="H570" t="s">
        <v>3665</v>
      </c>
      <c r="I570" s="5" t="s">
        <v>2901</v>
      </c>
      <c r="J570" t="s">
        <v>1673</v>
      </c>
      <c r="K570" t="s">
        <v>2488</v>
      </c>
      <c r="L570">
        <v>456</v>
      </c>
      <c r="P570" t="s">
        <v>2494</v>
      </c>
      <c r="Q570">
        <v>2017</v>
      </c>
      <c r="R570">
        <v>2015</v>
      </c>
      <c r="S570" s="1">
        <v>44173</v>
      </c>
      <c r="T570" s="1">
        <v>44157</v>
      </c>
      <c r="U570" t="s">
        <v>16</v>
      </c>
    </row>
    <row r="571" spans="1:21" x14ac:dyDescent="0.25">
      <c r="A571">
        <v>570</v>
      </c>
      <c r="B571">
        <v>52157624</v>
      </c>
      <c r="C571" t="s">
        <v>1339</v>
      </c>
      <c r="D571" t="s">
        <v>17</v>
      </c>
      <c r="E571" t="s">
        <v>503</v>
      </c>
      <c r="F571" t="s">
        <v>504</v>
      </c>
      <c r="H571" t="s">
        <v>3666</v>
      </c>
      <c r="I571" s="5" t="s">
        <v>2901</v>
      </c>
      <c r="J571" t="s">
        <v>1668</v>
      </c>
      <c r="K571" t="s">
        <v>2488</v>
      </c>
      <c r="L571">
        <v>336</v>
      </c>
      <c r="P571" t="s">
        <v>2494</v>
      </c>
      <c r="Q571">
        <v>2020</v>
      </c>
      <c r="R571">
        <v>2019</v>
      </c>
      <c r="S571" s="1">
        <v>44162</v>
      </c>
      <c r="T571" s="1">
        <v>44154</v>
      </c>
      <c r="U571" t="s">
        <v>16</v>
      </c>
    </row>
    <row r="572" spans="1:21" x14ac:dyDescent="0.25">
      <c r="A572">
        <v>571</v>
      </c>
      <c r="B572">
        <v>41813075</v>
      </c>
      <c r="C572" t="s">
        <v>1342</v>
      </c>
      <c r="D572" t="s">
        <v>17</v>
      </c>
      <c r="E572" t="s">
        <v>1343</v>
      </c>
      <c r="F572" t="s">
        <v>1344</v>
      </c>
      <c r="H572" t="s">
        <v>3667</v>
      </c>
      <c r="I572" s="5" t="s">
        <v>2901</v>
      </c>
      <c r="J572" t="s">
        <v>1673</v>
      </c>
      <c r="K572" t="s">
        <v>2488</v>
      </c>
      <c r="L572">
        <v>240</v>
      </c>
      <c r="P572" t="s">
        <v>2494</v>
      </c>
      <c r="Q572">
        <v>2018</v>
      </c>
      <c r="R572">
        <v>2016</v>
      </c>
      <c r="S572" s="1">
        <v>44153</v>
      </c>
      <c r="T572" s="1">
        <v>44151</v>
      </c>
      <c r="U572" t="s">
        <v>16</v>
      </c>
    </row>
    <row r="573" spans="1:21" x14ac:dyDescent="0.25">
      <c r="A573">
        <v>572</v>
      </c>
      <c r="B573">
        <v>40363335</v>
      </c>
      <c r="C573" t="s">
        <v>2762</v>
      </c>
      <c r="D573" t="s">
        <v>17</v>
      </c>
      <c r="E573" t="s">
        <v>1345</v>
      </c>
      <c r="F573" t="s">
        <v>1346</v>
      </c>
      <c r="H573" t="s">
        <v>3668</v>
      </c>
      <c r="I573" s="5" t="s">
        <v>2933</v>
      </c>
      <c r="J573" t="s">
        <v>1668</v>
      </c>
      <c r="K573" t="s">
        <v>2488</v>
      </c>
      <c r="L573">
        <v>256</v>
      </c>
      <c r="P573" t="s">
        <v>2494</v>
      </c>
      <c r="Q573">
        <v>2020</v>
      </c>
      <c r="R573">
        <v>2019</v>
      </c>
      <c r="S573" s="1">
        <v>44144</v>
      </c>
      <c r="T573" s="1">
        <v>44126</v>
      </c>
      <c r="U573" t="s">
        <v>16</v>
      </c>
    </row>
    <row r="574" spans="1:21" x14ac:dyDescent="0.25">
      <c r="A574">
        <v>573</v>
      </c>
      <c r="B574">
        <v>38944698</v>
      </c>
      <c r="C574" t="s">
        <v>2763</v>
      </c>
      <c r="D574" t="s">
        <v>17</v>
      </c>
      <c r="E574" t="s">
        <v>1347</v>
      </c>
      <c r="F574" t="s">
        <v>1348</v>
      </c>
      <c r="H574" t="s">
        <v>3669</v>
      </c>
      <c r="I574" s="5" t="s">
        <v>2901</v>
      </c>
      <c r="J574" t="s">
        <v>2189</v>
      </c>
      <c r="K574" t="s">
        <v>2488</v>
      </c>
      <c r="L574">
        <v>337</v>
      </c>
      <c r="P574" t="s">
        <v>2494</v>
      </c>
      <c r="Q574">
        <v>2020</v>
      </c>
      <c r="R574">
        <v>2018</v>
      </c>
      <c r="S574" s="1">
        <v>44142</v>
      </c>
      <c r="T574" s="1">
        <v>44126</v>
      </c>
      <c r="U574" t="s">
        <v>16</v>
      </c>
    </row>
    <row r="575" spans="1:21" x14ac:dyDescent="0.25">
      <c r="A575">
        <v>574</v>
      </c>
      <c r="B575">
        <v>3377535</v>
      </c>
      <c r="C575" t="s">
        <v>2764</v>
      </c>
      <c r="D575" t="s">
        <v>17</v>
      </c>
      <c r="E575" t="s">
        <v>1349</v>
      </c>
      <c r="F575" t="s">
        <v>1350</v>
      </c>
      <c r="H575" t="s">
        <v>3670</v>
      </c>
      <c r="I575" s="5" t="s">
        <v>2901</v>
      </c>
      <c r="J575" t="s">
        <v>1770</v>
      </c>
      <c r="K575" t="s">
        <v>2488</v>
      </c>
      <c r="L575">
        <v>184</v>
      </c>
      <c r="P575" t="s">
        <v>2494</v>
      </c>
      <c r="Q575">
        <v>2019</v>
      </c>
      <c r="R575">
        <v>2007</v>
      </c>
      <c r="S575" s="1">
        <v>44136</v>
      </c>
      <c r="T575" s="1">
        <v>44119</v>
      </c>
      <c r="U575" t="s">
        <v>16</v>
      </c>
    </row>
    <row r="576" spans="1:21" x14ac:dyDescent="0.25">
      <c r="A576">
        <v>575</v>
      </c>
      <c r="B576">
        <v>34321018</v>
      </c>
      <c r="C576" t="s">
        <v>3671</v>
      </c>
      <c r="D576" t="s">
        <v>2765</v>
      </c>
      <c r="E576" t="s">
        <v>1006</v>
      </c>
      <c r="F576" t="s">
        <v>1007</v>
      </c>
      <c r="H576" t="s">
        <v>3672</v>
      </c>
      <c r="I576" s="5" t="s">
        <v>2901</v>
      </c>
      <c r="J576" t="s">
        <v>1668</v>
      </c>
      <c r="K576" t="s">
        <v>2488</v>
      </c>
      <c r="L576">
        <v>392</v>
      </c>
      <c r="P576" t="s">
        <v>2494</v>
      </c>
      <c r="Q576">
        <v>2017</v>
      </c>
      <c r="R576">
        <v>2015</v>
      </c>
      <c r="S576" s="1">
        <v>44126</v>
      </c>
      <c r="T576" s="1">
        <v>44116</v>
      </c>
      <c r="U576" t="s">
        <v>16</v>
      </c>
    </row>
    <row r="577" spans="1:21" x14ac:dyDescent="0.25">
      <c r="A577">
        <v>576</v>
      </c>
      <c r="B577">
        <v>31019823</v>
      </c>
      <c r="C577" t="s">
        <v>3673</v>
      </c>
      <c r="D577" t="s">
        <v>1353</v>
      </c>
      <c r="E577" t="s">
        <v>530</v>
      </c>
      <c r="F577" t="s">
        <v>531</v>
      </c>
      <c r="H577" t="s">
        <v>3674</v>
      </c>
      <c r="I577" s="5" t="s">
        <v>2933</v>
      </c>
      <c r="J577" t="s">
        <v>1668</v>
      </c>
      <c r="K577" t="s">
        <v>2488</v>
      </c>
      <c r="L577">
        <v>336</v>
      </c>
      <c r="P577" t="s">
        <v>2494</v>
      </c>
      <c r="Q577">
        <v>2016</v>
      </c>
      <c r="R577">
        <v>2007</v>
      </c>
      <c r="S577" s="1">
        <v>44113</v>
      </c>
      <c r="T577" s="1">
        <v>44110</v>
      </c>
      <c r="U577" t="s">
        <v>16</v>
      </c>
    </row>
    <row r="578" spans="1:21" x14ac:dyDescent="0.25">
      <c r="A578">
        <v>577</v>
      </c>
      <c r="B578">
        <v>20941133</v>
      </c>
      <c r="C578" t="s">
        <v>1354</v>
      </c>
      <c r="D578" t="s">
        <v>17</v>
      </c>
      <c r="E578" t="s">
        <v>1355</v>
      </c>
      <c r="F578" t="s">
        <v>1356</v>
      </c>
      <c r="H578" t="s">
        <v>3675</v>
      </c>
      <c r="I578" s="5" t="s">
        <v>2890</v>
      </c>
      <c r="J578" t="s">
        <v>2310</v>
      </c>
      <c r="K578" t="s">
        <v>57</v>
      </c>
      <c r="L578">
        <v>208</v>
      </c>
      <c r="P578" t="s">
        <v>2486</v>
      </c>
      <c r="Q578">
        <v>2006</v>
      </c>
      <c r="R578">
        <v>2006</v>
      </c>
      <c r="S578" s="1">
        <v>44108</v>
      </c>
      <c r="T578" s="1">
        <v>44108</v>
      </c>
      <c r="U578" t="s">
        <v>16</v>
      </c>
    </row>
    <row r="579" spans="1:21" x14ac:dyDescent="0.25">
      <c r="A579">
        <v>578</v>
      </c>
      <c r="B579">
        <v>50615338</v>
      </c>
      <c r="C579" t="s">
        <v>1357</v>
      </c>
      <c r="D579" t="s">
        <v>17</v>
      </c>
      <c r="E579" t="s">
        <v>1358</v>
      </c>
      <c r="F579" t="s">
        <v>1359</v>
      </c>
      <c r="G579" t="s">
        <v>2766</v>
      </c>
      <c r="H579" t="s">
        <v>3676</v>
      </c>
      <c r="I579" s="5" t="s">
        <v>2901</v>
      </c>
      <c r="J579" t="s">
        <v>2532</v>
      </c>
      <c r="K579" t="s">
        <v>112</v>
      </c>
      <c r="L579">
        <v>376</v>
      </c>
      <c r="M579">
        <v>0.52083333333333337</v>
      </c>
      <c r="N579">
        <v>12.5</v>
      </c>
      <c r="O579" t="s">
        <v>3896</v>
      </c>
      <c r="P579" t="s">
        <v>2494</v>
      </c>
      <c r="Q579">
        <v>2020</v>
      </c>
      <c r="R579">
        <v>2019</v>
      </c>
      <c r="S579" s="1">
        <v>44092</v>
      </c>
      <c r="T579" s="1">
        <v>44089</v>
      </c>
      <c r="U579" t="s">
        <v>16</v>
      </c>
    </row>
    <row r="580" spans="1:21" x14ac:dyDescent="0.25">
      <c r="A580">
        <v>579</v>
      </c>
      <c r="B580">
        <v>45014624</v>
      </c>
      <c r="C580" t="s">
        <v>1360</v>
      </c>
      <c r="D580" t="s">
        <v>17</v>
      </c>
      <c r="E580" t="s">
        <v>1361</v>
      </c>
      <c r="F580" t="s">
        <v>1362</v>
      </c>
      <c r="H580" t="s">
        <v>3677</v>
      </c>
      <c r="I580" s="5" t="s">
        <v>2917</v>
      </c>
      <c r="J580" t="s">
        <v>1668</v>
      </c>
      <c r="K580" t="s">
        <v>2488</v>
      </c>
      <c r="L580">
        <v>144</v>
      </c>
      <c r="P580" t="s">
        <v>2494</v>
      </c>
      <c r="Q580">
        <v>2018</v>
      </c>
      <c r="R580">
        <v>2018</v>
      </c>
      <c r="S580" s="1">
        <v>44076</v>
      </c>
      <c r="T580" s="1">
        <v>44075</v>
      </c>
      <c r="U580" t="s">
        <v>16</v>
      </c>
    </row>
    <row r="581" spans="1:21" x14ac:dyDescent="0.25">
      <c r="A581">
        <v>580</v>
      </c>
      <c r="B581">
        <v>30288809</v>
      </c>
      <c r="C581" t="s">
        <v>3678</v>
      </c>
      <c r="D581" t="s">
        <v>1364</v>
      </c>
      <c r="E581" t="s">
        <v>364</v>
      </c>
      <c r="F581" t="s">
        <v>365</v>
      </c>
      <c r="H581" t="s">
        <v>3679</v>
      </c>
      <c r="I581" s="5" t="s">
        <v>2890</v>
      </c>
      <c r="J581" t="s">
        <v>2121</v>
      </c>
      <c r="K581" t="s">
        <v>57</v>
      </c>
      <c r="L581">
        <v>364</v>
      </c>
      <c r="P581" t="s">
        <v>2486</v>
      </c>
      <c r="Q581">
        <v>2016</v>
      </c>
      <c r="R581">
        <v>2012</v>
      </c>
      <c r="S581" s="1">
        <v>44057</v>
      </c>
      <c r="T581" s="1">
        <v>44056</v>
      </c>
      <c r="U581" t="s">
        <v>16</v>
      </c>
    </row>
    <row r="582" spans="1:21" x14ac:dyDescent="0.25">
      <c r="A582">
        <v>581</v>
      </c>
      <c r="B582">
        <v>35356382</v>
      </c>
      <c r="C582" t="s">
        <v>2767</v>
      </c>
      <c r="D582" t="s">
        <v>17</v>
      </c>
      <c r="E582" t="s">
        <v>934</v>
      </c>
      <c r="F582" t="s">
        <v>935</v>
      </c>
      <c r="H582" t="s">
        <v>3680</v>
      </c>
      <c r="I582" s="5" t="s">
        <v>2890</v>
      </c>
      <c r="J582" t="s">
        <v>1668</v>
      </c>
      <c r="K582" t="s">
        <v>2488</v>
      </c>
      <c r="L582">
        <v>280</v>
      </c>
      <c r="P582" t="s">
        <v>2494</v>
      </c>
      <c r="Q582">
        <v>2018</v>
      </c>
      <c r="R582">
        <v>2018</v>
      </c>
      <c r="S582" s="1">
        <v>44018</v>
      </c>
      <c r="T582" s="1">
        <v>44049</v>
      </c>
      <c r="U582" t="s">
        <v>16</v>
      </c>
    </row>
    <row r="583" spans="1:21" x14ac:dyDescent="0.25">
      <c r="A583">
        <v>582</v>
      </c>
      <c r="B583">
        <v>20423680</v>
      </c>
      <c r="C583" t="s">
        <v>2768</v>
      </c>
      <c r="D583" t="s">
        <v>1365</v>
      </c>
      <c r="E583" t="s">
        <v>750</v>
      </c>
      <c r="F583" t="s">
        <v>751</v>
      </c>
      <c r="H583" t="s">
        <v>3681</v>
      </c>
      <c r="I583" s="5" t="s">
        <v>2901</v>
      </c>
      <c r="J583" t="s">
        <v>3620</v>
      </c>
      <c r="K583" t="s">
        <v>2488</v>
      </c>
      <c r="L583">
        <v>294</v>
      </c>
      <c r="P583" t="s">
        <v>2494</v>
      </c>
      <c r="Q583">
        <v>2014</v>
      </c>
      <c r="R583">
        <v>2014</v>
      </c>
      <c r="S583" s="1">
        <v>44037</v>
      </c>
      <c r="T583" s="1">
        <v>44034</v>
      </c>
      <c r="U583" t="s">
        <v>16</v>
      </c>
    </row>
    <row r="584" spans="1:21" x14ac:dyDescent="0.25">
      <c r="A584">
        <v>583</v>
      </c>
      <c r="B584">
        <v>17920175</v>
      </c>
      <c r="C584" t="s">
        <v>2769</v>
      </c>
      <c r="D584" t="s">
        <v>1366</v>
      </c>
      <c r="E584" t="s">
        <v>750</v>
      </c>
      <c r="F584" t="s">
        <v>751</v>
      </c>
      <c r="H584" t="s">
        <v>3682</v>
      </c>
      <c r="I584" s="5" t="s">
        <v>2901</v>
      </c>
      <c r="J584" t="s">
        <v>3620</v>
      </c>
      <c r="K584" t="s">
        <v>2488</v>
      </c>
      <c r="L584">
        <v>298</v>
      </c>
      <c r="P584" t="s">
        <v>2494</v>
      </c>
      <c r="Q584">
        <v>2013</v>
      </c>
      <c r="R584">
        <v>2013</v>
      </c>
      <c r="S584" s="1">
        <v>44034</v>
      </c>
      <c r="T584" s="1">
        <v>44030</v>
      </c>
      <c r="U584" t="s">
        <v>16</v>
      </c>
    </row>
    <row r="585" spans="1:21" x14ac:dyDescent="0.25">
      <c r="A585">
        <v>584</v>
      </c>
      <c r="B585">
        <v>15096164</v>
      </c>
      <c r="C585" t="s">
        <v>2770</v>
      </c>
      <c r="D585" t="s">
        <v>1367</v>
      </c>
      <c r="E585" t="s">
        <v>750</v>
      </c>
      <c r="F585" t="s">
        <v>751</v>
      </c>
      <c r="H585" t="s">
        <v>3683</v>
      </c>
      <c r="I585" s="5" t="s">
        <v>2901</v>
      </c>
      <c r="J585" t="s">
        <v>3620</v>
      </c>
      <c r="K585" t="s">
        <v>2488</v>
      </c>
      <c r="L585">
        <v>307</v>
      </c>
      <c r="P585" t="s">
        <v>2494</v>
      </c>
      <c r="Q585">
        <v>2012</v>
      </c>
      <c r="R585">
        <v>2012</v>
      </c>
      <c r="S585" s="1">
        <v>44030</v>
      </c>
      <c r="T585" s="1">
        <v>44026</v>
      </c>
      <c r="U585" t="s">
        <v>16</v>
      </c>
    </row>
    <row r="586" spans="1:21" x14ac:dyDescent="0.25">
      <c r="A586">
        <v>585</v>
      </c>
      <c r="B586">
        <v>23149749</v>
      </c>
      <c r="C586" t="s">
        <v>2771</v>
      </c>
      <c r="D586" t="s">
        <v>17</v>
      </c>
      <c r="E586" t="s">
        <v>1169</v>
      </c>
      <c r="F586" t="s">
        <v>1170</v>
      </c>
      <c r="H586" t="s">
        <v>3684</v>
      </c>
      <c r="I586" s="5" t="s">
        <v>2901</v>
      </c>
      <c r="J586" t="s">
        <v>2047</v>
      </c>
      <c r="K586" t="s">
        <v>2488</v>
      </c>
      <c r="L586">
        <v>288</v>
      </c>
      <c r="P586" t="s">
        <v>2494</v>
      </c>
      <c r="Q586">
        <v>2014</v>
      </c>
      <c r="R586">
        <v>2008</v>
      </c>
      <c r="S586" s="1">
        <v>44016</v>
      </c>
      <c r="T586" s="1">
        <v>44015</v>
      </c>
      <c r="U586" t="s">
        <v>16</v>
      </c>
    </row>
    <row r="587" spans="1:21" x14ac:dyDescent="0.25">
      <c r="A587">
        <v>586</v>
      </c>
      <c r="B587">
        <v>34829748</v>
      </c>
      <c r="C587" t="s">
        <v>1368</v>
      </c>
      <c r="D587" t="s">
        <v>17</v>
      </c>
      <c r="E587" t="s">
        <v>750</v>
      </c>
      <c r="F587" t="s">
        <v>751</v>
      </c>
      <c r="H587" t="s">
        <v>3685</v>
      </c>
      <c r="I587" s="5" t="s">
        <v>2933</v>
      </c>
      <c r="J587" t="s">
        <v>2208</v>
      </c>
      <c r="K587" t="s">
        <v>2488</v>
      </c>
      <c r="L587">
        <v>320</v>
      </c>
      <c r="P587" t="s">
        <v>2486</v>
      </c>
      <c r="Q587">
        <v>2017</v>
      </c>
      <c r="R587">
        <v>2016</v>
      </c>
      <c r="S587" s="1">
        <v>44014</v>
      </c>
      <c r="T587" s="1">
        <v>44013</v>
      </c>
      <c r="U587" t="s">
        <v>16</v>
      </c>
    </row>
    <row r="588" spans="1:21" x14ac:dyDescent="0.25">
      <c r="A588">
        <v>587</v>
      </c>
      <c r="B588">
        <v>46017438</v>
      </c>
      <c r="C588" t="s">
        <v>1369</v>
      </c>
      <c r="D588" t="s">
        <v>17</v>
      </c>
      <c r="E588" t="s">
        <v>1370</v>
      </c>
      <c r="F588" t="s">
        <v>1371</v>
      </c>
      <c r="H588" t="s">
        <v>3686</v>
      </c>
      <c r="I588" s="5" t="s">
        <v>3006</v>
      </c>
      <c r="J588" t="s">
        <v>1668</v>
      </c>
      <c r="K588" t="s">
        <v>2488</v>
      </c>
      <c r="L588">
        <v>544</v>
      </c>
      <c r="P588" t="s">
        <v>2494</v>
      </c>
      <c r="Q588">
        <v>2019</v>
      </c>
      <c r="R588">
        <v>2018</v>
      </c>
      <c r="S588" s="1">
        <v>44012</v>
      </c>
      <c r="T588" s="1">
        <v>43997</v>
      </c>
      <c r="U588" t="s">
        <v>16</v>
      </c>
    </row>
    <row r="589" spans="1:21" x14ac:dyDescent="0.25">
      <c r="A589">
        <v>588</v>
      </c>
      <c r="B589">
        <v>33706134</v>
      </c>
      <c r="C589" t="s">
        <v>3687</v>
      </c>
      <c r="D589" t="s">
        <v>1373</v>
      </c>
      <c r="E589" t="s">
        <v>364</v>
      </c>
      <c r="F589" t="s">
        <v>365</v>
      </c>
      <c r="H589" t="s">
        <v>3688</v>
      </c>
      <c r="I589" s="5" t="s">
        <v>2890</v>
      </c>
      <c r="J589" t="s">
        <v>2121</v>
      </c>
      <c r="K589" t="s">
        <v>57</v>
      </c>
      <c r="L589">
        <v>304</v>
      </c>
      <c r="P589" t="s">
        <v>2486</v>
      </c>
      <c r="Q589">
        <v>2016</v>
      </c>
      <c r="R589">
        <v>2011</v>
      </c>
      <c r="S589" s="1">
        <v>44008</v>
      </c>
      <c r="T589" s="1">
        <v>44002</v>
      </c>
      <c r="U589" t="s">
        <v>16</v>
      </c>
    </row>
    <row r="590" spans="1:21" x14ac:dyDescent="0.25">
      <c r="A590">
        <v>589</v>
      </c>
      <c r="B590">
        <v>23301507</v>
      </c>
      <c r="C590" t="s">
        <v>1374</v>
      </c>
      <c r="D590" t="s">
        <v>17</v>
      </c>
      <c r="E590" t="s">
        <v>62</v>
      </c>
      <c r="F590" t="s">
        <v>63</v>
      </c>
      <c r="H590" t="s">
        <v>3689</v>
      </c>
      <c r="I590" s="5" t="s">
        <v>2933</v>
      </c>
      <c r="J590" t="s">
        <v>1668</v>
      </c>
      <c r="K590" t="s">
        <v>2488</v>
      </c>
      <c r="L590">
        <v>328</v>
      </c>
      <c r="P590" t="s">
        <v>2494</v>
      </c>
      <c r="Q590">
        <v>2014</v>
      </c>
      <c r="R590">
        <v>2014</v>
      </c>
      <c r="S590" s="1">
        <v>43944</v>
      </c>
      <c r="T590" s="1">
        <v>43944</v>
      </c>
      <c r="U590" t="s">
        <v>16</v>
      </c>
    </row>
    <row r="591" spans="1:21" x14ac:dyDescent="0.25">
      <c r="A591">
        <v>590</v>
      </c>
      <c r="B591">
        <v>18691070</v>
      </c>
      <c r="C591" t="s">
        <v>2774</v>
      </c>
      <c r="D591" t="s">
        <v>1375</v>
      </c>
      <c r="E591" t="s">
        <v>1376</v>
      </c>
      <c r="F591" t="s">
        <v>1377</v>
      </c>
      <c r="H591" t="s">
        <v>3690</v>
      </c>
      <c r="I591" s="5" t="s">
        <v>2901</v>
      </c>
      <c r="J591" t="s">
        <v>1668</v>
      </c>
      <c r="K591" t="s">
        <v>2488</v>
      </c>
      <c r="L591">
        <v>320</v>
      </c>
      <c r="P591" t="s">
        <v>2494</v>
      </c>
      <c r="Q591">
        <v>2014</v>
      </c>
      <c r="R591">
        <v>2014</v>
      </c>
      <c r="S591" s="1">
        <v>43940</v>
      </c>
      <c r="T591" s="1">
        <v>43939</v>
      </c>
      <c r="U591" t="s">
        <v>16</v>
      </c>
    </row>
    <row r="592" spans="1:21" x14ac:dyDescent="0.25">
      <c r="A592">
        <v>591</v>
      </c>
      <c r="B592">
        <v>16046748</v>
      </c>
      <c r="C592" t="s">
        <v>2773</v>
      </c>
      <c r="D592" t="s">
        <v>1378</v>
      </c>
      <c r="E592" t="s">
        <v>1376</v>
      </c>
      <c r="F592" t="s">
        <v>1377</v>
      </c>
      <c r="H592" t="s">
        <v>3691</v>
      </c>
      <c r="I592" s="5" t="s">
        <v>2890</v>
      </c>
      <c r="J592" t="s">
        <v>1668</v>
      </c>
      <c r="K592" t="s">
        <v>2488</v>
      </c>
      <c r="L592">
        <v>316</v>
      </c>
      <c r="P592" t="s">
        <v>2494</v>
      </c>
      <c r="Q592">
        <v>2013</v>
      </c>
      <c r="R592">
        <v>2013</v>
      </c>
      <c r="S592" s="1">
        <v>43939</v>
      </c>
      <c r="T592" s="1">
        <v>43937</v>
      </c>
      <c r="U592" t="s">
        <v>16</v>
      </c>
    </row>
    <row r="593" spans="1:21" x14ac:dyDescent="0.25">
      <c r="A593">
        <v>592</v>
      </c>
      <c r="B593">
        <v>13330370</v>
      </c>
      <c r="C593" t="s">
        <v>2772</v>
      </c>
      <c r="D593" t="s">
        <v>1379</v>
      </c>
      <c r="E593" t="s">
        <v>1376</v>
      </c>
      <c r="F593" t="s">
        <v>1377</v>
      </c>
      <c r="H593" t="s">
        <v>3692</v>
      </c>
      <c r="I593" s="5" t="s">
        <v>2890</v>
      </c>
      <c r="J593" t="s">
        <v>1668</v>
      </c>
      <c r="K593" t="s">
        <v>2488</v>
      </c>
      <c r="L593">
        <v>316</v>
      </c>
      <c r="P593" t="s">
        <v>2494</v>
      </c>
      <c r="Q593">
        <v>2012</v>
      </c>
      <c r="R593">
        <v>2012</v>
      </c>
      <c r="S593" s="1">
        <v>43936</v>
      </c>
      <c r="T593" s="1">
        <v>43934</v>
      </c>
      <c r="U593" t="s">
        <v>16</v>
      </c>
    </row>
    <row r="594" spans="1:21" x14ac:dyDescent="0.25">
      <c r="A594">
        <v>593</v>
      </c>
      <c r="B594">
        <v>53098069</v>
      </c>
      <c r="C594" t="s">
        <v>1380</v>
      </c>
      <c r="D594" t="s">
        <v>17</v>
      </c>
      <c r="E594" t="s">
        <v>62</v>
      </c>
      <c r="F594" t="s">
        <v>63</v>
      </c>
      <c r="H594" t="s">
        <v>3693</v>
      </c>
      <c r="I594" s="5" t="s">
        <v>2933</v>
      </c>
      <c r="J594" t="s">
        <v>1668</v>
      </c>
      <c r="K594" t="s">
        <v>2488</v>
      </c>
      <c r="L594">
        <v>424</v>
      </c>
      <c r="P594" t="s">
        <v>2494</v>
      </c>
      <c r="Q594">
        <v>2019</v>
      </c>
      <c r="R594">
        <v>2019</v>
      </c>
      <c r="S594" s="1">
        <v>43892</v>
      </c>
      <c r="T594" s="1">
        <v>43878</v>
      </c>
      <c r="U594" t="s">
        <v>16</v>
      </c>
    </row>
    <row r="595" spans="1:21" x14ac:dyDescent="0.25">
      <c r="A595">
        <v>594</v>
      </c>
      <c r="B595">
        <v>45165349</v>
      </c>
      <c r="C595" t="s">
        <v>1381</v>
      </c>
      <c r="D595" t="s">
        <v>17</v>
      </c>
      <c r="E595" t="s">
        <v>1382</v>
      </c>
      <c r="F595" t="s">
        <v>1383</v>
      </c>
      <c r="H595" t="s">
        <v>3694</v>
      </c>
      <c r="I595" s="5" t="s">
        <v>2890</v>
      </c>
      <c r="J595" t="s">
        <v>1950</v>
      </c>
      <c r="K595" t="s">
        <v>2488</v>
      </c>
      <c r="L595">
        <v>251</v>
      </c>
      <c r="P595" t="s">
        <v>2494</v>
      </c>
      <c r="Q595">
        <v>2019</v>
      </c>
      <c r="R595">
        <v>2019</v>
      </c>
      <c r="S595" s="1">
        <v>43902</v>
      </c>
      <c r="T595" s="1">
        <v>43900</v>
      </c>
      <c r="U595" t="s">
        <v>16</v>
      </c>
    </row>
    <row r="596" spans="1:21" x14ac:dyDescent="0.25">
      <c r="A596">
        <v>595</v>
      </c>
      <c r="B596">
        <v>48576936</v>
      </c>
      <c r="C596" t="s">
        <v>1384</v>
      </c>
      <c r="D596" t="s">
        <v>17</v>
      </c>
      <c r="E596" t="s">
        <v>1385</v>
      </c>
      <c r="F596" t="s">
        <v>1386</v>
      </c>
      <c r="H596" t="s">
        <v>3695</v>
      </c>
      <c r="I596" s="5" t="s">
        <v>2901</v>
      </c>
      <c r="J596" t="s">
        <v>2328</v>
      </c>
      <c r="K596" t="s">
        <v>2488</v>
      </c>
      <c r="L596">
        <v>320</v>
      </c>
      <c r="P596" t="s">
        <v>2494</v>
      </c>
      <c r="Q596">
        <v>2019</v>
      </c>
      <c r="R596">
        <v>2019</v>
      </c>
      <c r="S596" s="1">
        <v>43895</v>
      </c>
      <c r="T596" s="1">
        <v>43893</v>
      </c>
      <c r="U596" t="s">
        <v>16</v>
      </c>
    </row>
    <row r="597" spans="1:21" x14ac:dyDescent="0.25">
      <c r="A597">
        <v>596</v>
      </c>
      <c r="B597">
        <v>28391650</v>
      </c>
      <c r="C597" t="s">
        <v>3696</v>
      </c>
      <c r="D597" t="s">
        <v>1388</v>
      </c>
      <c r="E597" t="s">
        <v>62</v>
      </c>
      <c r="F597" t="s">
        <v>63</v>
      </c>
      <c r="H597" t="s">
        <v>3697</v>
      </c>
      <c r="I597" s="5" t="s">
        <v>2933</v>
      </c>
      <c r="J597" t="s">
        <v>1668</v>
      </c>
      <c r="K597" t="s">
        <v>2488</v>
      </c>
      <c r="L597">
        <v>448</v>
      </c>
      <c r="P597" t="s">
        <v>2494</v>
      </c>
      <c r="Q597">
        <v>2015</v>
      </c>
      <c r="R597">
        <v>2015</v>
      </c>
      <c r="S597" s="1">
        <v>43886</v>
      </c>
      <c r="T597" s="1">
        <v>43881</v>
      </c>
      <c r="U597" t="s">
        <v>16</v>
      </c>
    </row>
    <row r="598" spans="1:21" x14ac:dyDescent="0.25">
      <c r="A598">
        <v>597</v>
      </c>
      <c r="B598">
        <v>48615034</v>
      </c>
      <c r="C598" t="s">
        <v>1389</v>
      </c>
      <c r="D598" t="s">
        <v>17</v>
      </c>
      <c r="E598" t="s">
        <v>1390</v>
      </c>
      <c r="F598" t="s">
        <v>1391</v>
      </c>
      <c r="H598" t="s">
        <v>3698</v>
      </c>
      <c r="I598" s="5" t="s">
        <v>2901</v>
      </c>
      <c r="J598" t="s">
        <v>2331</v>
      </c>
      <c r="K598" t="s">
        <v>2488</v>
      </c>
      <c r="L598">
        <v>368</v>
      </c>
      <c r="P598" t="s">
        <v>2494</v>
      </c>
      <c r="Q598">
        <v>2019</v>
      </c>
      <c r="R598">
        <v>2019</v>
      </c>
      <c r="S598" s="1">
        <v>43883</v>
      </c>
      <c r="T598" s="1">
        <v>43877</v>
      </c>
      <c r="U598" t="s">
        <v>16</v>
      </c>
    </row>
    <row r="599" spans="1:21" x14ac:dyDescent="0.25">
      <c r="A599">
        <v>598</v>
      </c>
      <c r="B599">
        <v>22916782</v>
      </c>
      <c r="C599" t="s">
        <v>1392</v>
      </c>
      <c r="D599" t="s">
        <v>17</v>
      </c>
      <c r="E599" t="s">
        <v>1393</v>
      </c>
      <c r="F599" t="s">
        <v>1394</v>
      </c>
      <c r="H599" t="s">
        <v>3699</v>
      </c>
      <c r="I599" s="5" t="s">
        <v>2890</v>
      </c>
      <c r="J599" t="s">
        <v>1668</v>
      </c>
      <c r="K599" t="s">
        <v>2488</v>
      </c>
      <c r="L599">
        <v>264</v>
      </c>
      <c r="P599" t="s">
        <v>2494</v>
      </c>
      <c r="Q599">
        <v>2014</v>
      </c>
      <c r="R599">
        <v>2014</v>
      </c>
      <c r="S599" s="1">
        <v>43864</v>
      </c>
      <c r="T599" s="1">
        <v>43856</v>
      </c>
      <c r="U599" t="s">
        <v>16</v>
      </c>
    </row>
    <row r="600" spans="1:21" x14ac:dyDescent="0.25">
      <c r="A600">
        <v>599</v>
      </c>
      <c r="B600">
        <v>17899704</v>
      </c>
      <c r="C600" t="s">
        <v>2775</v>
      </c>
      <c r="D600" t="s">
        <v>17</v>
      </c>
      <c r="E600" t="s">
        <v>1395</v>
      </c>
      <c r="F600" t="s">
        <v>1396</v>
      </c>
      <c r="H600" t="s">
        <v>3700</v>
      </c>
      <c r="I600" s="5" t="s">
        <v>2890</v>
      </c>
      <c r="J600" t="s">
        <v>2776</v>
      </c>
      <c r="K600" t="s">
        <v>2488</v>
      </c>
      <c r="L600">
        <v>240</v>
      </c>
      <c r="P600" t="s">
        <v>2494</v>
      </c>
      <c r="Q600">
        <v>2014</v>
      </c>
      <c r="R600">
        <v>2014</v>
      </c>
      <c r="S600" s="1">
        <v>43834</v>
      </c>
      <c r="T600" s="1">
        <v>43832</v>
      </c>
      <c r="U600" t="s">
        <v>16</v>
      </c>
    </row>
    <row r="601" spans="1:21" x14ac:dyDescent="0.25">
      <c r="A601">
        <v>600</v>
      </c>
      <c r="B601">
        <v>49211103</v>
      </c>
      <c r="C601" t="s">
        <v>1397</v>
      </c>
      <c r="D601" t="s">
        <v>17</v>
      </c>
      <c r="E601" t="s">
        <v>1398</v>
      </c>
      <c r="F601" t="s">
        <v>1399</v>
      </c>
      <c r="H601" t="s">
        <v>3701</v>
      </c>
      <c r="I601" s="5" t="s">
        <v>2890</v>
      </c>
      <c r="J601" t="s">
        <v>1668</v>
      </c>
      <c r="K601" t="s">
        <v>2488</v>
      </c>
      <c r="L601">
        <v>400</v>
      </c>
      <c r="P601" t="s">
        <v>2494</v>
      </c>
      <c r="Q601">
        <v>2019</v>
      </c>
      <c r="R601">
        <v>2019</v>
      </c>
      <c r="S601" s="1">
        <v>43833</v>
      </c>
      <c r="T601" s="1">
        <v>43832</v>
      </c>
      <c r="U601" t="s">
        <v>16</v>
      </c>
    </row>
    <row r="602" spans="1:21" x14ac:dyDescent="0.25">
      <c r="A602">
        <v>601</v>
      </c>
      <c r="B602">
        <v>37863852</v>
      </c>
      <c r="C602" t="s">
        <v>2777</v>
      </c>
      <c r="D602" t="s">
        <v>1400</v>
      </c>
      <c r="E602" t="s">
        <v>954</v>
      </c>
      <c r="F602" t="s">
        <v>955</v>
      </c>
      <c r="H602" t="s">
        <v>3702</v>
      </c>
      <c r="I602" s="5" t="s">
        <v>2890</v>
      </c>
      <c r="J602" t="s">
        <v>1770</v>
      </c>
      <c r="K602" t="s">
        <v>2488</v>
      </c>
      <c r="L602">
        <v>369</v>
      </c>
      <c r="P602" t="s">
        <v>2494</v>
      </c>
      <c r="Q602">
        <v>2018</v>
      </c>
      <c r="R602">
        <v>2018</v>
      </c>
      <c r="S602" s="1"/>
      <c r="T602" s="1">
        <v>43832</v>
      </c>
      <c r="U602" t="s">
        <v>16</v>
      </c>
    </row>
    <row r="603" spans="1:21" x14ac:dyDescent="0.25">
      <c r="A603">
        <v>602</v>
      </c>
      <c r="B603">
        <v>38750904</v>
      </c>
      <c r="C603" t="s">
        <v>2778</v>
      </c>
      <c r="D603" t="s">
        <v>1401</v>
      </c>
      <c r="E603" t="s">
        <v>70</v>
      </c>
      <c r="F603" t="s">
        <v>71</v>
      </c>
      <c r="H603" t="s">
        <v>3703</v>
      </c>
      <c r="I603" s="5" t="s">
        <v>2901</v>
      </c>
      <c r="J603" t="s">
        <v>1668</v>
      </c>
      <c r="K603" t="s">
        <v>2488</v>
      </c>
      <c r="L603">
        <v>448</v>
      </c>
      <c r="P603" t="s">
        <v>2494</v>
      </c>
      <c r="Q603">
        <v>2018</v>
      </c>
      <c r="R603">
        <v>2018</v>
      </c>
      <c r="S603" s="1"/>
      <c r="T603" s="1">
        <v>43832</v>
      </c>
      <c r="U603" t="s">
        <v>16</v>
      </c>
    </row>
    <row r="604" spans="1:21" x14ac:dyDescent="0.25">
      <c r="A604">
        <v>603</v>
      </c>
      <c r="B604">
        <v>36347907</v>
      </c>
      <c r="C604" t="s">
        <v>1402</v>
      </c>
      <c r="D604" t="s">
        <v>17</v>
      </c>
      <c r="E604" t="s">
        <v>1328</v>
      </c>
      <c r="F604" t="s">
        <v>1329</v>
      </c>
      <c r="H604" t="s">
        <v>3704</v>
      </c>
      <c r="I604" s="5" t="s">
        <v>2890</v>
      </c>
      <c r="J604" t="s">
        <v>1668</v>
      </c>
      <c r="K604" t="s">
        <v>2488</v>
      </c>
      <c r="L604">
        <v>320</v>
      </c>
      <c r="P604" t="s">
        <v>2494</v>
      </c>
      <c r="Q604">
        <v>2017</v>
      </c>
      <c r="R604">
        <v>2017</v>
      </c>
      <c r="S604" s="1"/>
      <c r="T604" s="1">
        <v>43832</v>
      </c>
      <c r="U604" t="s">
        <v>16</v>
      </c>
    </row>
    <row r="605" spans="1:21" x14ac:dyDescent="0.25">
      <c r="A605">
        <v>604</v>
      </c>
      <c r="B605">
        <v>42205516</v>
      </c>
      <c r="C605" t="s">
        <v>1403</v>
      </c>
      <c r="D605" t="s">
        <v>17</v>
      </c>
      <c r="E605" t="s">
        <v>1328</v>
      </c>
      <c r="F605" t="s">
        <v>1329</v>
      </c>
      <c r="H605" t="s">
        <v>3705</v>
      </c>
      <c r="I605" s="5" t="s">
        <v>2890</v>
      </c>
      <c r="J605" t="s">
        <v>1668</v>
      </c>
      <c r="K605" t="s">
        <v>2488</v>
      </c>
      <c r="L605">
        <v>336</v>
      </c>
      <c r="P605" t="s">
        <v>2494</v>
      </c>
      <c r="Q605">
        <v>2018</v>
      </c>
      <c r="R605">
        <v>2018</v>
      </c>
      <c r="S605" s="1"/>
      <c r="T605" s="1">
        <v>43832</v>
      </c>
      <c r="U605" t="s">
        <v>16</v>
      </c>
    </row>
    <row r="606" spans="1:21" x14ac:dyDescent="0.25">
      <c r="A606">
        <v>605</v>
      </c>
      <c r="B606">
        <v>42117522</v>
      </c>
      <c r="C606" t="s">
        <v>1404</v>
      </c>
      <c r="D606" t="s">
        <v>17</v>
      </c>
      <c r="E606" t="s">
        <v>1390</v>
      </c>
      <c r="F606" t="s">
        <v>1391</v>
      </c>
      <c r="H606" t="s">
        <v>3706</v>
      </c>
      <c r="I606" s="5" t="s">
        <v>2901</v>
      </c>
      <c r="J606" t="s">
        <v>2339</v>
      </c>
      <c r="K606" t="s">
        <v>2488</v>
      </c>
      <c r="L606">
        <v>306</v>
      </c>
      <c r="P606" t="s">
        <v>2494</v>
      </c>
      <c r="Q606">
        <v>2018</v>
      </c>
      <c r="R606">
        <v>2018</v>
      </c>
      <c r="S606" s="1"/>
      <c r="T606" s="1">
        <v>43832</v>
      </c>
      <c r="U606" t="s">
        <v>16</v>
      </c>
    </row>
    <row r="607" spans="1:21" x14ac:dyDescent="0.25">
      <c r="A607">
        <v>606</v>
      </c>
      <c r="B607">
        <v>34928122</v>
      </c>
      <c r="C607" t="s">
        <v>1405</v>
      </c>
      <c r="D607" t="s">
        <v>17</v>
      </c>
      <c r="E607" t="s">
        <v>901</v>
      </c>
      <c r="F607" t="s">
        <v>902</v>
      </c>
      <c r="H607" t="s">
        <v>3707</v>
      </c>
      <c r="I607" s="5" t="s">
        <v>2901</v>
      </c>
      <c r="J607" t="s">
        <v>2259</v>
      </c>
      <c r="K607" t="s">
        <v>2488</v>
      </c>
      <c r="L607">
        <v>305</v>
      </c>
      <c r="P607" t="s">
        <v>2494</v>
      </c>
      <c r="Q607">
        <v>2017</v>
      </c>
      <c r="R607">
        <v>2017</v>
      </c>
      <c r="S607" s="1"/>
      <c r="T607" s="1">
        <v>43832</v>
      </c>
      <c r="U607" t="s">
        <v>16</v>
      </c>
    </row>
    <row r="608" spans="1:21" x14ac:dyDescent="0.25">
      <c r="A608">
        <v>607</v>
      </c>
      <c r="B608">
        <v>38359036</v>
      </c>
      <c r="C608" t="s">
        <v>3708</v>
      </c>
      <c r="D608" t="s">
        <v>1407</v>
      </c>
      <c r="E608" t="s">
        <v>1408</v>
      </c>
      <c r="F608" t="s">
        <v>1409</v>
      </c>
      <c r="H608" t="s">
        <v>3709</v>
      </c>
      <c r="I608" s="5" t="s">
        <v>2890</v>
      </c>
      <c r="J608" t="s">
        <v>2342</v>
      </c>
      <c r="K608" t="s">
        <v>2488</v>
      </c>
      <c r="L608">
        <v>272</v>
      </c>
      <c r="P608" t="s">
        <v>2603</v>
      </c>
      <c r="Q608">
        <v>2018</v>
      </c>
      <c r="R608">
        <v>2018</v>
      </c>
      <c r="S608" s="1"/>
      <c r="T608" s="1">
        <v>43832</v>
      </c>
      <c r="U608" t="s">
        <v>16</v>
      </c>
    </row>
    <row r="609" spans="1:21" x14ac:dyDescent="0.25">
      <c r="A609">
        <v>608</v>
      </c>
      <c r="B609">
        <v>41715791</v>
      </c>
      <c r="C609" t="s">
        <v>1410</v>
      </c>
      <c r="D609" t="s">
        <v>17</v>
      </c>
      <c r="E609" t="s">
        <v>62</v>
      </c>
      <c r="F609" t="s">
        <v>63</v>
      </c>
      <c r="H609" t="s">
        <v>3710</v>
      </c>
      <c r="I609" s="5" t="s">
        <v>2890</v>
      </c>
      <c r="J609" t="s">
        <v>1668</v>
      </c>
      <c r="K609" t="s">
        <v>2488</v>
      </c>
      <c r="L609">
        <v>272</v>
      </c>
      <c r="P609" t="s">
        <v>2494</v>
      </c>
      <c r="Q609">
        <v>2018</v>
      </c>
      <c r="R609">
        <v>2018</v>
      </c>
      <c r="S609" s="1"/>
      <c r="T609" s="1">
        <v>43832</v>
      </c>
      <c r="U609" t="s">
        <v>16</v>
      </c>
    </row>
    <row r="610" spans="1:21" x14ac:dyDescent="0.25">
      <c r="A610">
        <v>609</v>
      </c>
      <c r="B610">
        <v>36354944</v>
      </c>
      <c r="C610" t="s">
        <v>1411</v>
      </c>
      <c r="D610" t="s">
        <v>17</v>
      </c>
      <c r="E610" t="s">
        <v>62</v>
      </c>
      <c r="F610" t="s">
        <v>63</v>
      </c>
      <c r="H610" t="s">
        <v>3711</v>
      </c>
      <c r="I610" s="5" t="s">
        <v>2890</v>
      </c>
      <c r="J610" t="s">
        <v>1668</v>
      </c>
      <c r="K610" t="s">
        <v>2488</v>
      </c>
      <c r="L610">
        <v>664</v>
      </c>
      <c r="P610" t="s">
        <v>2494</v>
      </c>
      <c r="Q610">
        <v>2017</v>
      </c>
      <c r="R610">
        <v>2017</v>
      </c>
      <c r="S610" s="1"/>
      <c r="T610" s="1">
        <v>43832</v>
      </c>
      <c r="U610" t="s">
        <v>16</v>
      </c>
    </row>
    <row r="611" spans="1:21" x14ac:dyDescent="0.25">
      <c r="A611">
        <v>610</v>
      </c>
      <c r="B611">
        <v>18486104</v>
      </c>
      <c r="C611" t="s">
        <v>1412</v>
      </c>
      <c r="D611" t="s">
        <v>17</v>
      </c>
      <c r="E611" t="s">
        <v>1413</v>
      </c>
      <c r="F611" t="s">
        <v>1414</v>
      </c>
      <c r="H611" t="s">
        <v>3712</v>
      </c>
      <c r="I611" s="5" t="s">
        <v>2901</v>
      </c>
      <c r="J611" t="s">
        <v>2346</v>
      </c>
      <c r="K611" t="s">
        <v>2488</v>
      </c>
      <c r="L611">
        <v>240</v>
      </c>
      <c r="P611" t="s">
        <v>2494</v>
      </c>
      <c r="Q611">
        <v>2008</v>
      </c>
      <c r="R611">
        <v>2006</v>
      </c>
      <c r="S611" s="1"/>
      <c r="T611" s="1">
        <v>43832</v>
      </c>
      <c r="U611" t="s">
        <v>16</v>
      </c>
    </row>
    <row r="612" spans="1:21" x14ac:dyDescent="0.25">
      <c r="A612">
        <v>611</v>
      </c>
      <c r="B612">
        <v>25331732</v>
      </c>
      <c r="C612" t="s">
        <v>2779</v>
      </c>
      <c r="D612" t="s">
        <v>17</v>
      </c>
      <c r="E612" t="s">
        <v>2780</v>
      </c>
      <c r="F612" t="s">
        <v>2781</v>
      </c>
      <c r="H612" t="s">
        <v>3713</v>
      </c>
      <c r="I612" s="5" t="s">
        <v>2890</v>
      </c>
      <c r="J612" t="s">
        <v>1723</v>
      </c>
      <c r="K612" t="s">
        <v>2488</v>
      </c>
      <c r="L612">
        <v>244</v>
      </c>
      <c r="P612" t="s">
        <v>2494</v>
      </c>
      <c r="Q612">
        <v>2015</v>
      </c>
      <c r="R612">
        <v>2015</v>
      </c>
      <c r="S612" s="1"/>
      <c r="T612" s="1">
        <v>43832</v>
      </c>
      <c r="U612" t="s">
        <v>16</v>
      </c>
    </row>
    <row r="613" spans="1:21" x14ac:dyDescent="0.25">
      <c r="A613">
        <v>612</v>
      </c>
      <c r="B613">
        <v>28952542</v>
      </c>
      <c r="C613" t="s">
        <v>2782</v>
      </c>
      <c r="D613" t="s">
        <v>17</v>
      </c>
      <c r="E613" t="s">
        <v>1415</v>
      </c>
      <c r="F613" t="s">
        <v>1416</v>
      </c>
      <c r="H613" t="s">
        <v>3714</v>
      </c>
      <c r="I613" s="5" t="s">
        <v>2901</v>
      </c>
      <c r="J613" t="s">
        <v>1668</v>
      </c>
      <c r="K613" t="s">
        <v>2488</v>
      </c>
      <c r="L613">
        <v>368</v>
      </c>
      <c r="P613" t="s">
        <v>2494</v>
      </c>
      <c r="Q613">
        <v>2016</v>
      </c>
      <c r="R613">
        <v>2014</v>
      </c>
      <c r="S613" s="1"/>
      <c r="T613" s="1">
        <v>43832</v>
      </c>
      <c r="U613" t="s">
        <v>16</v>
      </c>
    </row>
    <row r="614" spans="1:21" x14ac:dyDescent="0.25">
      <c r="A614">
        <v>613</v>
      </c>
      <c r="B614">
        <v>33369264</v>
      </c>
      <c r="C614" t="s">
        <v>2783</v>
      </c>
      <c r="D614" t="s">
        <v>17</v>
      </c>
      <c r="E614" t="s">
        <v>170</v>
      </c>
      <c r="F614" t="s">
        <v>171</v>
      </c>
      <c r="H614" t="s">
        <v>3715</v>
      </c>
      <c r="I614" s="5" t="s">
        <v>2933</v>
      </c>
      <c r="J614" t="s">
        <v>2686</v>
      </c>
      <c r="K614" t="s">
        <v>2488</v>
      </c>
      <c r="L614">
        <v>316</v>
      </c>
      <c r="P614" t="s">
        <v>2486</v>
      </c>
      <c r="Q614">
        <v>2017</v>
      </c>
      <c r="R614">
        <v>2012</v>
      </c>
      <c r="S614" s="1"/>
      <c r="T614" s="1">
        <v>43832</v>
      </c>
      <c r="U614" t="s">
        <v>16</v>
      </c>
    </row>
    <row r="615" spans="1:21" x14ac:dyDescent="0.25">
      <c r="A615">
        <v>614</v>
      </c>
      <c r="B615">
        <v>769016</v>
      </c>
      <c r="C615" t="s">
        <v>2784</v>
      </c>
      <c r="D615" t="s">
        <v>17</v>
      </c>
      <c r="E615" t="s">
        <v>1227</v>
      </c>
      <c r="F615" t="s">
        <v>1228</v>
      </c>
      <c r="H615" t="s">
        <v>3716</v>
      </c>
      <c r="I615" s="5" t="s">
        <v>2890</v>
      </c>
      <c r="J615" t="s">
        <v>2785</v>
      </c>
      <c r="K615" t="s">
        <v>2488</v>
      </c>
      <c r="L615">
        <v>286</v>
      </c>
      <c r="P615" t="s">
        <v>2494</v>
      </c>
      <c r="Q615">
        <v>2016</v>
      </c>
      <c r="R615">
        <v>1980</v>
      </c>
      <c r="S615" s="1"/>
      <c r="T615" s="1">
        <v>43832</v>
      </c>
      <c r="U615" t="s">
        <v>16</v>
      </c>
    </row>
    <row r="616" spans="1:21" x14ac:dyDescent="0.25">
      <c r="A616">
        <v>615</v>
      </c>
      <c r="B616">
        <v>29537167</v>
      </c>
      <c r="C616" t="s">
        <v>2786</v>
      </c>
      <c r="D616" t="s">
        <v>17</v>
      </c>
      <c r="E616" t="s">
        <v>1417</v>
      </c>
      <c r="F616" t="s">
        <v>1418</v>
      </c>
      <c r="H616" t="s">
        <v>3717</v>
      </c>
      <c r="I616" s="5" t="s">
        <v>2890</v>
      </c>
      <c r="J616" t="s">
        <v>2787</v>
      </c>
      <c r="K616" t="s">
        <v>2488</v>
      </c>
      <c r="L616">
        <v>192</v>
      </c>
      <c r="P616" t="s">
        <v>2494</v>
      </c>
      <c r="Q616">
        <v>2016</v>
      </c>
      <c r="R616">
        <v>2016</v>
      </c>
      <c r="S616" s="1"/>
      <c r="T616" s="1">
        <v>43832</v>
      </c>
      <c r="U616" t="s">
        <v>16</v>
      </c>
    </row>
    <row r="617" spans="1:21" x14ac:dyDescent="0.25">
      <c r="A617">
        <v>616</v>
      </c>
      <c r="B617">
        <v>32953221</v>
      </c>
      <c r="C617" t="s">
        <v>1419</v>
      </c>
      <c r="D617" t="s">
        <v>17</v>
      </c>
      <c r="E617" t="s">
        <v>1420</v>
      </c>
      <c r="F617" t="s">
        <v>1421</v>
      </c>
      <c r="H617" t="s">
        <v>3718</v>
      </c>
      <c r="I617" s="5" t="s">
        <v>2933</v>
      </c>
      <c r="J617" t="s">
        <v>1668</v>
      </c>
      <c r="K617" t="s">
        <v>2488</v>
      </c>
      <c r="L617">
        <v>368</v>
      </c>
      <c r="P617" t="s">
        <v>2494</v>
      </c>
      <c r="Q617">
        <v>2016</v>
      </c>
      <c r="R617">
        <v>2016</v>
      </c>
      <c r="S617" s="1"/>
      <c r="T617" s="1">
        <v>43832</v>
      </c>
      <c r="U617" t="s">
        <v>16</v>
      </c>
    </row>
    <row r="618" spans="1:21" x14ac:dyDescent="0.25">
      <c r="A618">
        <v>617</v>
      </c>
      <c r="B618">
        <v>20929191</v>
      </c>
      <c r="C618" t="s">
        <v>2788</v>
      </c>
      <c r="D618" t="s">
        <v>17</v>
      </c>
      <c r="E618" t="s">
        <v>1422</v>
      </c>
      <c r="F618" t="s">
        <v>1423</v>
      </c>
      <c r="H618" t="s">
        <v>3719</v>
      </c>
      <c r="I618" s="5" t="s">
        <v>2901</v>
      </c>
      <c r="J618" t="s">
        <v>1668</v>
      </c>
      <c r="K618" t="s">
        <v>57</v>
      </c>
      <c r="L618">
        <v>315</v>
      </c>
      <c r="P618" t="s">
        <v>2494</v>
      </c>
      <c r="Q618">
        <v>2013</v>
      </c>
      <c r="R618">
        <v>2013</v>
      </c>
      <c r="S618" s="1"/>
      <c r="T618" s="1">
        <v>43832</v>
      </c>
      <c r="U618" t="s">
        <v>16</v>
      </c>
    </row>
    <row r="619" spans="1:21" x14ac:dyDescent="0.25">
      <c r="A619">
        <v>618</v>
      </c>
      <c r="B619">
        <v>32064868</v>
      </c>
      <c r="C619" t="s">
        <v>1424</v>
      </c>
      <c r="D619" t="s">
        <v>17</v>
      </c>
      <c r="E619" t="s">
        <v>1393</v>
      </c>
      <c r="F619" t="s">
        <v>1394</v>
      </c>
      <c r="H619" t="s">
        <v>3720</v>
      </c>
      <c r="I619" s="5" t="s">
        <v>2890</v>
      </c>
      <c r="J619" t="s">
        <v>1668</v>
      </c>
      <c r="K619" t="s">
        <v>2488</v>
      </c>
      <c r="L619">
        <v>256</v>
      </c>
      <c r="P619" t="s">
        <v>2494</v>
      </c>
      <c r="Q619">
        <v>2016</v>
      </c>
      <c r="R619">
        <v>2016</v>
      </c>
      <c r="S619" s="1"/>
      <c r="T619" s="1">
        <v>43832</v>
      </c>
      <c r="U619" t="s">
        <v>16</v>
      </c>
    </row>
    <row r="620" spans="1:21" x14ac:dyDescent="0.25">
      <c r="A620">
        <v>619</v>
      </c>
      <c r="B620">
        <v>29056083</v>
      </c>
      <c r="C620" t="s">
        <v>3721</v>
      </c>
      <c r="D620" t="s">
        <v>1426</v>
      </c>
      <c r="E620" t="s">
        <v>1427</v>
      </c>
      <c r="F620" t="s">
        <v>1428</v>
      </c>
      <c r="H620" t="s">
        <v>3722</v>
      </c>
      <c r="I620" s="5" t="s">
        <v>2901</v>
      </c>
      <c r="J620" t="s">
        <v>2355</v>
      </c>
      <c r="K620" t="s">
        <v>57</v>
      </c>
      <c r="L620">
        <v>343</v>
      </c>
      <c r="P620" t="s">
        <v>2486</v>
      </c>
      <c r="Q620">
        <v>2016</v>
      </c>
      <c r="R620">
        <v>2016</v>
      </c>
      <c r="S620" s="1"/>
      <c r="T620" s="1">
        <v>43832</v>
      </c>
      <c r="U620" t="s">
        <v>16</v>
      </c>
    </row>
    <row r="621" spans="1:21" x14ac:dyDescent="0.25">
      <c r="A621">
        <v>620</v>
      </c>
      <c r="B621">
        <v>32336502</v>
      </c>
      <c r="C621" t="s">
        <v>1429</v>
      </c>
      <c r="D621" t="s">
        <v>17</v>
      </c>
      <c r="E621" t="s">
        <v>62</v>
      </c>
      <c r="F621" t="s">
        <v>63</v>
      </c>
      <c r="H621" t="s">
        <v>3723</v>
      </c>
      <c r="I621" s="5" t="s">
        <v>2933</v>
      </c>
      <c r="J621" t="s">
        <v>1668</v>
      </c>
      <c r="K621" t="s">
        <v>57</v>
      </c>
      <c r="L621">
        <v>368</v>
      </c>
      <c r="P621" t="s">
        <v>2494</v>
      </c>
      <c r="Q621">
        <v>2016</v>
      </c>
      <c r="R621">
        <v>2016</v>
      </c>
      <c r="S621" s="1"/>
      <c r="T621" s="1">
        <v>43832</v>
      </c>
      <c r="U621" t="s">
        <v>16</v>
      </c>
    </row>
    <row r="622" spans="1:21" x14ac:dyDescent="0.25">
      <c r="A622">
        <v>621</v>
      </c>
      <c r="B622">
        <v>33797433</v>
      </c>
      <c r="C622" t="s">
        <v>1430</v>
      </c>
      <c r="D622" t="s">
        <v>17</v>
      </c>
      <c r="E622" t="s">
        <v>1431</v>
      </c>
      <c r="F622" t="s">
        <v>1432</v>
      </c>
      <c r="H622" t="s">
        <v>3724</v>
      </c>
      <c r="I622" s="5" t="s">
        <v>2890</v>
      </c>
      <c r="J622" t="s">
        <v>1668</v>
      </c>
      <c r="K622" t="s">
        <v>2488</v>
      </c>
      <c r="L622">
        <v>237</v>
      </c>
      <c r="P622" t="s">
        <v>2494</v>
      </c>
      <c r="Q622">
        <v>2016</v>
      </c>
      <c r="R622">
        <v>2016</v>
      </c>
      <c r="S622" s="1"/>
      <c r="T622" s="1">
        <v>43832</v>
      </c>
      <c r="U622" t="s">
        <v>16</v>
      </c>
    </row>
    <row r="623" spans="1:21" x14ac:dyDescent="0.25">
      <c r="A623">
        <v>622</v>
      </c>
      <c r="B623">
        <v>30185040</v>
      </c>
      <c r="C623" t="s">
        <v>1433</v>
      </c>
      <c r="D623" t="s">
        <v>17</v>
      </c>
      <c r="E623" t="s">
        <v>1254</v>
      </c>
      <c r="F623" t="s">
        <v>1255</v>
      </c>
      <c r="H623" t="s">
        <v>3725</v>
      </c>
      <c r="I623" s="5" t="s">
        <v>2901</v>
      </c>
      <c r="J623" t="s">
        <v>1730</v>
      </c>
      <c r="K623" t="s">
        <v>2488</v>
      </c>
      <c r="L623">
        <v>224</v>
      </c>
      <c r="P623" t="s">
        <v>2494</v>
      </c>
      <c r="Q623">
        <v>2016</v>
      </c>
      <c r="R623">
        <v>2016</v>
      </c>
      <c r="S623" s="1"/>
      <c r="T623" s="1">
        <v>43832</v>
      </c>
      <c r="U623" t="s">
        <v>16</v>
      </c>
    </row>
    <row r="624" spans="1:21" x14ac:dyDescent="0.25">
      <c r="A624">
        <v>623</v>
      </c>
      <c r="B624">
        <v>9969571</v>
      </c>
      <c r="C624" t="s">
        <v>3726</v>
      </c>
      <c r="D624" t="s">
        <v>1435</v>
      </c>
      <c r="E624" t="s">
        <v>871</v>
      </c>
      <c r="F624" t="s">
        <v>872</v>
      </c>
      <c r="H624" t="s">
        <v>3727</v>
      </c>
      <c r="I624" s="5" t="s">
        <v>2901</v>
      </c>
      <c r="J624" t="s">
        <v>1668</v>
      </c>
      <c r="K624" t="s">
        <v>57</v>
      </c>
      <c r="L624">
        <v>480</v>
      </c>
      <c r="P624" t="s">
        <v>2494</v>
      </c>
      <c r="Q624">
        <v>2011</v>
      </c>
      <c r="R624">
        <v>2011</v>
      </c>
      <c r="S624" s="1"/>
      <c r="T624" s="1">
        <v>43832</v>
      </c>
      <c r="U624" t="s">
        <v>16</v>
      </c>
    </row>
    <row r="625" spans="1:21" x14ac:dyDescent="0.25">
      <c r="A625">
        <v>624</v>
      </c>
      <c r="B625">
        <v>39280444</v>
      </c>
      <c r="C625" t="s">
        <v>2789</v>
      </c>
      <c r="D625" t="s">
        <v>17</v>
      </c>
      <c r="E625" t="s">
        <v>1436</v>
      </c>
      <c r="F625" t="s">
        <v>1437</v>
      </c>
      <c r="H625" t="s">
        <v>3728</v>
      </c>
      <c r="I625" s="5" t="s">
        <v>2890</v>
      </c>
      <c r="J625" t="s">
        <v>2047</v>
      </c>
      <c r="K625" t="s">
        <v>2488</v>
      </c>
      <c r="L625">
        <v>224</v>
      </c>
      <c r="P625" t="s">
        <v>2494</v>
      </c>
      <c r="Q625">
        <v>2019</v>
      </c>
      <c r="R625">
        <v>1999</v>
      </c>
      <c r="S625" s="1"/>
      <c r="T625" s="1">
        <v>43832</v>
      </c>
      <c r="U625" t="s">
        <v>16</v>
      </c>
    </row>
    <row r="626" spans="1:21" x14ac:dyDescent="0.25">
      <c r="A626">
        <v>625</v>
      </c>
      <c r="B626">
        <v>33113864</v>
      </c>
      <c r="C626" t="s">
        <v>3729</v>
      </c>
      <c r="D626" t="s">
        <v>1439</v>
      </c>
      <c r="E626" t="s">
        <v>250</v>
      </c>
      <c r="F626" t="s">
        <v>251</v>
      </c>
      <c r="H626" t="s">
        <v>3730</v>
      </c>
      <c r="I626" s="5" t="s">
        <v>2901</v>
      </c>
      <c r="J626" t="s">
        <v>1668</v>
      </c>
      <c r="K626" t="s">
        <v>2488</v>
      </c>
      <c r="L626">
        <v>497</v>
      </c>
      <c r="P626" t="s">
        <v>2494</v>
      </c>
      <c r="Q626">
        <v>2016</v>
      </c>
      <c r="R626">
        <v>2015</v>
      </c>
      <c r="S626" s="1"/>
      <c r="T626" s="1">
        <v>43832</v>
      </c>
      <c r="U626" t="s">
        <v>16</v>
      </c>
    </row>
    <row r="627" spans="1:21" x14ac:dyDescent="0.25">
      <c r="A627">
        <v>626</v>
      </c>
      <c r="B627">
        <v>23492671</v>
      </c>
      <c r="C627" t="s">
        <v>2790</v>
      </c>
      <c r="D627" t="s">
        <v>1440</v>
      </c>
      <c r="E627" t="s">
        <v>1441</v>
      </c>
      <c r="F627" t="s">
        <v>1442</v>
      </c>
      <c r="H627" t="s">
        <v>3731</v>
      </c>
      <c r="I627" s="5" t="s">
        <v>2917</v>
      </c>
      <c r="J627" t="s">
        <v>2776</v>
      </c>
      <c r="K627" t="s">
        <v>2488</v>
      </c>
      <c r="L627">
        <v>368</v>
      </c>
      <c r="P627" t="s">
        <v>2494</v>
      </c>
      <c r="Q627">
        <v>2015</v>
      </c>
      <c r="R627">
        <v>2014</v>
      </c>
      <c r="S627" s="1"/>
      <c r="T627" s="1">
        <v>43832</v>
      </c>
      <c r="U627" t="s">
        <v>16</v>
      </c>
    </row>
    <row r="628" spans="1:21" x14ac:dyDescent="0.25">
      <c r="A628">
        <v>627</v>
      </c>
      <c r="B628">
        <v>17913699</v>
      </c>
      <c r="C628" t="s">
        <v>1443</v>
      </c>
      <c r="D628" t="s">
        <v>17</v>
      </c>
      <c r="E628" t="s">
        <v>1444</v>
      </c>
      <c r="F628" t="s">
        <v>1445</v>
      </c>
      <c r="H628" t="s">
        <v>3732</v>
      </c>
      <c r="I628" s="5" t="s">
        <v>2901</v>
      </c>
      <c r="J628" t="s">
        <v>1668</v>
      </c>
      <c r="K628" t="s">
        <v>2488</v>
      </c>
      <c r="L628">
        <v>288</v>
      </c>
      <c r="P628" t="s">
        <v>2494</v>
      </c>
      <c r="Q628">
        <v>2013</v>
      </c>
      <c r="R628">
        <v>2013</v>
      </c>
      <c r="S628" s="1"/>
      <c r="T628" s="1">
        <v>43832</v>
      </c>
      <c r="U628" t="s">
        <v>16</v>
      </c>
    </row>
    <row r="629" spans="1:21" x14ac:dyDescent="0.25">
      <c r="A629">
        <v>628</v>
      </c>
      <c r="B629">
        <v>26156140</v>
      </c>
      <c r="C629" t="s">
        <v>2791</v>
      </c>
      <c r="D629" t="s">
        <v>17</v>
      </c>
      <c r="E629" t="s">
        <v>70</v>
      </c>
      <c r="F629" t="s">
        <v>71</v>
      </c>
      <c r="H629" t="s">
        <v>3733</v>
      </c>
      <c r="I629" s="5" t="s">
        <v>2890</v>
      </c>
      <c r="J629" t="s">
        <v>1668</v>
      </c>
      <c r="K629" t="s">
        <v>2488</v>
      </c>
      <c r="L629">
        <v>312</v>
      </c>
      <c r="P629" t="s">
        <v>2494</v>
      </c>
      <c r="Q629">
        <v>2016</v>
      </c>
      <c r="R629">
        <v>2015</v>
      </c>
      <c r="S629" s="1"/>
      <c r="T629" s="1">
        <v>43832</v>
      </c>
      <c r="U629" t="s">
        <v>16</v>
      </c>
    </row>
    <row r="630" spans="1:21" x14ac:dyDescent="0.25">
      <c r="A630">
        <v>629</v>
      </c>
      <c r="B630">
        <v>33567307</v>
      </c>
      <c r="C630" t="s">
        <v>1446</v>
      </c>
      <c r="D630" t="s">
        <v>17</v>
      </c>
      <c r="E630" t="s">
        <v>1447</v>
      </c>
      <c r="F630" t="s">
        <v>1448</v>
      </c>
      <c r="H630" t="s">
        <v>3734</v>
      </c>
      <c r="I630" s="5" t="s">
        <v>2890</v>
      </c>
      <c r="J630" t="s">
        <v>1668</v>
      </c>
      <c r="K630" t="s">
        <v>2488</v>
      </c>
      <c r="L630">
        <v>384</v>
      </c>
      <c r="P630" t="s">
        <v>2494</v>
      </c>
      <c r="Q630">
        <v>2017</v>
      </c>
      <c r="R630">
        <v>2017</v>
      </c>
      <c r="S630" s="1"/>
      <c r="T630" s="1">
        <v>43832</v>
      </c>
      <c r="U630" t="s">
        <v>16</v>
      </c>
    </row>
    <row r="631" spans="1:21" x14ac:dyDescent="0.25">
      <c r="A631">
        <v>630</v>
      </c>
      <c r="B631">
        <v>26123982</v>
      </c>
      <c r="C631" t="s">
        <v>1449</v>
      </c>
      <c r="D631" t="s">
        <v>17</v>
      </c>
      <c r="E631" t="s">
        <v>1447</v>
      </c>
      <c r="F631" t="s">
        <v>1448</v>
      </c>
      <c r="H631" t="s">
        <v>3735</v>
      </c>
      <c r="I631" s="5" t="s">
        <v>2901</v>
      </c>
      <c r="J631" t="s">
        <v>1668</v>
      </c>
      <c r="K631" t="s">
        <v>2488</v>
      </c>
      <c r="L631">
        <v>295</v>
      </c>
      <c r="P631" t="s">
        <v>2494</v>
      </c>
      <c r="Q631">
        <v>2015</v>
      </c>
      <c r="R631">
        <v>2015</v>
      </c>
      <c r="S631" s="1"/>
      <c r="T631" s="1">
        <v>43832</v>
      </c>
      <c r="U631" t="s">
        <v>16</v>
      </c>
    </row>
    <row r="632" spans="1:21" x14ac:dyDescent="0.25">
      <c r="A632">
        <v>631</v>
      </c>
      <c r="B632">
        <v>22237225</v>
      </c>
      <c r="C632" t="s">
        <v>2792</v>
      </c>
      <c r="D632" t="s">
        <v>17</v>
      </c>
      <c r="E632" t="s">
        <v>1450</v>
      </c>
      <c r="F632" t="s">
        <v>1451</v>
      </c>
      <c r="H632" t="s">
        <v>3736</v>
      </c>
      <c r="I632" s="5" t="s">
        <v>2917</v>
      </c>
      <c r="J632" t="s">
        <v>1668</v>
      </c>
      <c r="K632" t="s">
        <v>57</v>
      </c>
      <c r="L632">
        <v>258</v>
      </c>
      <c r="P632" t="s">
        <v>2494</v>
      </c>
      <c r="Q632">
        <v>2015</v>
      </c>
      <c r="R632">
        <v>2015</v>
      </c>
      <c r="S632" s="1"/>
      <c r="T632" s="1">
        <v>43832</v>
      </c>
      <c r="U632" t="s">
        <v>16</v>
      </c>
    </row>
    <row r="633" spans="1:21" x14ac:dyDescent="0.25">
      <c r="A633">
        <v>632</v>
      </c>
      <c r="B633">
        <v>22554261</v>
      </c>
      <c r="C633" t="s">
        <v>3737</v>
      </c>
      <c r="D633" t="s">
        <v>1453</v>
      </c>
      <c r="E633" t="s">
        <v>184</v>
      </c>
      <c r="F633" t="s">
        <v>185</v>
      </c>
      <c r="H633" t="s">
        <v>3738</v>
      </c>
      <c r="I633" s="5" t="s">
        <v>2933</v>
      </c>
      <c r="J633" t="s">
        <v>1668</v>
      </c>
      <c r="K633" t="s">
        <v>57</v>
      </c>
      <c r="L633">
        <v>603</v>
      </c>
      <c r="P633" t="s">
        <v>2486</v>
      </c>
      <c r="Q633">
        <v>2014</v>
      </c>
      <c r="R633">
        <v>2014</v>
      </c>
      <c r="S633" s="1"/>
      <c r="T633" s="1">
        <v>43832</v>
      </c>
      <c r="U633" t="s">
        <v>16</v>
      </c>
    </row>
    <row r="634" spans="1:21" x14ac:dyDescent="0.25">
      <c r="A634">
        <v>633</v>
      </c>
      <c r="B634">
        <v>27300577</v>
      </c>
      <c r="C634" t="s">
        <v>2793</v>
      </c>
      <c r="D634" t="s">
        <v>17</v>
      </c>
      <c r="E634" t="s">
        <v>250</v>
      </c>
      <c r="F634" t="s">
        <v>251</v>
      </c>
      <c r="H634" t="s">
        <v>3739</v>
      </c>
      <c r="I634" s="5" t="s">
        <v>2901</v>
      </c>
      <c r="J634" t="s">
        <v>1668</v>
      </c>
      <c r="K634" t="s">
        <v>2488</v>
      </c>
      <c r="L634">
        <v>626</v>
      </c>
      <c r="P634" t="s">
        <v>2494</v>
      </c>
      <c r="Q634">
        <v>2015</v>
      </c>
      <c r="R634">
        <v>2013</v>
      </c>
      <c r="S634" s="1"/>
      <c r="T634" s="1">
        <v>43832</v>
      </c>
      <c r="U634" t="s">
        <v>16</v>
      </c>
    </row>
    <row r="635" spans="1:21" x14ac:dyDescent="0.25">
      <c r="A635">
        <v>634</v>
      </c>
      <c r="B635">
        <v>7864437</v>
      </c>
      <c r="C635" t="s">
        <v>2794</v>
      </c>
      <c r="D635" t="s">
        <v>1454</v>
      </c>
      <c r="E635" t="s">
        <v>1455</v>
      </c>
      <c r="F635" t="s">
        <v>1456</v>
      </c>
      <c r="H635" t="s">
        <v>3740</v>
      </c>
      <c r="I635" s="5" t="s">
        <v>2901</v>
      </c>
      <c r="J635" t="s">
        <v>2047</v>
      </c>
      <c r="K635" t="s">
        <v>57</v>
      </c>
      <c r="L635">
        <v>325</v>
      </c>
      <c r="P635" t="s">
        <v>2486</v>
      </c>
      <c r="Q635">
        <v>2011</v>
      </c>
      <c r="R635">
        <v>2011</v>
      </c>
      <c r="S635" s="1"/>
      <c r="T635" s="1">
        <v>43832</v>
      </c>
      <c r="U635" t="s">
        <v>16</v>
      </c>
    </row>
    <row r="636" spans="1:21" x14ac:dyDescent="0.25">
      <c r="A636">
        <v>635</v>
      </c>
      <c r="B636">
        <v>7631105</v>
      </c>
      <c r="C636" t="s">
        <v>2795</v>
      </c>
      <c r="D636" t="s">
        <v>1457</v>
      </c>
      <c r="E636" t="s">
        <v>1455</v>
      </c>
      <c r="F636" t="s">
        <v>1456</v>
      </c>
      <c r="H636" t="s">
        <v>3741</v>
      </c>
      <c r="I636" s="5" t="s">
        <v>2901</v>
      </c>
      <c r="J636" t="s">
        <v>2047</v>
      </c>
      <c r="K636" t="s">
        <v>57</v>
      </c>
      <c r="L636">
        <v>362</v>
      </c>
      <c r="P636" t="s">
        <v>2486</v>
      </c>
      <c r="Q636">
        <v>2010</v>
      </c>
      <c r="R636">
        <v>2010</v>
      </c>
      <c r="S636" s="1"/>
      <c r="T636" s="1">
        <v>43832</v>
      </c>
      <c r="U636" t="s">
        <v>16</v>
      </c>
    </row>
    <row r="637" spans="1:21" x14ac:dyDescent="0.25">
      <c r="A637">
        <v>636</v>
      </c>
      <c r="B637">
        <v>18361982</v>
      </c>
      <c r="C637" t="s">
        <v>3742</v>
      </c>
      <c r="D637" t="s">
        <v>1459</v>
      </c>
      <c r="E637" t="s">
        <v>1460</v>
      </c>
      <c r="F637" t="s">
        <v>1461</v>
      </c>
      <c r="H637" t="s">
        <v>3743</v>
      </c>
      <c r="I637" s="5" t="s">
        <v>2890</v>
      </c>
      <c r="J637" t="s">
        <v>2107</v>
      </c>
      <c r="K637" t="s">
        <v>57</v>
      </c>
      <c r="L637">
        <v>369</v>
      </c>
      <c r="P637" t="s">
        <v>2603</v>
      </c>
      <c r="Q637">
        <v>2013</v>
      </c>
      <c r="R637">
        <v>2013</v>
      </c>
      <c r="S637" s="1"/>
      <c r="T637" s="1">
        <v>43832</v>
      </c>
      <c r="U637" t="s">
        <v>16</v>
      </c>
    </row>
    <row r="638" spans="1:21" x14ac:dyDescent="0.25">
      <c r="A638">
        <v>637</v>
      </c>
      <c r="B638">
        <v>17855756</v>
      </c>
      <c r="C638" t="s">
        <v>2797</v>
      </c>
      <c r="D638" t="s">
        <v>1462</v>
      </c>
      <c r="E638" t="s">
        <v>94</v>
      </c>
      <c r="F638" t="s">
        <v>95</v>
      </c>
      <c r="H638" t="s">
        <v>3744</v>
      </c>
      <c r="I638" s="5" t="s">
        <v>2933</v>
      </c>
      <c r="J638" t="s">
        <v>2208</v>
      </c>
      <c r="K638" t="s">
        <v>57</v>
      </c>
      <c r="L638">
        <v>458</v>
      </c>
      <c r="P638" t="s">
        <v>2486</v>
      </c>
      <c r="Q638">
        <v>2013</v>
      </c>
      <c r="R638">
        <v>2013</v>
      </c>
      <c r="S638" s="1"/>
      <c r="T638" s="1">
        <v>43832</v>
      </c>
      <c r="U638" t="s">
        <v>16</v>
      </c>
    </row>
    <row r="639" spans="1:21" x14ac:dyDescent="0.25">
      <c r="A639">
        <v>638</v>
      </c>
      <c r="B639">
        <v>17306293</v>
      </c>
      <c r="C639" t="s">
        <v>2798</v>
      </c>
      <c r="D639" t="s">
        <v>1463</v>
      </c>
      <c r="E639" t="s">
        <v>94</v>
      </c>
      <c r="F639" t="s">
        <v>95</v>
      </c>
      <c r="H639" t="s">
        <v>3745</v>
      </c>
      <c r="I639" s="5" t="s">
        <v>2933</v>
      </c>
      <c r="J639" t="s">
        <v>2208</v>
      </c>
      <c r="K639" t="s">
        <v>57</v>
      </c>
      <c r="L639">
        <v>579</v>
      </c>
      <c r="P639" t="s">
        <v>2486</v>
      </c>
      <c r="Q639">
        <v>2013</v>
      </c>
      <c r="R639">
        <v>2013</v>
      </c>
      <c r="S639" s="1"/>
      <c r="T639" s="1">
        <v>43832</v>
      </c>
      <c r="U639" t="s">
        <v>16</v>
      </c>
    </row>
    <row r="640" spans="1:21" x14ac:dyDescent="0.25">
      <c r="A640">
        <v>639</v>
      </c>
      <c r="B640">
        <v>13453029</v>
      </c>
      <c r="C640" t="s">
        <v>2796</v>
      </c>
      <c r="D640" t="s">
        <v>1464</v>
      </c>
      <c r="E640" t="s">
        <v>94</v>
      </c>
      <c r="F640" t="s">
        <v>95</v>
      </c>
      <c r="H640" t="s">
        <v>3746</v>
      </c>
      <c r="I640" s="5" t="s">
        <v>2933</v>
      </c>
      <c r="J640" t="s">
        <v>1770</v>
      </c>
      <c r="K640" t="s">
        <v>2488</v>
      </c>
      <c r="L640">
        <v>509</v>
      </c>
      <c r="P640" t="s">
        <v>2494</v>
      </c>
      <c r="Q640">
        <v>2012</v>
      </c>
      <c r="R640">
        <v>2012</v>
      </c>
      <c r="S640" s="1"/>
      <c r="T640" s="1">
        <v>43832</v>
      </c>
      <c r="U640" t="s">
        <v>16</v>
      </c>
    </row>
    <row r="641" spans="1:21" x14ac:dyDescent="0.25">
      <c r="A641">
        <v>640</v>
      </c>
      <c r="B641">
        <v>9245915</v>
      </c>
      <c r="C641" t="s">
        <v>1465</v>
      </c>
      <c r="D641" t="s">
        <v>17</v>
      </c>
      <c r="E641" t="s">
        <v>1340</v>
      </c>
      <c r="F641" t="s">
        <v>1341</v>
      </c>
      <c r="H641" t="s">
        <v>3747</v>
      </c>
      <c r="I641" s="5" t="s">
        <v>2933</v>
      </c>
      <c r="J641" t="s">
        <v>2235</v>
      </c>
      <c r="K641" t="s">
        <v>2488</v>
      </c>
      <c r="L641">
        <v>280</v>
      </c>
      <c r="P641" t="s">
        <v>2494</v>
      </c>
      <c r="Q641">
        <v>2009</v>
      </c>
      <c r="R641">
        <v>2009</v>
      </c>
      <c r="S641" s="1"/>
      <c r="T641" s="1">
        <v>43832</v>
      </c>
      <c r="U641" t="s">
        <v>16</v>
      </c>
    </row>
    <row r="642" spans="1:21" x14ac:dyDescent="0.25">
      <c r="A642">
        <v>641</v>
      </c>
      <c r="B642">
        <v>21396277</v>
      </c>
      <c r="C642" t="s">
        <v>1466</v>
      </c>
      <c r="D642" t="s">
        <v>2597</v>
      </c>
      <c r="E642" t="s">
        <v>215</v>
      </c>
      <c r="F642" t="s">
        <v>216</v>
      </c>
      <c r="H642" t="s">
        <v>3748</v>
      </c>
      <c r="I642" s="5" t="s">
        <v>2890</v>
      </c>
      <c r="J642" t="s">
        <v>1759</v>
      </c>
      <c r="K642" t="s">
        <v>2488</v>
      </c>
      <c r="L642">
        <v>304</v>
      </c>
      <c r="P642" t="s">
        <v>2494</v>
      </c>
      <c r="Q642">
        <v>2014</v>
      </c>
      <c r="R642">
        <v>2014</v>
      </c>
      <c r="S642" s="1"/>
      <c r="T642" s="1">
        <v>43832</v>
      </c>
      <c r="U642" t="s">
        <v>16</v>
      </c>
    </row>
    <row r="643" spans="1:21" x14ac:dyDescent="0.25">
      <c r="A643">
        <v>642</v>
      </c>
      <c r="B643">
        <v>16131489</v>
      </c>
      <c r="C643" t="s">
        <v>2801</v>
      </c>
      <c r="D643" t="s">
        <v>1467</v>
      </c>
      <c r="E643" t="s">
        <v>1468</v>
      </c>
      <c r="F643" t="s">
        <v>1469</v>
      </c>
      <c r="H643" t="s">
        <v>3749</v>
      </c>
      <c r="I643" s="5" t="s">
        <v>2901</v>
      </c>
      <c r="J643" t="s">
        <v>1723</v>
      </c>
      <c r="K643" t="s">
        <v>57</v>
      </c>
      <c r="L643">
        <v>338</v>
      </c>
      <c r="P643" t="s">
        <v>2486</v>
      </c>
      <c r="Q643">
        <v>2016</v>
      </c>
      <c r="R643">
        <v>2016</v>
      </c>
      <c r="S643" s="1"/>
      <c r="T643" s="1">
        <v>43832</v>
      </c>
      <c r="U643" t="s">
        <v>16</v>
      </c>
    </row>
    <row r="644" spans="1:21" x14ac:dyDescent="0.25">
      <c r="A644">
        <v>643</v>
      </c>
      <c r="B644">
        <v>16131484</v>
      </c>
      <c r="C644" t="s">
        <v>2800</v>
      </c>
      <c r="D644" t="s">
        <v>1470</v>
      </c>
      <c r="E644" t="s">
        <v>1468</v>
      </c>
      <c r="F644" t="s">
        <v>1469</v>
      </c>
      <c r="H644" t="s">
        <v>3750</v>
      </c>
      <c r="I644" s="5" t="s">
        <v>2901</v>
      </c>
      <c r="J644" t="s">
        <v>1723</v>
      </c>
      <c r="K644" t="s">
        <v>57</v>
      </c>
      <c r="L644">
        <v>320</v>
      </c>
      <c r="P644" t="s">
        <v>2486</v>
      </c>
      <c r="Q644">
        <v>2014</v>
      </c>
      <c r="R644">
        <v>2014</v>
      </c>
      <c r="S644" s="1"/>
      <c r="T644" s="1">
        <v>43832</v>
      </c>
      <c r="U644" t="s">
        <v>16</v>
      </c>
    </row>
    <row r="645" spans="1:21" x14ac:dyDescent="0.25">
      <c r="A645">
        <v>644</v>
      </c>
      <c r="B645">
        <v>16101128</v>
      </c>
      <c r="C645" t="s">
        <v>2799</v>
      </c>
      <c r="D645" t="s">
        <v>1471</v>
      </c>
      <c r="E645" t="s">
        <v>1468</v>
      </c>
      <c r="F645" t="s">
        <v>1469</v>
      </c>
      <c r="H645" t="s">
        <v>3751</v>
      </c>
      <c r="I645" s="5" t="s">
        <v>2933</v>
      </c>
      <c r="J645" t="s">
        <v>1723</v>
      </c>
      <c r="K645" t="s">
        <v>57</v>
      </c>
      <c r="L645">
        <v>457</v>
      </c>
      <c r="P645" t="s">
        <v>2486</v>
      </c>
      <c r="Q645">
        <v>2013</v>
      </c>
      <c r="R645">
        <v>2013</v>
      </c>
      <c r="S645" s="1"/>
      <c r="T645" s="1">
        <v>43831</v>
      </c>
      <c r="U645" t="s">
        <v>16</v>
      </c>
    </row>
    <row r="646" spans="1:21" x14ac:dyDescent="0.25">
      <c r="A646">
        <v>645</v>
      </c>
      <c r="B646">
        <v>18888566</v>
      </c>
      <c r="C646" t="s">
        <v>1472</v>
      </c>
      <c r="D646" t="s">
        <v>17</v>
      </c>
      <c r="E646" t="s">
        <v>1473</v>
      </c>
      <c r="F646" t="s">
        <v>1474</v>
      </c>
      <c r="H646" t="s">
        <v>3752</v>
      </c>
      <c r="I646" s="5" t="s">
        <v>2890</v>
      </c>
      <c r="J646" t="s">
        <v>2377</v>
      </c>
      <c r="K646" t="s">
        <v>2488</v>
      </c>
      <c r="L646">
        <v>130</v>
      </c>
      <c r="P646" t="s">
        <v>2494</v>
      </c>
      <c r="Q646">
        <v>2013</v>
      </c>
      <c r="R646">
        <v>2013</v>
      </c>
      <c r="S646" s="1"/>
      <c r="T646" s="1">
        <v>43832</v>
      </c>
      <c r="U646" t="s">
        <v>16</v>
      </c>
    </row>
    <row r="647" spans="1:21" x14ac:dyDescent="0.25">
      <c r="A647">
        <v>646</v>
      </c>
      <c r="B647">
        <v>15729261</v>
      </c>
      <c r="C647" t="s">
        <v>2802</v>
      </c>
      <c r="D647" t="s">
        <v>1475</v>
      </c>
      <c r="E647" t="s">
        <v>1476</v>
      </c>
      <c r="F647" t="s">
        <v>1477</v>
      </c>
      <c r="H647" t="s">
        <v>3753</v>
      </c>
      <c r="I647" s="5" t="s">
        <v>2901</v>
      </c>
      <c r="J647" t="s">
        <v>1668</v>
      </c>
      <c r="K647" t="s">
        <v>2488</v>
      </c>
      <c r="L647">
        <v>328</v>
      </c>
      <c r="P647" t="s">
        <v>2494</v>
      </c>
      <c r="Q647">
        <v>2012</v>
      </c>
      <c r="R647">
        <v>2012</v>
      </c>
      <c r="S647" s="1"/>
      <c r="T647" s="1">
        <v>43832</v>
      </c>
      <c r="U647" t="s">
        <v>16</v>
      </c>
    </row>
    <row r="648" spans="1:21" x14ac:dyDescent="0.25">
      <c r="A648">
        <v>647</v>
      </c>
      <c r="B648">
        <v>13131625</v>
      </c>
      <c r="C648" t="s">
        <v>2803</v>
      </c>
      <c r="D648" t="s">
        <v>17</v>
      </c>
      <c r="E648" t="s">
        <v>1478</v>
      </c>
      <c r="F648" t="s">
        <v>1479</v>
      </c>
      <c r="H648" t="s">
        <v>3754</v>
      </c>
      <c r="I648" s="5" t="s">
        <v>2890</v>
      </c>
      <c r="J648" t="s">
        <v>1668</v>
      </c>
      <c r="K648" t="s">
        <v>2488</v>
      </c>
      <c r="L648">
        <v>336</v>
      </c>
      <c r="P648" t="s">
        <v>2494</v>
      </c>
      <c r="Q648">
        <v>2013</v>
      </c>
      <c r="R648">
        <v>2013</v>
      </c>
      <c r="S648" s="1"/>
      <c r="T648" s="1">
        <v>43832</v>
      </c>
      <c r="U648" t="s">
        <v>16</v>
      </c>
    </row>
    <row r="649" spans="1:21" x14ac:dyDescent="0.25">
      <c r="A649">
        <v>648</v>
      </c>
      <c r="B649">
        <v>30965660</v>
      </c>
      <c r="C649" t="s">
        <v>2804</v>
      </c>
      <c r="D649" t="s">
        <v>1480</v>
      </c>
      <c r="E649" t="s">
        <v>1291</v>
      </c>
      <c r="F649" t="s">
        <v>1292</v>
      </c>
      <c r="H649" t="s">
        <v>3755</v>
      </c>
      <c r="I649" s="5" t="s">
        <v>2901</v>
      </c>
      <c r="J649" t="s">
        <v>1668</v>
      </c>
      <c r="K649" t="s">
        <v>2488</v>
      </c>
      <c r="L649">
        <v>767</v>
      </c>
      <c r="P649" t="s">
        <v>2494</v>
      </c>
      <c r="Q649">
        <v>2017</v>
      </c>
      <c r="R649">
        <v>2016</v>
      </c>
      <c r="S649" s="1"/>
      <c r="T649" s="1">
        <v>43832</v>
      </c>
      <c r="U649" t="s">
        <v>16</v>
      </c>
    </row>
    <row r="650" spans="1:21" x14ac:dyDescent="0.25">
      <c r="A650">
        <v>649</v>
      </c>
      <c r="B650">
        <v>21094993</v>
      </c>
      <c r="C650" t="s">
        <v>2805</v>
      </c>
      <c r="D650" t="s">
        <v>17</v>
      </c>
      <c r="E650" t="s">
        <v>70</v>
      </c>
      <c r="F650" t="s">
        <v>71</v>
      </c>
      <c r="H650" t="s">
        <v>3756</v>
      </c>
      <c r="I650" s="5" t="s">
        <v>2933</v>
      </c>
      <c r="J650" t="s">
        <v>1668</v>
      </c>
      <c r="K650" t="s">
        <v>2488</v>
      </c>
      <c r="L650">
        <v>421</v>
      </c>
      <c r="P650" t="s">
        <v>2494</v>
      </c>
      <c r="Q650">
        <v>2014</v>
      </c>
      <c r="R650">
        <v>2013</v>
      </c>
      <c r="S650" s="1"/>
      <c r="T650" s="1">
        <v>43832</v>
      </c>
      <c r="U650" t="s">
        <v>16</v>
      </c>
    </row>
    <row r="651" spans="1:21" x14ac:dyDescent="0.25">
      <c r="A651">
        <v>650</v>
      </c>
      <c r="B651">
        <v>14165516</v>
      </c>
      <c r="C651" t="s">
        <v>2806</v>
      </c>
      <c r="D651" t="s">
        <v>1481</v>
      </c>
      <c r="E651" t="s">
        <v>1476</v>
      </c>
      <c r="F651" t="s">
        <v>1477</v>
      </c>
      <c r="H651" t="s">
        <v>3757</v>
      </c>
      <c r="I651" s="5" t="s">
        <v>2901</v>
      </c>
      <c r="J651" t="s">
        <v>1668</v>
      </c>
      <c r="K651" t="s">
        <v>2488</v>
      </c>
      <c r="L651">
        <v>328</v>
      </c>
      <c r="P651" t="s">
        <v>2494</v>
      </c>
      <c r="Q651">
        <v>2012</v>
      </c>
      <c r="R651">
        <v>2012</v>
      </c>
      <c r="S651" s="1"/>
      <c r="T651" s="1">
        <v>43832</v>
      </c>
      <c r="U651" t="s">
        <v>16</v>
      </c>
    </row>
    <row r="652" spans="1:21" x14ac:dyDescent="0.25">
      <c r="A652">
        <v>651</v>
      </c>
      <c r="B652">
        <v>15803181</v>
      </c>
      <c r="C652" t="s">
        <v>2807</v>
      </c>
      <c r="D652" t="s">
        <v>17</v>
      </c>
      <c r="E652" t="s">
        <v>1482</v>
      </c>
      <c r="F652" t="s">
        <v>1483</v>
      </c>
      <c r="H652" t="s">
        <v>3758</v>
      </c>
      <c r="I652" s="5" t="s">
        <v>2917</v>
      </c>
      <c r="J652" t="s">
        <v>1668</v>
      </c>
      <c r="K652" t="s">
        <v>2488</v>
      </c>
      <c r="L652">
        <v>256</v>
      </c>
      <c r="P652" t="s">
        <v>2494</v>
      </c>
      <c r="Q652">
        <v>2013</v>
      </c>
      <c r="R652">
        <v>2013</v>
      </c>
      <c r="S652" s="1"/>
      <c r="T652" s="1">
        <v>43832</v>
      </c>
      <c r="U652" t="s">
        <v>16</v>
      </c>
    </row>
    <row r="653" spans="1:21" x14ac:dyDescent="0.25">
      <c r="A653">
        <v>652</v>
      </c>
      <c r="B653">
        <v>18710190</v>
      </c>
      <c r="C653" t="s">
        <v>2808</v>
      </c>
      <c r="D653" t="s">
        <v>1484</v>
      </c>
      <c r="E653" t="s">
        <v>813</v>
      </c>
      <c r="F653" t="s">
        <v>814</v>
      </c>
      <c r="H653" t="s">
        <v>3759</v>
      </c>
      <c r="I653" s="5" t="s">
        <v>2933</v>
      </c>
      <c r="J653" t="s">
        <v>1668</v>
      </c>
      <c r="K653" t="s">
        <v>57</v>
      </c>
      <c r="L653">
        <v>531</v>
      </c>
      <c r="P653" t="s">
        <v>2494</v>
      </c>
      <c r="Q653">
        <v>2013</v>
      </c>
      <c r="R653">
        <v>2013</v>
      </c>
      <c r="S653" s="1"/>
      <c r="T653" s="1">
        <v>43832</v>
      </c>
      <c r="U653" t="s">
        <v>16</v>
      </c>
    </row>
    <row r="654" spans="1:21" x14ac:dyDescent="0.25">
      <c r="A654">
        <v>653</v>
      </c>
      <c r="B654">
        <v>1239618</v>
      </c>
      <c r="C654" t="s">
        <v>1485</v>
      </c>
      <c r="D654" t="s">
        <v>17</v>
      </c>
      <c r="E654" t="s">
        <v>1115</v>
      </c>
      <c r="F654" t="s">
        <v>1116</v>
      </c>
      <c r="H654" t="s">
        <v>3760</v>
      </c>
      <c r="I654" s="5" t="s">
        <v>2901</v>
      </c>
      <c r="J654" t="s">
        <v>2811</v>
      </c>
      <c r="K654" t="s">
        <v>57</v>
      </c>
      <c r="L654">
        <v>310</v>
      </c>
      <c r="P654" t="s">
        <v>2603</v>
      </c>
      <c r="Q654">
        <v>2000</v>
      </c>
      <c r="R654">
        <v>2000</v>
      </c>
      <c r="S654" s="1"/>
      <c r="T654" s="1">
        <v>43832</v>
      </c>
      <c r="U654" t="s">
        <v>16</v>
      </c>
    </row>
    <row r="655" spans="1:21" x14ac:dyDescent="0.25">
      <c r="A655">
        <v>654</v>
      </c>
      <c r="B655">
        <v>23190986</v>
      </c>
      <c r="C655" t="s">
        <v>2812</v>
      </c>
      <c r="D655" t="s">
        <v>1486</v>
      </c>
      <c r="E655" t="s">
        <v>302</v>
      </c>
      <c r="F655" t="s">
        <v>303</v>
      </c>
      <c r="H655" t="s">
        <v>3761</v>
      </c>
      <c r="I655" s="5" t="s">
        <v>2933</v>
      </c>
      <c r="J655" t="s">
        <v>1723</v>
      </c>
      <c r="K655" t="s">
        <v>2488</v>
      </c>
      <c r="L655">
        <v>968</v>
      </c>
      <c r="P655" t="s">
        <v>2494</v>
      </c>
      <c r="Q655">
        <v>2014</v>
      </c>
      <c r="R655">
        <v>2014</v>
      </c>
      <c r="S655" s="1"/>
      <c r="T655" s="1">
        <v>43832</v>
      </c>
      <c r="U655" t="s">
        <v>16</v>
      </c>
    </row>
    <row r="656" spans="1:21" x14ac:dyDescent="0.25">
      <c r="A656">
        <v>655</v>
      </c>
      <c r="B656">
        <v>12959233</v>
      </c>
      <c r="C656" t="s">
        <v>2813</v>
      </c>
      <c r="D656" t="s">
        <v>1487</v>
      </c>
      <c r="E656" t="s">
        <v>302</v>
      </c>
      <c r="F656" t="s">
        <v>303</v>
      </c>
      <c r="H656" t="s">
        <v>3762</v>
      </c>
      <c r="I656" s="5" t="s">
        <v>2933</v>
      </c>
      <c r="J656" t="s">
        <v>1723</v>
      </c>
      <c r="K656" t="s">
        <v>2488</v>
      </c>
      <c r="L656">
        <v>940</v>
      </c>
      <c r="P656" t="s">
        <v>2494</v>
      </c>
      <c r="Q656">
        <v>2012</v>
      </c>
      <c r="R656">
        <v>2012</v>
      </c>
      <c r="S656" s="1"/>
      <c r="T656" s="1">
        <v>43832</v>
      </c>
      <c r="U656" t="s">
        <v>16</v>
      </c>
    </row>
    <row r="657" spans="1:21" x14ac:dyDescent="0.25">
      <c r="A657">
        <v>656</v>
      </c>
      <c r="B657">
        <v>7315573</v>
      </c>
      <c r="C657" t="s">
        <v>2814</v>
      </c>
      <c r="D657" t="s">
        <v>1488</v>
      </c>
      <c r="E657" t="s">
        <v>302</v>
      </c>
      <c r="F657" t="s">
        <v>303</v>
      </c>
      <c r="H657" t="s">
        <v>3763</v>
      </c>
      <c r="I657" s="5" t="s">
        <v>2933</v>
      </c>
      <c r="J657" t="s">
        <v>1723</v>
      </c>
      <c r="K657" t="s">
        <v>2488</v>
      </c>
      <c r="L657">
        <v>985</v>
      </c>
      <c r="P657" t="s">
        <v>2494</v>
      </c>
      <c r="Q657">
        <v>2010</v>
      </c>
      <c r="R657">
        <v>2005</v>
      </c>
      <c r="S657" s="1"/>
      <c r="T657" s="1">
        <v>43832</v>
      </c>
      <c r="U657" t="s">
        <v>16</v>
      </c>
    </row>
    <row r="658" spans="1:21" x14ac:dyDescent="0.25">
      <c r="A658">
        <v>657</v>
      </c>
      <c r="B658">
        <v>13648243</v>
      </c>
      <c r="C658" t="s">
        <v>3764</v>
      </c>
      <c r="D658" t="s">
        <v>1490</v>
      </c>
      <c r="E658" t="s">
        <v>1491</v>
      </c>
      <c r="F658" t="s">
        <v>1492</v>
      </c>
      <c r="H658" t="s">
        <v>3765</v>
      </c>
      <c r="I658" s="5" t="s">
        <v>2890</v>
      </c>
      <c r="J658" t="s">
        <v>2388</v>
      </c>
      <c r="K658" t="s">
        <v>2488</v>
      </c>
      <c r="L658">
        <v>270</v>
      </c>
      <c r="P658" t="s">
        <v>2494</v>
      </c>
      <c r="Q658">
        <v>2012</v>
      </c>
      <c r="R658">
        <v>2012</v>
      </c>
      <c r="S658" s="1"/>
      <c r="T658" s="1">
        <v>43832</v>
      </c>
      <c r="U658" t="s">
        <v>16</v>
      </c>
    </row>
    <row r="659" spans="1:21" x14ac:dyDescent="0.25">
      <c r="A659">
        <v>658</v>
      </c>
      <c r="B659">
        <v>6202661</v>
      </c>
      <c r="C659" t="s">
        <v>2815</v>
      </c>
      <c r="D659" t="s">
        <v>1493</v>
      </c>
      <c r="E659" t="s">
        <v>1460</v>
      </c>
      <c r="F659" t="s">
        <v>1461</v>
      </c>
      <c r="H659" t="s">
        <v>3766</v>
      </c>
      <c r="I659" s="5" t="s">
        <v>2901</v>
      </c>
      <c r="J659" t="s">
        <v>2816</v>
      </c>
      <c r="K659" t="s">
        <v>2488</v>
      </c>
      <c r="L659">
        <v>307</v>
      </c>
      <c r="P659" t="s">
        <v>2486</v>
      </c>
      <c r="Q659">
        <v>2009</v>
      </c>
      <c r="R659">
        <v>2009</v>
      </c>
      <c r="S659" s="1"/>
      <c r="T659" s="1">
        <v>43832</v>
      </c>
      <c r="U659" t="s">
        <v>16</v>
      </c>
    </row>
    <row r="660" spans="1:21" x14ac:dyDescent="0.25">
      <c r="A660">
        <v>659</v>
      </c>
      <c r="B660">
        <v>13486122</v>
      </c>
      <c r="C660" t="s">
        <v>2817</v>
      </c>
      <c r="D660" t="s">
        <v>1494</v>
      </c>
      <c r="E660" t="s">
        <v>1476</v>
      </c>
      <c r="F660" t="s">
        <v>1477</v>
      </c>
      <c r="H660" t="s">
        <v>3767</v>
      </c>
      <c r="I660" s="5" t="s">
        <v>2901</v>
      </c>
      <c r="J660" t="s">
        <v>1668</v>
      </c>
      <c r="K660" t="s">
        <v>2488</v>
      </c>
      <c r="L660">
        <v>248</v>
      </c>
      <c r="P660" t="s">
        <v>2494</v>
      </c>
      <c r="Q660">
        <v>2012</v>
      </c>
      <c r="R660">
        <v>2010</v>
      </c>
      <c r="S660" s="1"/>
      <c r="T660" s="1">
        <v>43832</v>
      </c>
      <c r="U660" t="s">
        <v>16</v>
      </c>
    </row>
    <row r="661" spans="1:21" x14ac:dyDescent="0.25">
      <c r="A661">
        <v>660</v>
      </c>
      <c r="B661">
        <v>7992964</v>
      </c>
      <c r="C661" t="s">
        <v>1495</v>
      </c>
      <c r="D661" t="s">
        <v>17</v>
      </c>
      <c r="E661" t="s">
        <v>1115</v>
      </c>
      <c r="F661" t="s">
        <v>1116</v>
      </c>
      <c r="H661" t="s">
        <v>3768</v>
      </c>
      <c r="I661" s="5" t="s">
        <v>2933</v>
      </c>
      <c r="J661" t="s">
        <v>2392</v>
      </c>
      <c r="K661" t="s">
        <v>57</v>
      </c>
      <c r="L661">
        <v>387</v>
      </c>
      <c r="P661" t="s">
        <v>2603</v>
      </c>
      <c r="Q661">
        <v>2010</v>
      </c>
      <c r="R661">
        <v>2010</v>
      </c>
      <c r="S661" s="1"/>
      <c r="T661" s="1">
        <v>43832</v>
      </c>
      <c r="U661" t="s">
        <v>16</v>
      </c>
    </row>
    <row r="662" spans="1:21" x14ac:dyDescent="0.25">
      <c r="A662">
        <v>661</v>
      </c>
      <c r="B662">
        <v>16158525</v>
      </c>
      <c r="C662" t="s">
        <v>2818</v>
      </c>
      <c r="D662" t="s">
        <v>17</v>
      </c>
      <c r="E662" t="s">
        <v>1496</v>
      </c>
      <c r="F662" t="s">
        <v>1497</v>
      </c>
      <c r="H662" t="s">
        <v>3769</v>
      </c>
      <c r="I662" s="5" t="s">
        <v>2933</v>
      </c>
      <c r="J662" t="s">
        <v>1668</v>
      </c>
      <c r="K662" t="s">
        <v>2488</v>
      </c>
      <c r="L662">
        <v>303</v>
      </c>
      <c r="P662" t="s">
        <v>2494</v>
      </c>
      <c r="Q662">
        <v>2013</v>
      </c>
      <c r="R662">
        <v>2013</v>
      </c>
      <c r="S662" s="1"/>
      <c r="T662" s="1">
        <v>43832</v>
      </c>
      <c r="U662" t="s">
        <v>16</v>
      </c>
    </row>
    <row r="663" spans="1:21" x14ac:dyDescent="0.25">
      <c r="A663">
        <v>662</v>
      </c>
      <c r="B663">
        <v>36578942</v>
      </c>
      <c r="C663" t="s">
        <v>2819</v>
      </c>
      <c r="D663" t="s">
        <v>1498</v>
      </c>
      <c r="E663" t="s">
        <v>70</v>
      </c>
      <c r="F663" t="s">
        <v>71</v>
      </c>
      <c r="H663" t="s">
        <v>3770</v>
      </c>
      <c r="I663" s="5" t="s">
        <v>2933</v>
      </c>
      <c r="J663" t="s">
        <v>1668</v>
      </c>
      <c r="K663" t="s">
        <v>2488</v>
      </c>
      <c r="L663">
        <v>396</v>
      </c>
      <c r="P663" t="s">
        <v>2494</v>
      </c>
      <c r="Q663">
        <v>2012</v>
      </c>
      <c r="R663">
        <v>2009</v>
      </c>
      <c r="S663" s="1"/>
      <c r="T663" s="1">
        <v>43832</v>
      </c>
      <c r="U663" t="s">
        <v>16</v>
      </c>
    </row>
    <row r="664" spans="1:21" x14ac:dyDescent="0.25">
      <c r="A664">
        <v>663</v>
      </c>
      <c r="B664">
        <v>13057652</v>
      </c>
      <c r="C664" t="s">
        <v>2820</v>
      </c>
      <c r="D664" t="s">
        <v>1499</v>
      </c>
      <c r="E664" t="s">
        <v>184</v>
      </c>
      <c r="F664" t="s">
        <v>185</v>
      </c>
      <c r="H664" t="s">
        <v>3771</v>
      </c>
      <c r="I664" s="5" t="s">
        <v>2890</v>
      </c>
      <c r="J664" t="s">
        <v>1668</v>
      </c>
      <c r="K664" t="s">
        <v>2488</v>
      </c>
      <c r="L664">
        <v>576</v>
      </c>
      <c r="P664" t="s">
        <v>2494</v>
      </c>
      <c r="Q664">
        <v>2013</v>
      </c>
      <c r="R664">
        <v>2011</v>
      </c>
      <c r="S664" s="1"/>
      <c r="T664" s="1">
        <v>43832</v>
      </c>
      <c r="U664" t="s">
        <v>16</v>
      </c>
    </row>
    <row r="665" spans="1:21" x14ac:dyDescent="0.25">
      <c r="A665">
        <v>664</v>
      </c>
      <c r="B665">
        <v>13497818</v>
      </c>
      <c r="C665" t="s">
        <v>2821</v>
      </c>
      <c r="D665" t="s">
        <v>17</v>
      </c>
      <c r="E665" t="s">
        <v>1427</v>
      </c>
      <c r="F665" t="s">
        <v>1428</v>
      </c>
      <c r="H665" t="s">
        <v>3772</v>
      </c>
      <c r="I665" s="5" t="s">
        <v>2917</v>
      </c>
      <c r="J665" t="s">
        <v>2266</v>
      </c>
      <c r="K665" t="s">
        <v>2488</v>
      </c>
      <c r="L665">
        <v>503</v>
      </c>
      <c r="P665" t="s">
        <v>2494</v>
      </c>
      <c r="Q665">
        <v>2013</v>
      </c>
      <c r="R665">
        <v>2012</v>
      </c>
      <c r="S665" s="1"/>
      <c r="T665" s="1">
        <v>43832</v>
      </c>
      <c r="U665" t="s">
        <v>16</v>
      </c>
    </row>
    <row r="666" spans="1:21" x14ac:dyDescent="0.25">
      <c r="A666">
        <v>665</v>
      </c>
      <c r="B666">
        <v>17887732</v>
      </c>
      <c r="C666" t="s">
        <v>1500</v>
      </c>
      <c r="D666" t="s">
        <v>17</v>
      </c>
      <c r="E666" t="s">
        <v>1501</v>
      </c>
      <c r="F666" t="s">
        <v>1502</v>
      </c>
      <c r="H666" t="s">
        <v>3773</v>
      </c>
      <c r="I666" s="5" t="s">
        <v>2917</v>
      </c>
      <c r="J666" t="s">
        <v>1668</v>
      </c>
      <c r="K666" t="s">
        <v>2488</v>
      </c>
      <c r="L666">
        <v>128</v>
      </c>
      <c r="P666" t="s">
        <v>2494</v>
      </c>
      <c r="Q666">
        <v>2013</v>
      </c>
      <c r="R666">
        <v>2013</v>
      </c>
      <c r="S666" s="1"/>
      <c r="T666" s="1">
        <v>43832</v>
      </c>
      <c r="U666" t="s">
        <v>16</v>
      </c>
    </row>
    <row r="667" spans="1:21" x14ac:dyDescent="0.25">
      <c r="A667">
        <v>666</v>
      </c>
      <c r="B667">
        <v>17332049</v>
      </c>
      <c r="C667" t="s">
        <v>1503</v>
      </c>
      <c r="D667" t="s">
        <v>17</v>
      </c>
      <c r="E667" t="s">
        <v>1504</v>
      </c>
      <c r="F667" t="s">
        <v>1505</v>
      </c>
      <c r="H667" t="s">
        <v>3774</v>
      </c>
      <c r="I667" s="5" t="s">
        <v>2890</v>
      </c>
      <c r="J667" t="s">
        <v>2235</v>
      </c>
      <c r="K667" t="s">
        <v>2488</v>
      </c>
      <c r="L667">
        <v>183</v>
      </c>
      <c r="P667" t="s">
        <v>2494</v>
      </c>
      <c r="Q667">
        <v>2013</v>
      </c>
      <c r="R667">
        <v>2013</v>
      </c>
      <c r="S667" s="1"/>
      <c r="T667" s="1">
        <v>43832</v>
      </c>
      <c r="U667" t="s">
        <v>16</v>
      </c>
    </row>
    <row r="668" spans="1:21" x14ac:dyDescent="0.25">
      <c r="A668">
        <v>667</v>
      </c>
      <c r="B668">
        <v>26891429</v>
      </c>
      <c r="C668" t="s">
        <v>2822</v>
      </c>
      <c r="D668" t="s">
        <v>1506</v>
      </c>
      <c r="E668" t="s">
        <v>1507</v>
      </c>
      <c r="F668" t="s">
        <v>1508</v>
      </c>
      <c r="H668" t="s">
        <v>3775</v>
      </c>
      <c r="I668" s="5" t="s">
        <v>2933</v>
      </c>
      <c r="J668" t="s">
        <v>1668</v>
      </c>
      <c r="K668" t="s">
        <v>2488</v>
      </c>
      <c r="L668">
        <v>602</v>
      </c>
      <c r="P668" t="s">
        <v>2494</v>
      </c>
      <c r="Q668">
        <v>2016</v>
      </c>
      <c r="R668">
        <v>2016</v>
      </c>
      <c r="S668" s="1"/>
      <c r="T668" s="1">
        <v>43832</v>
      </c>
      <c r="U668" t="s">
        <v>16</v>
      </c>
    </row>
    <row r="669" spans="1:21" x14ac:dyDescent="0.25">
      <c r="A669">
        <v>668</v>
      </c>
      <c r="B669">
        <v>13281368</v>
      </c>
      <c r="C669" t="s">
        <v>2823</v>
      </c>
      <c r="D669" t="s">
        <v>1509</v>
      </c>
      <c r="E669" t="s">
        <v>1507</v>
      </c>
      <c r="F669" t="s">
        <v>1508</v>
      </c>
      <c r="H669" t="s">
        <v>3776</v>
      </c>
      <c r="I669" s="5" t="s">
        <v>2933</v>
      </c>
      <c r="J669" t="s">
        <v>1668</v>
      </c>
      <c r="K669" t="s">
        <v>2488</v>
      </c>
      <c r="L669">
        <v>592</v>
      </c>
      <c r="P669" t="s">
        <v>2494</v>
      </c>
      <c r="Q669">
        <v>2012</v>
      </c>
      <c r="R669">
        <v>2012</v>
      </c>
      <c r="S669" s="1"/>
      <c r="T669" s="1">
        <v>43832</v>
      </c>
      <c r="U669" t="s">
        <v>16</v>
      </c>
    </row>
    <row r="670" spans="1:21" x14ac:dyDescent="0.25">
      <c r="A670">
        <v>669</v>
      </c>
      <c r="B670">
        <v>12135994</v>
      </c>
      <c r="C670" t="s">
        <v>1510</v>
      </c>
      <c r="D670" t="s">
        <v>17</v>
      </c>
      <c r="E670" t="s">
        <v>1511</v>
      </c>
      <c r="F670" t="s">
        <v>1512</v>
      </c>
      <c r="H670" t="s">
        <v>3777</v>
      </c>
      <c r="I670" s="5" t="s">
        <v>2933</v>
      </c>
      <c r="J670" t="s">
        <v>1703</v>
      </c>
      <c r="K670" t="s">
        <v>2488</v>
      </c>
      <c r="L670">
        <v>260</v>
      </c>
      <c r="P670" t="s">
        <v>2494</v>
      </c>
      <c r="Q670">
        <v>2012</v>
      </c>
      <c r="R670">
        <v>2009</v>
      </c>
      <c r="S670" s="1"/>
      <c r="T670" s="1">
        <v>43832</v>
      </c>
      <c r="U670" t="s">
        <v>16</v>
      </c>
    </row>
    <row r="671" spans="1:21" x14ac:dyDescent="0.25">
      <c r="A671">
        <v>670</v>
      </c>
      <c r="B671">
        <v>5063647</v>
      </c>
      <c r="C671" t="s">
        <v>1513</v>
      </c>
      <c r="D671" t="s">
        <v>17</v>
      </c>
      <c r="E671" t="s">
        <v>1115</v>
      </c>
      <c r="F671" t="s">
        <v>1116</v>
      </c>
      <c r="H671" t="s">
        <v>3778</v>
      </c>
      <c r="I671" s="5" t="s">
        <v>2901</v>
      </c>
      <c r="J671" t="s">
        <v>2402</v>
      </c>
      <c r="K671" t="s">
        <v>57</v>
      </c>
      <c r="L671">
        <v>370</v>
      </c>
      <c r="P671" t="s">
        <v>2603</v>
      </c>
      <c r="Q671">
        <v>2009</v>
      </c>
      <c r="R671">
        <v>2008</v>
      </c>
      <c r="S671" s="1"/>
      <c r="T671" s="1">
        <v>43832</v>
      </c>
      <c r="U671" t="s">
        <v>16</v>
      </c>
    </row>
    <row r="672" spans="1:21" x14ac:dyDescent="0.25">
      <c r="A672">
        <v>671</v>
      </c>
      <c r="B672">
        <v>16046973</v>
      </c>
      <c r="C672" t="s">
        <v>1514</v>
      </c>
      <c r="D672" t="s">
        <v>17</v>
      </c>
      <c r="E672" t="s">
        <v>1515</v>
      </c>
      <c r="F672" t="s">
        <v>1516</v>
      </c>
      <c r="H672" t="s">
        <v>3779</v>
      </c>
      <c r="I672" s="5" t="s">
        <v>2890</v>
      </c>
      <c r="J672" t="s">
        <v>1730</v>
      </c>
      <c r="K672" t="s">
        <v>2488</v>
      </c>
      <c r="L672">
        <v>216</v>
      </c>
      <c r="P672" t="s">
        <v>2494</v>
      </c>
      <c r="Q672">
        <v>2012</v>
      </c>
      <c r="R672">
        <v>2012</v>
      </c>
      <c r="S672" s="1"/>
      <c r="T672" s="1">
        <v>43832</v>
      </c>
      <c r="U672" t="s">
        <v>16</v>
      </c>
    </row>
    <row r="673" spans="1:21" x14ac:dyDescent="0.25">
      <c r="A673">
        <v>672</v>
      </c>
      <c r="B673">
        <v>49628</v>
      </c>
      <c r="C673" t="s">
        <v>2825</v>
      </c>
      <c r="D673" t="s">
        <v>17</v>
      </c>
      <c r="E673" t="s">
        <v>1517</v>
      </c>
      <c r="F673" t="s">
        <v>1518</v>
      </c>
      <c r="H673" t="s">
        <v>3780</v>
      </c>
      <c r="I673" s="5" t="s">
        <v>2901</v>
      </c>
      <c r="J673" t="s">
        <v>2346</v>
      </c>
      <c r="K673" t="s">
        <v>57</v>
      </c>
      <c r="L673">
        <v>509</v>
      </c>
      <c r="P673" t="s">
        <v>2486</v>
      </c>
      <c r="Q673">
        <v>2004</v>
      </c>
      <c r="R673">
        <v>2004</v>
      </c>
      <c r="S673" s="1"/>
      <c r="T673" s="1">
        <v>43832</v>
      </c>
      <c r="U673" t="s">
        <v>16</v>
      </c>
    </row>
    <row r="674" spans="1:21" x14ac:dyDescent="0.25">
      <c r="A674">
        <v>673</v>
      </c>
      <c r="B674">
        <v>905885</v>
      </c>
      <c r="C674" t="s">
        <v>2826</v>
      </c>
      <c r="D674" t="s">
        <v>17</v>
      </c>
      <c r="E674" t="s">
        <v>1115</v>
      </c>
      <c r="F674" t="s">
        <v>1116</v>
      </c>
      <c r="H674" t="s">
        <v>3781</v>
      </c>
      <c r="I674" s="5" t="s">
        <v>2901</v>
      </c>
      <c r="J674" t="s">
        <v>2221</v>
      </c>
      <c r="K674" t="s">
        <v>2488</v>
      </c>
      <c r="L674">
        <v>358</v>
      </c>
      <c r="P674" t="s">
        <v>2494</v>
      </c>
      <c r="Q674">
        <v>2012</v>
      </c>
      <c r="R674">
        <v>2006</v>
      </c>
      <c r="S674" s="1"/>
      <c r="T674" s="1">
        <v>43832</v>
      </c>
      <c r="U674" t="s">
        <v>16</v>
      </c>
    </row>
    <row r="675" spans="1:21" x14ac:dyDescent="0.25">
      <c r="A675">
        <v>674</v>
      </c>
      <c r="B675">
        <v>13536860</v>
      </c>
      <c r="C675" t="s">
        <v>2827</v>
      </c>
      <c r="D675" t="s">
        <v>1519</v>
      </c>
      <c r="E675" t="s">
        <v>1520</v>
      </c>
      <c r="F675" t="s">
        <v>1521</v>
      </c>
      <c r="H675" t="s">
        <v>3782</v>
      </c>
      <c r="I675" s="5" t="s">
        <v>2917</v>
      </c>
      <c r="J675" t="s">
        <v>2198</v>
      </c>
      <c r="K675" t="s">
        <v>57</v>
      </c>
      <c r="L675">
        <v>579</v>
      </c>
      <c r="P675" t="s">
        <v>2486</v>
      </c>
      <c r="Q675">
        <v>2013</v>
      </c>
      <c r="R675">
        <v>2012</v>
      </c>
      <c r="S675" s="1"/>
      <c r="T675" s="1">
        <v>43832</v>
      </c>
      <c r="U675" t="s">
        <v>16</v>
      </c>
    </row>
    <row r="676" spans="1:21" x14ac:dyDescent="0.25">
      <c r="A676">
        <v>675</v>
      </c>
      <c r="B676">
        <v>11857408</v>
      </c>
      <c r="C676" t="s">
        <v>2828</v>
      </c>
      <c r="D676" t="s">
        <v>1522</v>
      </c>
      <c r="E676" t="s">
        <v>1520</v>
      </c>
      <c r="F676" t="s">
        <v>1521</v>
      </c>
      <c r="H676" t="s">
        <v>3783</v>
      </c>
      <c r="I676" s="5" t="s">
        <v>2917</v>
      </c>
      <c r="J676" t="s">
        <v>2198</v>
      </c>
      <c r="K676" t="s">
        <v>57</v>
      </c>
      <c r="L676">
        <v>532</v>
      </c>
      <c r="P676" t="s">
        <v>2486</v>
      </c>
      <c r="Q676">
        <v>2013</v>
      </c>
      <c r="R676">
        <v>2011</v>
      </c>
      <c r="S676" s="1"/>
      <c r="T676" s="1">
        <v>43832</v>
      </c>
      <c r="U676" t="s">
        <v>16</v>
      </c>
    </row>
    <row r="677" spans="1:21" x14ac:dyDescent="0.25">
      <c r="A677">
        <v>676</v>
      </c>
      <c r="B677">
        <v>12476820</v>
      </c>
      <c r="C677" t="s">
        <v>2830</v>
      </c>
      <c r="D677" t="s">
        <v>1523</v>
      </c>
      <c r="E677" t="s">
        <v>1088</v>
      </c>
      <c r="F677" t="s">
        <v>1089</v>
      </c>
      <c r="H677" t="s">
        <v>3784</v>
      </c>
      <c r="I677" s="5" t="s">
        <v>2901</v>
      </c>
      <c r="J677" t="s">
        <v>1668</v>
      </c>
      <c r="K677" t="s">
        <v>2488</v>
      </c>
      <c r="L677">
        <v>468</v>
      </c>
      <c r="P677" t="s">
        <v>2494</v>
      </c>
      <c r="Q677">
        <v>2012</v>
      </c>
      <c r="R677">
        <v>2012</v>
      </c>
      <c r="S677" s="1"/>
      <c r="T677" s="1">
        <v>43832</v>
      </c>
      <c r="U677" t="s">
        <v>16</v>
      </c>
    </row>
    <row r="678" spans="1:21" x14ac:dyDescent="0.25">
      <c r="A678">
        <v>677</v>
      </c>
      <c r="B678">
        <v>8492825</v>
      </c>
      <c r="C678" t="s">
        <v>3785</v>
      </c>
      <c r="D678" t="s">
        <v>1525</v>
      </c>
      <c r="E678" t="s">
        <v>1526</v>
      </c>
      <c r="F678" t="s">
        <v>1527</v>
      </c>
      <c r="H678" t="s">
        <v>3786</v>
      </c>
      <c r="I678" s="5" t="s">
        <v>2901</v>
      </c>
      <c r="J678" t="s">
        <v>2410</v>
      </c>
      <c r="K678" t="s">
        <v>57</v>
      </c>
      <c r="L678">
        <v>264</v>
      </c>
      <c r="P678" t="s">
        <v>2603</v>
      </c>
      <c r="Q678">
        <v>2011</v>
      </c>
      <c r="R678">
        <v>2011</v>
      </c>
      <c r="S678" s="1"/>
      <c r="T678" s="1">
        <v>43832</v>
      </c>
      <c r="U678" t="s">
        <v>16</v>
      </c>
    </row>
    <row r="679" spans="1:21" x14ac:dyDescent="0.25">
      <c r="A679">
        <v>678</v>
      </c>
      <c r="B679">
        <v>4374400</v>
      </c>
      <c r="C679" t="s">
        <v>3787</v>
      </c>
      <c r="D679" t="s">
        <v>1529</v>
      </c>
      <c r="E679" t="s">
        <v>1526</v>
      </c>
      <c r="F679" t="s">
        <v>1527</v>
      </c>
      <c r="H679" t="s">
        <v>3788</v>
      </c>
      <c r="I679" s="5" t="s">
        <v>2901</v>
      </c>
      <c r="J679" t="s">
        <v>2386</v>
      </c>
      <c r="K679" t="s">
        <v>57</v>
      </c>
      <c r="L679">
        <v>208</v>
      </c>
      <c r="P679" t="s">
        <v>2603</v>
      </c>
      <c r="Q679">
        <v>2009</v>
      </c>
      <c r="R679">
        <v>2009</v>
      </c>
      <c r="S679" s="1"/>
      <c r="T679" s="1">
        <v>43832</v>
      </c>
      <c r="U679" t="s">
        <v>16</v>
      </c>
    </row>
    <row r="680" spans="1:21" x14ac:dyDescent="0.25">
      <c r="A680">
        <v>679</v>
      </c>
      <c r="B680">
        <v>15743897</v>
      </c>
      <c r="C680" t="s">
        <v>1530</v>
      </c>
      <c r="D680" t="s">
        <v>17</v>
      </c>
      <c r="E680" t="s">
        <v>1531</v>
      </c>
      <c r="F680" t="s">
        <v>1532</v>
      </c>
      <c r="H680" t="s">
        <v>3789</v>
      </c>
      <c r="I680" s="5" t="s">
        <v>2901</v>
      </c>
      <c r="J680" t="s">
        <v>2235</v>
      </c>
      <c r="K680" t="s">
        <v>2488</v>
      </c>
      <c r="L680">
        <v>270</v>
      </c>
      <c r="P680" t="s">
        <v>2494</v>
      </c>
      <c r="Q680">
        <v>2012</v>
      </c>
      <c r="R680">
        <v>2012</v>
      </c>
      <c r="S680" s="1"/>
      <c r="T680" s="1">
        <v>43832</v>
      </c>
      <c r="U680" t="s">
        <v>16</v>
      </c>
    </row>
    <row r="681" spans="1:21" x14ac:dyDescent="0.25">
      <c r="A681">
        <v>680</v>
      </c>
      <c r="B681">
        <v>11533149</v>
      </c>
      <c r="C681" t="s">
        <v>2831</v>
      </c>
      <c r="D681" t="s">
        <v>1533</v>
      </c>
      <c r="E681" t="s">
        <v>1534</v>
      </c>
      <c r="F681" t="s">
        <v>1535</v>
      </c>
      <c r="H681" t="s">
        <v>3790</v>
      </c>
      <c r="I681" s="5" t="s">
        <v>2890</v>
      </c>
      <c r="J681" t="s">
        <v>1668</v>
      </c>
      <c r="K681" t="s">
        <v>2488</v>
      </c>
      <c r="L681">
        <v>352</v>
      </c>
      <c r="P681" t="s">
        <v>2494</v>
      </c>
      <c r="Q681">
        <v>2011</v>
      </c>
      <c r="R681">
        <v>2012</v>
      </c>
      <c r="S681" s="1"/>
      <c r="T681" s="1">
        <v>43832</v>
      </c>
      <c r="U681" t="s">
        <v>16</v>
      </c>
    </row>
    <row r="682" spans="1:21" x14ac:dyDescent="0.25">
      <c r="A682">
        <v>681</v>
      </c>
      <c r="B682">
        <v>15997975</v>
      </c>
      <c r="C682" t="s">
        <v>2834</v>
      </c>
      <c r="D682" t="s">
        <v>1536</v>
      </c>
      <c r="E682" t="s">
        <v>1537</v>
      </c>
      <c r="F682" t="s">
        <v>1538</v>
      </c>
      <c r="H682" t="s">
        <v>3791</v>
      </c>
      <c r="I682" s="5" t="s">
        <v>2917</v>
      </c>
      <c r="J682" t="s">
        <v>1668</v>
      </c>
      <c r="K682" t="s">
        <v>57</v>
      </c>
      <c r="L682">
        <v>512</v>
      </c>
      <c r="P682" t="s">
        <v>2486</v>
      </c>
      <c r="Q682">
        <v>2013</v>
      </c>
      <c r="R682">
        <v>2013</v>
      </c>
      <c r="S682" s="1"/>
      <c r="T682" s="1">
        <v>43832</v>
      </c>
      <c r="U682" t="s">
        <v>16</v>
      </c>
    </row>
    <row r="683" spans="1:21" x14ac:dyDescent="0.25">
      <c r="A683">
        <v>682</v>
      </c>
      <c r="B683">
        <v>7260188</v>
      </c>
      <c r="C683" t="s">
        <v>2837</v>
      </c>
      <c r="D683" t="s">
        <v>1539</v>
      </c>
      <c r="E683" t="s">
        <v>668</v>
      </c>
      <c r="F683" t="s">
        <v>669</v>
      </c>
      <c r="H683" t="s">
        <v>3792</v>
      </c>
      <c r="I683" s="5" t="s">
        <v>2933</v>
      </c>
      <c r="J683" t="s">
        <v>2838</v>
      </c>
      <c r="K683" t="s">
        <v>57</v>
      </c>
      <c r="L683">
        <v>390</v>
      </c>
      <c r="P683" t="s">
        <v>2486</v>
      </c>
      <c r="Q683">
        <v>2010</v>
      </c>
      <c r="R683">
        <v>2010</v>
      </c>
      <c r="S683" s="1"/>
      <c r="T683" s="1">
        <v>43831</v>
      </c>
      <c r="U683" t="s">
        <v>16</v>
      </c>
    </row>
    <row r="684" spans="1:21" x14ac:dyDescent="0.25">
      <c r="A684">
        <v>683</v>
      </c>
      <c r="B684">
        <v>6148028</v>
      </c>
      <c r="C684" t="s">
        <v>2839</v>
      </c>
      <c r="D684" t="s">
        <v>1540</v>
      </c>
      <c r="E684" t="s">
        <v>668</v>
      </c>
      <c r="F684" t="s">
        <v>669</v>
      </c>
      <c r="H684" t="s">
        <v>3793</v>
      </c>
      <c r="I684" s="5" t="s">
        <v>2933</v>
      </c>
      <c r="J684" t="s">
        <v>2838</v>
      </c>
      <c r="K684" t="s">
        <v>57</v>
      </c>
      <c r="L684">
        <v>391</v>
      </c>
      <c r="P684" t="s">
        <v>2486</v>
      </c>
      <c r="Q684">
        <v>2009</v>
      </c>
      <c r="R684">
        <v>2009</v>
      </c>
      <c r="S684" s="1"/>
      <c r="T684" s="1">
        <v>43832</v>
      </c>
      <c r="U684" t="s">
        <v>16</v>
      </c>
    </row>
    <row r="685" spans="1:21" x14ac:dyDescent="0.25">
      <c r="A685">
        <v>684</v>
      </c>
      <c r="B685">
        <v>13496627</v>
      </c>
      <c r="C685" t="s">
        <v>1541</v>
      </c>
      <c r="D685" t="s">
        <v>17</v>
      </c>
      <c r="E685" t="s">
        <v>1542</v>
      </c>
      <c r="F685" t="s">
        <v>1543</v>
      </c>
      <c r="H685" t="s">
        <v>3794</v>
      </c>
      <c r="I685" s="5" t="s">
        <v>2901</v>
      </c>
      <c r="J685" t="s">
        <v>2235</v>
      </c>
      <c r="K685" t="s">
        <v>2488</v>
      </c>
      <c r="L685">
        <v>272</v>
      </c>
      <c r="P685" t="s">
        <v>2494</v>
      </c>
      <c r="Q685">
        <v>2012</v>
      </c>
      <c r="R685">
        <v>2012</v>
      </c>
      <c r="S685" s="1"/>
      <c r="T685" s="1">
        <v>43832</v>
      </c>
      <c r="U685" t="s">
        <v>16</v>
      </c>
    </row>
    <row r="686" spans="1:21" x14ac:dyDescent="0.25">
      <c r="A686">
        <v>685</v>
      </c>
      <c r="B686">
        <v>11735983</v>
      </c>
      <c r="C686" t="s">
        <v>2809</v>
      </c>
      <c r="D686" t="s">
        <v>1544</v>
      </c>
      <c r="E686" t="s">
        <v>813</v>
      </c>
      <c r="F686" t="s">
        <v>814</v>
      </c>
      <c r="H686" t="s">
        <v>3795</v>
      </c>
      <c r="I686" s="5" t="s">
        <v>2933</v>
      </c>
      <c r="J686" t="s">
        <v>1668</v>
      </c>
      <c r="K686" t="s">
        <v>57</v>
      </c>
      <c r="L686">
        <v>525</v>
      </c>
      <c r="P686" t="s">
        <v>2494</v>
      </c>
      <c r="Q686">
        <v>2012</v>
      </c>
      <c r="R686">
        <v>2012</v>
      </c>
      <c r="S686" s="1"/>
      <c r="T686" s="1">
        <v>43832</v>
      </c>
      <c r="U686" t="s">
        <v>16</v>
      </c>
    </row>
    <row r="687" spans="1:21" x14ac:dyDescent="0.25">
      <c r="A687">
        <v>686</v>
      </c>
      <c r="B687">
        <v>7933617</v>
      </c>
      <c r="C687" t="s">
        <v>2841</v>
      </c>
      <c r="D687" t="s">
        <v>1545</v>
      </c>
      <c r="E687" t="s">
        <v>1546</v>
      </c>
      <c r="F687" t="s">
        <v>1547</v>
      </c>
      <c r="H687" t="s">
        <v>3796</v>
      </c>
      <c r="I687" s="5" t="s">
        <v>2917</v>
      </c>
      <c r="J687" t="s">
        <v>1668</v>
      </c>
      <c r="K687" t="s">
        <v>2488</v>
      </c>
      <c r="L687">
        <v>325</v>
      </c>
      <c r="P687" t="s">
        <v>2494</v>
      </c>
      <c r="Q687">
        <v>2011</v>
      </c>
      <c r="R687">
        <v>2011</v>
      </c>
      <c r="S687" s="1"/>
      <c r="T687" s="1">
        <v>43832</v>
      </c>
      <c r="U687" t="s">
        <v>16</v>
      </c>
    </row>
    <row r="688" spans="1:21" x14ac:dyDescent="0.25">
      <c r="A688">
        <v>687</v>
      </c>
      <c r="B688">
        <v>8652190</v>
      </c>
      <c r="C688" t="s">
        <v>2842</v>
      </c>
      <c r="D688" t="s">
        <v>1548</v>
      </c>
      <c r="E688" t="s">
        <v>1546</v>
      </c>
      <c r="F688" t="s">
        <v>1547</v>
      </c>
      <c r="H688" t="s">
        <v>3797</v>
      </c>
      <c r="I688" s="5" t="s">
        <v>2917</v>
      </c>
      <c r="J688" t="s">
        <v>1668</v>
      </c>
      <c r="K688" t="s">
        <v>2488</v>
      </c>
      <c r="L688">
        <v>290</v>
      </c>
      <c r="P688" t="s">
        <v>2494</v>
      </c>
      <c r="Q688">
        <v>2011</v>
      </c>
      <c r="R688">
        <v>2011</v>
      </c>
      <c r="S688" s="1"/>
      <c r="T688" s="1">
        <v>43832</v>
      </c>
      <c r="U688" t="s">
        <v>16</v>
      </c>
    </row>
    <row r="689" spans="1:21" x14ac:dyDescent="0.25">
      <c r="A689">
        <v>688</v>
      </c>
      <c r="B689">
        <v>231604</v>
      </c>
      <c r="C689" t="s">
        <v>2850</v>
      </c>
      <c r="D689" t="s">
        <v>1549</v>
      </c>
      <c r="E689" t="s">
        <v>1550</v>
      </c>
      <c r="F689" t="s">
        <v>1551</v>
      </c>
      <c r="H689" t="s">
        <v>3798</v>
      </c>
      <c r="I689" s="5" t="s">
        <v>2917</v>
      </c>
      <c r="J689" t="s">
        <v>1759</v>
      </c>
      <c r="K689" t="s">
        <v>57</v>
      </c>
      <c r="L689">
        <v>532</v>
      </c>
      <c r="P689" t="s">
        <v>2486</v>
      </c>
      <c r="Q689">
        <v>2013</v>
      </c>
      <c r="R689">
        <v>1997</v>
      </c>
      <c r="S689" s="1"/>
      <c r="T689" s="1">
        <v>43832</v>
      </c>
      <c r="U689" t="s">
        <v>16</v>
      </c>
    </row>
    <row r="690" spans="1:21" x14ac:dyDescent="0.25">
      <c r="A690">
        <v>689</v>
      </c>
      <c r="B690">
        <v>7833003</v>
      </c>
      <c r="C690" t="s">
        <v>2832</v>
      </c>
      <c r="D690" t="s">
        <v>1552</v>
      </c>
      <c r="E690" t="s">
        <v>1534</v>
      </c>
      <c r="F690" t="s">
        <v>1535</v>
      </c>
      <c r="H690" t="s">
        <v>3799</v>
      </c>
      <c r="I690" s="5" t="s">
        <v>2890</v>
      </c>
      <c r="J690" t="s">
        <v>1668</v>
      </c>
      <c r="K690" t="s">
        <v>2488</v>
      </c>
      <c r="L690">
        <v>383</v>
      </c>
      <c r="P690" t="s">
        <v>2494</v>
      </c>
      <c r="Q690">
        <v>2010</v>
      </c>
      <c r="R690">
        <v>2011</v>
      </c>
      <c r="S690" s="1"/>
      <c r="T690" s="1">
        <v>43832</v>
      </c>
      <c r="U690" t="s">
        <v>16</v>
      </c>
    </row>
    <row r="691" spans="1:21" x14ac:dyDescent="0.25">
      <c r="A691">
        <v>690</v>
      </c>
      <c r="B691">
        <v>9294567</v>
      </c>
      <c r="C691" t="s">
        <v>2851</v>
      </c>
      <c r="D691" t="s">
        <v>17</v>
      </c>
      <c r="E691" t="s">
        <v>1553</v>
      </c>
      <c r="F691" t="s">
        <v>1554</v>
      </c>
      <c r="H691" t="s">
        <v>3800</v>
      </c>
      <c r="I691" s="5" t="s">
        <v>2901</v>
      </c>
      <c r="J691" t="s">
        <v>2776</v>
      </c>
      <c r="K691" t="s">
        <v>2488</v>
      </c>
      <c r="L691">
        <v>408</v>
      </c>
      <c r="P691" t="s">
        <v>2494</v>
      </c>
      <c r="Q691">
        <v>2010</v>
      </c>
      <c r="R691">
        <v>2010</v>
      </c>
      <c r="S691" s="1"/>
      <c r="T691" s="1">
        <v>43832</v>
      </c>
      <c r="U691" t="s">
        <v>16</v>
      </c>
    </row>
    <row r="692" spans="1:21" x14ac:dyDescent="0.25">
      <c r="A692">
        <v>691</v>
      </c>
      <c r="B692">
        <v>355697</v>
      </c>
      <c r="C692" t="s">
        <v>2852</v>
      </c>
      <c r="D692" t="s">
        <v>17</v>
      </c>
      <c r="E692" t="s">
        <v>1555</v>
      </c>
      <c r="F692" t="s">
        <v>1556</v>
      </c>
      <c r="H692" t="s">
        <v>3801</v>
      </c>
      <c r="I692" s="5" t="s">
        <v>2901</v>
      </c>
      <c r="J692" t="s">
        <v>2217</v>
      </c>
      <c r="K692" t="s">
        <v>2488</v>
      </c>
      <c r="L692">
        <v>296</v>
      </c>
      <c r="P692" t="s">
        <v>2494</v>
      </c>
      <c r="Q692">
        <v>1987</v>
      </c>
      <c r="R692">
        <v>1928</v>
      </c>
      <c r="S692" s="1"/>
      <c r="T692" s="1">
        <v>43832</v>
      </c>
      <c r="U692" t="s">
        <v>16</v>
      </c>
    </row>
    <row r="693" spans="1:21" x14ac:dyDescent="0.25">
      <c r="A693">
        <v>692</v>
      </c>
      <c r="B693">
        <v>7664041</v>
      </c>
      <c r="C693" t="s">
        <v>3802</v>
      </c>
      <c r="D693" t="s">
        <v>1558</v>
      </c>
      <c r="E693" t="s">
        <v>269</v>
      </c>
      <c r="F693" t="s">
        <v>270</v>
      </c>
      <c r="H693" t="s">
        <v>3803</v>
      </c>
      <c r="I693" s="5" t="s">
        <v>2901</v>
      </c>
      <c r="J693" t="s">
        <v>1762</v>
      </c>
      <c r="K693" t="s">
        <v>2488</v>
      </c>
      <c r="L693">
        <v>849</v>
      </c>
      <c r="P693" t="s">
        <v>2494</v>
      </c>
      <c r="Q693">
        <v>2011</v>
      </c>
      <c r="R693">
        <v>2011</v>
      </c>
      <c r="S693" s="1"/>
      <c r="T693" s="1">
        <v>43832</v>
      </c>
      <c r="U693" t="s">
        <v>16</v>
      </c>
    </row>
    <row r="694" spans="1:21" x14ac:dyDescent="0.25">
      <c r="A694">
        <v>693</v>
      </c>
      <c r="B694">
        <v>6667916</v>
      </c>
      <c r="C694" t="s">
        <v>3804</v>
      </c>
      <c r="D694" t="s">
        <v>1560</v>
      </c>
      <c r="E694" t="s">
        <v>250</v>
      </c>
      <c r="F694" t="s">
        <v>251</v>
      </c>
      <c r="H694" t="s">
        <v>3805</v>
      </c>
      <c r="I694" s="5" t="s">
        <v>2901</v>
      </c>
      <c r="J694" t="s">
        <v>1668</v>
      </c>
      <c r="K694" t="s">
        <v>2488</v>
      </c>
      <c r="L694">
        <v>526</v>
      </c>
      <c r="P694" t="s">
        <v>2494</v>
      </c>
      <c r="Q694">
        <v>2009</v>
      </c>
      <c r="R694">
        <v>2009</v>
      </c>
      <c r="S694" s="1"/>
      <c r="T694" s="1">
        <v>43832</v>
      </c>
      <c r="U694" t="s">
        <v>16</v>
      </c>
    </row>
    <row r="695" spans="1:21" x14ac:dyDescent="0.25">
      <c r="A695">
        <v>694</v>
      </c>
      <c r="B695">
        <v>8659601</v>
      </c>
      <c r="C695" t="s">
        <v>2853</v>
      </c>
      <c r="D695" t="s">
        <v>1561</v>
      </c>
      <c r="E695" t="s">
        <v>1562</v>
      </c>
      <c r="F695" t="s">
        <v>1563</v>
      </c>
      <c r="H695" t="s">
        <v>3806</v>
      </c>
      <c r="I695" s="5" t="s">
        <v>2901</v>
      </c>
      <c r="J695" t="s">
        <v>1668</v>
      </c>
      <c r="K695" t="s">
        <v>2488</v>
      </c>
      <c r="L695">
        <v>406</v>
      </c>
      <c r="P695" t="s">
        <v>2494</v>
      </c>
      <c r="Q695">
        <v>2011</v>
      </c>
      <c r="R695">
        <v>2011</v>
      </c>
      <c r="S695" s="1"/>
      <c r="T695" s="1">
        <v>43832</v>
      </c>
      <c r="U695" t="s">
        <v>16</v>
      </c>
    </row>
    <row r="696" spans="1:21" x14ac:dyDescent="0.25">
      <c r="A696">
        <v>695</v>
      </c>
      <c r="B696">
        <v>6917952</v>
      </c>
      <c r="C696" t="s">
        <v>2843</v>
      </c>
      <c r="D696" t="s">
        <v>1564</v>
      </c>
      <c r="E696" t="s">
        <v>1546</v>
      </c>
      <c r="F696" t="s">
        <v>1547</v>
      </c>
      <c r="H696" t="s">
        <v>3807</v>
      </c>
      <c r="I696" s="5" t="s">
        <v>2890</v>
      </c>
      <c r="J696" t="s">
        <v>1668</v>
      </c>
      <c r="K696" t="s">
        <v>2488</v>
      </c>
      <c r="L696">
        <v>323</v>
      </c>
      <c r="P696" t="s">
        <v>2494</v>
      </c>
      <c r="Q696">
        <v>2010</v>
      </c>
      <c r="R696">
        <v>2010</v>
      </c>
      <c r="S696" s="1"/>
      <c r="T696" s="1">
        <v>43832</v>
      </c>
      <c r="U696" t="s">
        <v>16</v>
      </c>
    </row>
    <row r="697" spans="1:21" x14ac:dyDescent="0.25">
      <c r="A697">
        <v>696</v>
      </c>
      <c r="B697">
        <v>8737174</v>
      </c>
      <c r="C697" t="s">
        <v>2835</v>
      </c>
      <c r="D697" t="s">
        <v>1565</v>
      </c>
      <c r="E697" t="s">
        <v>1537</v>
      </c>
      <c r="F697" t="s">
        <v>1538</v>
      </c>
      <c r="H697" t="s">
        <v>3808</v>
      </c>
      <c r="I697" s="5" t="s">
        <v>2917</v>
      </c>
      <c r="J697" t="s">
        <v>1668</v>
      </c>
      <c r="K697" t="s">
        <v>57</v>
      </c>
      <c r="L697">
        <v>422</v>
      </c>
      <c r="P697" t="s">
        <v>2486</v>
      </c>
      <c r="Q697">
        <v>2011</v>
      </c>
      <c r="R697">
        <v>2011</v>
      </c>
      <c r="S697" s="1"/>
      <c r="T697" s="1">
        <v>43832</v>
      </c>
      <c r="U697" t="s">
        <v>16</v>
      </c>
    </row>
    <row r="698" spans="1:21" x14ac:dyDescent="0.25">
      <c r="A698">
        <v>697</v>
      </c>
      <c r="B698">
        <v>7747374</v>
      </c>
      <c r="C698" t="s">
        <v>2854</v>
      </c>
      <c r="D698" t="s">
        <v>1566</v>
      </c>
      <c r="E698" t="s">
        <v>1562</v>
      </c>
      <c r="F698" t="s">
        <v>1563</v>
      </c>
      <c r="H698" t="s">
        <v>3809</v>
      </c>
      <c r="I698" s="5" t="s">
        <v>2890</v>
      </c>
      <c r="J698" t="s">
        <v>1668</v>
      </c>
      <c r="K698" t="s">
        <v>2488</v>
      </c>
      <c r="L698">
        <v>440</v>
      </c>
      <c r="P698" t="s">
        <v>2494</v>
      </c>
      <c r="Q698">
        <v>2010</v>
      </c>
      <c r="R698">
        <v>2010</v>
      </c>
      <c r="S698" s="1"/>
      <c r="T698" s="1">
        <v>43832</v>
      </c>
      <c r="U698" t="s">
        <v>16</v>
      </c>
    </row>
    <row r="699" spans="1:21" x14ac:dyDescent="0.25">
      <c r="A699">
        <v>698</v>
      </c>
      <c r="B699">
        <v>425904</v>
      </c>
      <c r="C699" t="s">
        <v>2855</v>
      </c>
      <c r="D699" t="s">
        <v>17</v>
      </c>
      <c r="E699" t="s">
        <v>1567</v>
      </c>
      <c r="F699" t="s">
        <v>1568</v>
      </c>
      <c r="H699" t="s">
        <v>3810</v>
      </c>
      <c r="I699" s="5" t="s">
        <v>2933</v>
      </c>
      <c r="J699" t="s">
        <v>2431</v>
      </c>
      <c r="K699" t="s">
        <v>2488</v>
      </c>
      <c r="L699">
        <v>88</v>
      </c>
      <c r="P699" t="s">
        <v>2494</v>
      </c>
      <c r="Q699">
        <v>2007</v>
      </c>
      <c r="R699">
        <v>1920</v>
      </c>
      <c r="S699" s="1"/>
      <c r="T699" s="1">
        <v>43832</v>
      </c>
      <c r="U699" t="s">
        <v>16</v>
      </c>
    </row>
    <row r="700" spans="1:21" x14ac:dyDescent="0.25">
      <c r="A700">
        <v>699</v>
      </c>
      <c r="B700">
        <v>6690798</v>
      </c>
      <c r="C700" t="s">
        <v>2824</v>
      </c>
      <c r="D700" t="s">
        <v>1569</v>
      </c>
      <c r="E700" t="s">
        <v>1507</v>
      </c>
      <c r="F700" t="s">
        <v>1508</v>
      </c>
      <c r="H700" t="s">
        <v>3811</v>
      </c>
      <c r="I700" s="5" t="s">
        <v>2901</v>
      </c>
      <c r="J700" t="s">
        <v>1668</v>
      </c>
      <c r="K700" t="s">
        <v>2488</v>
      </c>
      <c r="L700">
        <v>784</v>
      </c>
      <c r="P700" t="s">
        <v>2494</v>
      </c>
      <c r="Q700">
        <v>2010</v>
      </c>
      <c r="R700">
        <v>2010</v>
      </c>
      <c r="S700" s="1"/>
      <c r="T700" s="1">
        <v>43832</v>
      </c>
      <c r="U700" t="s">
        <v>16</v>
      </c>
    </row>
    <row r="701" spans="1:21" x14ac:dyDescent="0.25">
      <c r="A701">
        <v>700</v>
      </c>
      <c r="B701">
        <v>13577850</v>
      </c>
      <c r="C701" t="s">
        <v>1570</v>
      </c>
      <c r="D701" t="s">
        <v>17</v>
      </c>
      <c r="E701" t="s">
        <v>1571</v>
      </c>
      <c r="F701" t="s">
        <v>1572</v>
      </c>
      <c r="H701" t="s">
        <v>3812</v>
      </c>
      <c r="I701" s="5" t="s">
        <v>2890</v>
      </c>
      <c r="J701" t="s">
        <v>1668</v>
      </c>
      <c r="K701" t="s">
        <v>2488</v>
      </c>
      <c r="L701">
        <v>240</v>
      </c>
      <c r="P701" t="s">
        <v>2494</v>
      </c>
      <c r="Q701">
        <v>2010</v>
      </c>
      <c r="R701">
        <v>2010</v>
      </c>
      <c r="S701" s="1"/>
      <c r="T701" s="1">
        <v>43832</v>
      </c>
      <c r="U701" t="s">
        <v>16</v>
      </c>
    </row>
    <row r="702" spans="1:21" x14ac:dyDescent="0.25">
      <c r="A702">
        <v>701</v>
      </c>
      <c r="B702">
        <v>157993</v>
      </c>
      <c r="C702" t="s">
        <v>2856</v>
      </c>
      <c r="D702" t="s">
        <v>17</v>
      </c>
      <c r="E702" t="s">
        <v>1573</v>
      </c>
      <c r="F702" t="s">
        <v>1574</v>
      </c>
      <c r="H702" t="s">
        <v>3813</v>
      </c>
      <c r="I702" s="5" t="s">
        <v>2933</v>
      </c>
      <c r="J702" t="s">
        <v>2435</v>
      </c>
      <c r="K702" t="s">
        <v>2488</v>
      </c>
      <c r="L702">
        <v>96</v>
      </c>
      <c r="P702" t="s">
        <v>2494</v>
      </c>
      <c r="Q702">
        <v>2000</v>
      </c>
      <c r="R702">
        <v>1943</v>
      </c>
      <c r="S702" s="1"/>
      <c r="T702" s="1">
        <v>43832</v>
      </c>
      <c r="U702" t="s">
        <v>16</v>
      </c>
    </row>
    <row r="703" spans="1:21" x14ac:dyDescent="0.25">
      <c r="A703">
        <v>702</v>
      </c>
      <c r="B703">
        <v>6507760</v>
      </c>
      <c r="C703" t="s">
        <v>2833</v>
      </c>
      <c r="D703" t="s">
        <v>1575</v>
      </c>
      <c r="E703" t="s">
        <v>1534</v>
      </c>
      <c r="F703" t="s">
        <v>1535</v>
      </c>
      <c r="H703" t="s">
        <v>3814</v>
      </c>
      <c r="I703" s="5" t="s">
        <v>2901</v>
      </c>
      <c r="J703" t="s">
        <v>1668</v>
      </c>
      <c r="K703" t="s">
        <v>2488</v>
      </c>
      <c r="L703">
        <v>406</v>
      </c>
      <c r="P703" t="s">
        <v>2494</v>
      </c>
      <c r="Q703">
        <v>2009</v>
      </c>
      <c r="R703">
        <v>2010</v>
      </c>
      <c r="S703" s="1"/>
      <c r="T703" s="1">
        <v>43832</v>
      </c>
      <c r="U703" t="s">
        <v>16</v>
      </c>
    </row>
    <row r="704" spans="1:21" x14ac:dyDescent="0.25">
      <c r="A704">
        <v>703</v>
      </c>
      <c r="B704">
        <v>1478958</v>
      </c>
      <c r="C704" t="s">
        <v>1576</v>
      </c>
      <c r="D704" t="s">
        <v>1576</v>
      </c>
      <c r="E704" t="s">
        <v>1577</v>
      </c>
      <c r="F704" t="s">
        <v>1578</v>
      </c>
      <c r="H704" t="s">
        <v>3815</v>
      </c>
      <c r="I704" s="5" t="s">
        <v>2890</v>
      </c>
      <c r="J704" t="s">
        <v>2438</v>
      </c>
      <c r="K704" t="s">
        <v>2488</v>
      </c>
      <c r="L704">
        <v>334</v>
      </c>
      <c r="P704" t="s">
        <v>2494</v>
      </c>
      <c r="Q704">
        <v>2006</v>
      </c>
      <c r="R704">
        <v>1855</v>
      </c>
      <c r="S704" s="1"/>
      <c r="T704" s="1">
        <v>43832</v>
      </c>
      <c r="U704" t="s">
        <v>16</v>
      </c>
    </row>
    <row r="705" spans="1:21" x14ac:dyDescent="0.25">
      <c r="A705">
        <v>704</v>
      </c>
      <c r="B705">
        <v>17274667</v>
      </c>
      <c r="C705" t="s">
        <v>3816</v>
      </c>
      <c r="D705" t="s">
        <v>1580</v>
      </c>
      <c r="E705" t="s">
        <v>250</v>
      </c>
      <c r="F705" t="s">
        <v>251</v>
      </c>
      <c r="H705" t="s">
        <v>3817</v>
      </c>
      <c r="I705" s="5" t="s">
        <v>2901</v>
      </c>
      <c r="J705" t="s">
        <v>1668</v>
      </c>
      <c r="K705" t="s">
        <v>2488</v>
      </c>
      <c r="L705">
        <v>458</v>
      </c>
      <c r="P705" t="s">
        <v>2494</v>
      </c>
      <c r="Q705">
        <v>2013</v>
      </c>
      <c r="R705">
        <v>2002</v>
      </c>
      <c r="S705" s="1"/>
      <c r="T705" s="1">
        <v>43832</v>
      </c>
      <c r="U705" t="s">
        <v>16</v>
      </c>
    </row>
    <row r="706" spans="1:21" x14ac:dyDescent="0.25">
      <c r="A706">
        <v>705</v>
      </c>
      <c r="B706">
        <v>7116709</v>
      </c>
      <c r="C706" t="s">
        <v>2836</v>
      </c>
      <c r="D706" t="s">
        <v>1581</v>
      </c>
      <c r="E706" t="s">
        <v>1537</v>
      </c>
      <c r="F706" t="s">
        <v>1538</v>
      </c>
      <c r="H706" t="s">
        <v>3818</v>
      </c>
      <c r="I706" s="5" t="s">
        <v>2917</v>
      </c>
      <c r="J706" t="s">
        <v>1668</v>
      </c>
      <c r="K706" t="s">
        <v>57</v>
      </c>
      <c r="L706">
        <v>436</v>
      </c>
      <c r="P706" t="s">
        <v>2486</v>
      </c>
      <c r="Q706">
        <v>2010</v>
      </c>
      <c r="R706">
        <v>2010</v>
      </c>
      <c r="S706" s="1"/>
      <c r="T706" s="1">
        <v>43832</v>
      </c>
      <c r="U706" t="s">
        <v>16</v>
      </c>
    </row>
    <row r="707" spans="1:21" x14ac:dyDescent="0.25">
      <c r="A707">
        <v>706</v>
      </c>
      <c r="B707">
        <v>6262365</v>
      </c>
      <c r="C707" t="s">
        <v>2844</v>
      </c>
      <c r="D707" t="s">
        <v>1582</v>
      </c>
      <c r="E707" t="s">
        <v>1546</v>
      </c>
      <c r="F707" t="s">
        <v>1547</v>
      </c>
      <c r="H707" t="s">
        <v>3819</v>
      </c>
      <c r="I707" s="5" t="s">
        <v>2890</v>
      </c>
      <c r="J707" t="s">
        <v>1668</v>
      </c>
      <c r="K707" t="s">
        <v>2488</v>
      </c>
      <c r="L707">
        <v>319</v>
      </c>
      <c r="P707" t="s">
        <v>2494</v>
      </c>
      <c r="Q707">
        <v>2009</v>
      </c>
      <c r="R707">
        <v>2009</v>
      </c>
      <c r="S707" s="1"/>
      <c r="T707" s="1">
        <v>43832</v>
      </c>
      <c r="U707" t="s">
        <v>16</v>
      </c>
    </row>
    <row r="708" spans="1:21" x14ac:dyDescent="0.25">
      <c r="A708">
        <v>707</v>
      </c>
      <c r="B708">
        <v>4134071</v>
      </c>
      <c r="C708" t="s">
        <v>2845</v>
      </c>
      <c r="D708" t="s">
        <v>1583</v>
      </c>
      <c r="E708" t="s">
        <v>1546</v>
      </c>
      <c r="F708" t="s">
        <v>1547</v>
      </c>
      <c r="H708" t="s">
        <v>3820</v>
      </c>
      <c r="I708" s="5" t="s">
        <v>2890</v>
      </c>
      <c r="J708" t="s">
        <v>1668</v>
      </c>
      <c r="K708" t="s">
        <v>2488</v>
      </c>
      <c r="L708">
        <v>336</v>
      </c>
      <c r="P708" t="s">
        <v>2494</v>
      </c>
      <c r="Q708">
        <v>2009</v>
      </c>
      <c r="R708">
        <v>2009</v>
      </c>
      <c r="S708" s="1"/>
      <c r="T708" s="1">
        <v>43832</v>
      </c>
      <c r="U708" t="s">
        <v>16</v>
      </c>
    </row>
    <row r="709" spans="1:21" x14ac:dyDescent="0.25">
      <c r="A709">
        <v>708</v>
      </c>
      <c r="B709">
        <v>2866718</v>
      </c>
      <c r="C709" t="s">
        <v>2846</v>
      </c>
      <c r="D709" t="s">
        <v>1584</v>
      </c>
      <c r="E709" t="s">
        <v>1546</v>
      </c>
      <c r="F709" t="s">
        <v>1547</v>
      </c>
      <c r="H709" t="s">
        <v>3821</v>
      </c>
      <c r="I709" s="5" t="s">
        <v>2901</v>
      </c>
      <c r="J709" t="s">
        <v>1668</v>
      </c>
      <c r="K709" t="s">
        <v>2488</v>
      </c>
      <c r="L709">
        <v>338</v>
      </c>
      <c r="P709" t="s">
        <v>2494</v>
      </c>
      <c r="Q709">
        <v>2009</v>
      </c>
      <c r="R709">
        <v>2008</v>
      </c>
      <c r="S709" s="1"/>
      <c r="T709" s="1">
        <v>43832</v>
      </c>
      <c r="U709" t="s">
        <v>16</v>
      </c>
    </row>
    <row r="710" spans="1:21" x14ac:dyDescent="0.25">
      <c r="A710">
        <v>709</v>
      </c>
      <c r="B710">
        <v>1326258</v>
      </c>
      <c r="C710" t="s">
        <v>2847</v>
      </c>
      <c r="D710" t="s">
        <v>1585</v>
      </c>
      <c r="E710" t="s">
        <v>1546</v>
      </c>
      <c r="F710" t="s">
        <v>1547</v>
      </c>
      <c r="H710" t="s">
        <v>3822</v>
      </c>
      <c r="I710" s="5" t="s">
        <v>2901</v>
      </c>
      <c r="J710" t="s">
        <v>1668</v>
      </c>
      <c r="K710" t="s">
        <v>2488</v>
      </c>
      <c r="L710">
        <v>307</v>
      </c>
      <c r="P710" t="s">
        <v>2494</v>
      </c>
      <c r="Q710">
        <v>2008</v>
      </c>
      <c r="R710">
        <v>2008</v>
      </c>
      <c r="S710" s="1"/>
      <c r="T710" s="1">
        <v>43832</v>
      </c>
      <c r="U710" t="s">
        <v>16</v>
      </c>
    </row>
    <row r="711" spans="1:21" x14ac:dyDescent="0.25">
      <c r="A711">
        <v>710</v>
      </c>
      <c r="B711">
        <v>676924</v>
      </c>
      <c r="C711" t="s">
        <v>2848</v>
      </c>
      <c r="D711" t="s">
        <v>1586</v>
      </c>
      <c r="E711" t="s">
        <v>1546</v>
      </c>
      <c r="F711" t="s">
        <v>1547</v>
      </c>
      <c r="H711" t="s">
        <v>3823</v>
      </c>
      <c r="I711" s="5" t="s">
        <v>2890</v>
      </c>
      <c r="J711" t="s">
        <v>1668</v>
      </c>
      <c r="K711" t="s">
        <v>2488</v>
      </c>
      <c r="L711">
        <v>310</v>
      </c>
      <c r="P711" t="s">
        <v>2494</v>
      </c>
      <c r="Q711">
        <v>2007</v>
      </c>
      <c r="R711">
        <v>2007</v>
      </c>
      <c r="S711" s="1"/>
      <c r="T711" s="1">
        <v>43832</v>
      </c>
      <c r="U711" t="s">
        <v>16</v>
      </c>
    </row>
    <row r="712" spans="1:21" x14ac:dyDescent="0.25">
      <c r="A712">
        <v>711</v>
      </c>
      <c r="B712">
        <v>30183</v>
      </c>
      <c r="C712" t="s">
        <v>2849</v>
      </c>
      <c r="D712" t="s">
        <v>1587</v>
      </c>
      <c r="E712" t="s">
        <v>1546</v>
      </c>
      <c r="F712" t="s">
        <v>1547</v>
      </c>
      <c r="H712" t="s">
        <v>3824</v>
      </c>
      <c r="I712" s="5" t="s">
        <v>2917</v>
      </c>
      <c r="J712" t="s">
        <v>1668</v>
      </c>
      <c r="K712" t="s">
        <v>2488</v>
      </c>
      <c r="L712">
        <v>306</v>
      </c>
      <c r="P712" t="s">
        <v>2494</v>
      </c>
      <c r="Q712">
        <v>2007</v>
      </c>
      <c r="R712">
        <v>2007</v>
      </c>
      <c r="S712" s="1"/>
      <c r="T712" s="1">
        <v>43832</v>
      </c>
      <c r="U712" t="s">
        <v>16</v>
      </c>
    </row>
    <row r="713" spans="1:21" x14ac:dyDescent="0.25">
      <c r="A713">
        <v>712</v>
      </c>
      <c r="B713">
        <v>6137154</v>
      </c>
      <c r="C713" t="s">
        <v>2857</v>
      </c>
      <c r="D713" t="s">
        <v>1588</v>
      </c>
      <c r="E713" t="s">
        <v>1589</v>
      </c>
      <c r="F713" t="s">
        <v>1590</v>
      </c>
      <c r="H713" t="s">
        <v>3825</v>
      </c>
      <c r="I713" s="5" t="s">
        <v>2890</v>
      </c>
      <c r="J713" t="s">
        <v>2858</v>
      </c>
      <c r="K713" t="s">
        <v>2488</v>
      </c>
      <c r="L713">
        <v>480</v>
      </c>
      <c r="P713" t="s">
        <v>2494</v>
      </c>
      <c r="Q713">
        <v>2009</v>
      </c>
      <c r="R713">
        <v>2009</v>
      </c>
      <c r="S713" s="1"/>
      <c r="T713" s="1">
        <v>43832</v>
      </c>
      <c r="U713" t="s">
        <v>16</v>
      </c>
    </row>
    <row r="714" spans="1:21" x14ac:dyDescent="0.25">
      <c r="A714">
        <v>713</v>
      </c>
      <c r="B714">
        <v>3236307</v>
      </c>
      <c r="C714" t="s">
        <v>2859</v>
      </c>
      <c r="D714" t="s">
        <v>1591</v>
      </c>
      <c r="E714" t="s">
        <v>1589</v>
      </c>
      <c r="F714" t="s">
        <v>1590</v>
      </c>
      <c r="H714" t="s">
        <v>3826</v>
      </c>
      <c r="I714" s="5" t="s">
        <v>2901</v>
      </c>
      <c r="J714" t="s">
        <v>2858</v>
      </c>
      <c r="K714" t="s">
        <v>2488</v>
      </c>
      <c r="L714">
        <v>471</v>
      </c>
      <c r="P714" t="s">
        <v>2494</v>
      </c>
      <c r="Q714">
        <v>2008</v>
      </c>
      <c r="R714">
        <v>2008</v>
      </c>
      <c r="S714" s="1"/>
      <c r="T714" s="1">
        <v>43832</v>
      </c>
      <c r="U714" t="s">
        <v>16</v>
      </c>
    </row>
    <row r="715" spans="1:21" x14ac:dyDescent="0.25">
      <c r="A715">
        <v>714</v>
      </c>
      <c r="B715">
        <v>1630729</v>
      </c>
      <c r="C715" t="s">
        <v>2860</v>
      </c>
      <c r="D715" t="s">
        <v>1592</v>
      </c>
      <c r="E715" t="s">
        <v>1593</v>
      </c>
      <c r="F715" t="s">
        <v>1594</v>
      </c>
      <c r="H715" t="s">
        <v>3827</v>
      </c>
      <c r="I715" s="5" t="s">
        <v>2890</v>
      </c>
      <c r="J715" t="s">
        <v>1668</v>
      </c>
      <c r="K715" t="s">
        <v>2488</v>
      </c>
      <c r="L715">
        <v>516</v>
      </c>
      <c r="P715" t="s">
        <v>2494</v>
      </c>
      <c r="Q715">
        <v>2009</v>
      </c>
      <c r="R715">
        <v>2009</v>
      </c>
      <c r="S715" s="1"/>
      <c r="T715" s="1">
        <v>43832</v>
      </c>
      <c r="U715" t="s">
        <v>16</v>
      </c>
    </row>
    <row r="716" spans="1:21" x14ac:dyDescent="0.25">
      <c r="A716">
        <v>715</v>
      </c>
      <c r="B716">
        <v>6411961</v>
      </c>
      <c r="C716" t="s">
        <v>2861</v>
      </c>
      <c r="D716" t="s">
        <v>1595</v>
      </c>
      <c r="E716" t="s">
        <v>125</v>
      </c>
      <c r="F716" t="s">
        <v>126</v>
      </c>
      <c r="H716" t="s">
        <v>3828</v>
      </c>
      <c r="I716" s="5" t="s">
        <v>2901</v>
      </c>
      <c r="J716" t="s">
        <v>1668</v>
      </c>
      <c r="K716" t="s">
        <v>2488</v>
      </c>
      <c r="L716">
        <v>509</v>
      </c>
      <c r="P716" t="s">
        <v>2494</v>
      </c>
      <c r="Q716">
        <v>2009</v>
      </c>
      <c r="R716">
        <v>2009</v>
      </c>
      <c r="S716" s="1"/>
      <c r="T716" s="1">
        <v>43832</v>
      </c>
      <c r="U716" t="s">
        <v>16</v>
      </c>
    </row>
    <row r="717" spans="1:21" x14ac:dyDescent="0.25">
      <c r="A717">
        <v>716</v>
      </c>
      <c r="B717">
        <v>45978</v>
      </c>
      <c r="C717" t="s">
        <v>3829</v>
      </c>
      <c r="D717" t="s">
        <v>1597</v>
      </c>
      <c r="E717" t="s">
        <v>269</v>
      </c>
      <c r="F717" t="s">
        <v>270</v>
      </c>
      <c r="H717" t="s">
        <v>3830</v>
      </c>
      <c r="I717" s="5" t="s">
        <v>2901</v>
      </c>
      <c r="J717" t="s">
        <v>1762</v>
      </c>
      <c r="K717" t="s">
        <v>2488</v>
      </c>
      <c r="L717">
        <v>704</v>
      </c>
      <c r="P717" t="s">
        <v>2494</v>
      </c>
      <c r="Q717">
        <v>2007</v>
      </c>
      <c r="R717">
        <v>2005</v>
      </c>
      <c r="S717" s="1"/>
      <c r="T717" s="1">
        <v>43832</v>
      </c>
      <c r="U717" t="s">
        <v>16</v>
      </c>
    </row>
    <row r="718" spans="1:21" x14ac:dyDescent="0.25">
      <c r="A718">
        <v>717</v>
      </c>
      <c r="B718">
        <v>6548409</v>
      </c>
      <c r="C718" t="s">
        <v>2871</v>
      </c>
      <c r="D718" t="s">
        <v>17</v>
      </c>
      <c r="E718" t="s">
        <v>1598</v>
      </c>
      <c r="F718" t="s">
        <v>1599</v>
      </c>
      <c r="H718" t="s">
        <v>3831</v>
      </c>
      <c r="I718" s="5" t="s">
        <v>2901</v>
      </c>
      <c r="J718" t="s">
        <v>2872</v>
      </c>
      <c r="K718" t="s">
        <v>2488</v>
      </c>
      <c r="L718">
        <v>256</v>
      </c>
      <c r="P718" t="s">
        <v>2494</v>
      </c>
      <c r="Q718">
        <v>2009</v>
      </c>
      <c r="R718">
        <v>2005</v>
      </c>
      <c r="S718" s="1"/>
      <c r="T718" s="1">
        <v>43832</v>
      </c>
      <c r="U718" t="s">
        <v>16</v>
      </c>
    </row>
    <row r="719" spans="1:21" x14ac:dyDescent="0.25">
      <c r="A719">
        <v>718</v>
      </c>
      <c r="B719">
        <v>1162543</v>
      </c>
      <c r="C719" t="s">
        <v>2868</v>
      </c>
      <c r="D719" t="s">
        <v>1600</v>
      </c>
      <c r="E719" t="s">
        <v>1601</v>
      </c>
      <c r="F719" t="s">
        <v>1602</v>
      </c>
      <c r="H719" t="s">
        <v>3832</v>
      </c>
      <c r="I719" s="5" t="s">
        <v>2901</v>
      </c>
      <c r="J719" t="s">
        <v>1723</v>
      </c>
      <c r="K719" t="s">
        <v>57</v>
      </c>
      <c r="L719">
        <v>756</v>
      </c>
      <c r="P719" t="s">
        <v>2486</v>
      </c>
      <c r="Q719">
        <v>2008</v>
      </c>
      <c r="R719">
        <v>2008</v>
      </c>
      <c r="S719" s="1"/>
      <c r="T719" s="1">
        <v>43832</v>
      </c>
      <c r="U719" t="s">
        <v>16</v>
      </c>
    </row>
    <row r="720" spans="1:21" x14ac:dyDescent="0.25">
      <c r="A720">
        <v>719</v>
      </c>
      <c r="B720">
        <v>49041</v>
      </c>
      <c r="C720" t="s">
        <v>2870</v>
      </c>
      <c r="D720" t="s">
        <v>2869</v>
      </c>
      <c r="E720" t="s">
        <v>1601</v>
      </c>
      <c r="F720" t="s">
        <v>1602</v>
      </c>
      <c r="H720" t="s">
        <v>3833</v>
      </c>
      <c r="I720" s="5" t="s">
        <v>2901</v>
      </c>
      <c r="J720" t="s">
        <v>1723</v>
      </c>
      <c r="K720" t="s">
        <v>57</v>
      </c>
      <c r="L720">
        <v>563</v>
      </c>
      <c r="P720" t="s">
        <v>2486</v>
      </c>
      <c r="Q720">
        <v>2006</v>
      </c>
      <c r="R720">
        <v>2006</v>
      </c>
      <c r="S720" s="1"/>
      <c r="T720" s="1">
        <v>43832</v>
      </c>
      <c r="U720" t="s">
        <v>16</v>
      </c>
    </row>
    <row r="721" spans="1:21" x14ac:dyDescent="0.25">
      <c r="A721">
        <v>720</v>
      </c>
      <c r="B721">
        <v>12136181</v>
      </c>
      <c r="C721" t="s">
        <v>1604</v>
      </c>
      <c r="D721" t="s">
        <v>17</v>
      </c>
      <c r="E721" t="s">
        <v>1504</v>
      </c>
      <c r="F721" t="s">
        <v>1505</v>
      </c>
      <c r="H721" t="s">
        <v>3834</v>
      </c>
      <c r="I721" s="5" t="s">
        <v>2917</v>
      </c>
      <c r="J721" t="s">
        <v>2235</v>
      </c>
      <c r="K721" t="s">
        <v>2488</v>
      </c>
      <c r="L721">
        <v>142</v>
      </c>
      <c r="P721" t="s">
        <v>2494</v>
      </c>
      <c r="Q721">
        <v>2009</v>
      </c>
      <c r="R721">
        <v>2007</v>
      </c>
      <c r="S721" s="1"/>
      <c r="T721" s="1">
        <v>43832</v>
      </c>
      <c r="U721" t="s">
        <v>16</v>
      </c>
    </row>
    <row r="722" spans="1:21" x14ac:dyDescent="0.25">
      <c r="A722">
        <v>721</v>
      </c>
      <c r="B722">
        <v>40874325</v>
      </c>
      <c r="C722" t="s">
        <v>2873</v>
      </c>
      <c r="D722" t="s">
        <v>17</v>
      </c>
      <c r="E722" t="s">
        <v>1605</v>
      </c>
      <c r="F722" t="s">
        <v>1606</v>
      </c>
      <c r="H722" t="s">
        <v>3835</v>
      </c>
      <c r="I722" s="5" t="s">
        <v>2933</v>
      </c>
      <c r="J722" t="s">
        <v>1723</v>
      </c>
      <c r="K722" t="s">
        <v>2488</v>
      </c>
      <c r="L722">
        <v>294</v>
      </c>
      <c r="P722" t="s">
        <v>2494</v>
      </c>
      <c r="Q722">
        <v>2008</v>
      </c>
      <c r="R722">
        <v>2007</v>
      </c>
      <c r="S722" s="1"/>
      <c r="T722" s="1">
        <v>43832</v>
      </c>
      <c r="U722" t="s">
        <v>16</v>
      </c>
    </row>
    <row r="723" spans="1:21" x14ac:dyDescent="0.25">
      <c r="A723">
        <v>722</v>
      </c>
      <c r="B723">
        <v>13307403</v>
      </c>
      <c r="C723" t="s">
        <v>1607</v>
      </c>
      <c r="D723" t="s">
        <v>17</v>
      </c>
      <c r="E723" t="s">
        <v>1608</v>
      </c>
      <c r="F723" t="s">
        <v>1609</v>
      </c>
      <c r="H723" t="s">
        <v>3836</v>
      </c>
      <c r="I723" s="5" t="s">
        <v>2917</v>
      </c>
      <c r="J723" t="s">
        <v>1730</v>
      </c>
      <c r="K723" t="s">
        <v>2488</v>
      </c>
      <c r="L723">
        <v>318</v>
      </c>
      <c r="P723" t="s">
        <v>2494</v>
      </c>
      <c r="Q723">
        <v>2009</v>
      </c>
      <c r="R723">
        <v>2009</v>
      </c>
      <c r="S723" s="1"/>
      <c r="T723" s="1">
        <v>43832</v>
      </c>
      <c r="U723" t="s">
        <v>16</v>
      </c>
    </row>
    <row r="724" spans="1:21" x14ac:dyDescent="0.25">
      <c r="A724">
        <v>723</v>
      </c>
      <c r="B724">
        <v>12136189</v>
      </c>
      <c r="C724" t="s">
        <v>1610</v>
      </c>
      <c r="D724" t="s">
        <v>17</v>
      </c>
      <c r="E724" t="s">
        <v>1504</v>
      </c>
      <c r="F724" t="s">
        <v>1505</v>
      </c>
      <c r="H724" t="s">
        <v>3837</v>
      </c>
      <c r="I724" s="5" t="s">
        <v>2901</v>
      </c>
      <c r="J724" t="s">
        <v>2235</v>
      </c>
      <c r="K724" t="s">
        <v>2488</v>
      </c>
      <c r="L724">
        <v>240</v>
      </c>
      <c r="P724" t="s">
        <v>2494</v>
      </c>
      <c r="Q724">
        <v>2008</v>
      </c>
      <c r="R724">
        <v>2008</v>
      </c>
      <c r="S724" s="1"/>
      <c r="T724" s="1">
        <v>43832</v>
      </c>
      <c r="U724" t="s">
        <v>16</v>
      </c>
    </row>
    <row r="725" spans="1:21" x14ac:dyDescent="0.25">
      <c r="A725">
        <v>724</v>
      </c>
      <c r="B725">
        <v>52529</v>
      </c>
      <c r="C725" t="s">
        <v>2874</v>
      </c>
      <c r="D725" t="s">
        <v>1611</v>
      </c>
      <c r="E725" t="s">
        <v>1612</v>
      </c>
      <c r="F725" t="s">
        <v>1613</v>
      </c>
      <c r="H725" t="s">
        <v>3838</v>
      </c>
      <c r="I725" s="5" t="s">
        <v>2933</v>
      </c>
      <c r="J725" t="s">
        <v>1668</v>
      </c>
      <c r="K725" t="s">
        <v>2488</v>
      </c>
      <c r="L725">
        <v>199</v>
      </c>
      <c r="P725" t="s">
        <v>2494</v>
      </c>
      <c r="Q725">
        <v>2006</v>
      </c>
      <c r="R725">
        <v>2006</v>
      </c>
      <c r="S725" s="1"/>
      <c r="T725" s="1">
        <v>43832</v>
      </c>
      <c r="U725" t="s">
        <v>16</v>
      </c>
    </row>
    <row r="726" spans="1:21" x14ac:dyDescent="0.25">
      <c r="A726">
        <v>725</v>
      </c>
      <c r="B726">
        <v>2248573</v>
      </c>
      <c r="C726" t="s">
        <v>3839</v>
      </c>
      <c r="D726" t="s">
        <v>1615</v>
      </c>
      <c r="E726" t="s">
        <v>269</v>
      </c>
      <c r="F726" t="s">
        <v>270</v>
      </c>
      <c r="H726" t="s">
        <v>3840</v>
      </c>
      <c r="I726" s="5" t="s">
        <v>2901</v>
      </c>
      <c r="J726" t="s">
        <v>1762</v>
      </c>
      <c r="K726" t="s">
        <v>2488</v>
      </c>
      <c r="L726">
        <v>748</v>
      </c>
      <c r="P726" t="s">
        <v>2494</v>
      </c>
      <c r="Q726">
        <v>2008</v>
      </c>
      <c r="R726">
        <v>2008</v>
      </c>
      <c r="S726" s="1"/>
      <c r="T726" s="1">
        <v>43832</v>
      </c>
      <c r="U726" t="s">
        <v>16</v>
      </c>
    </row>
    <row r="727" spans="1:21" x14ac:dyDescent="0.25">
      <c r="A727">
        <v>726</v>
      </c>
      <c r="B727">
        <v>18144590</v>
      </c>
      <c r="C727" t="s">
        <v>2875</v>
      </c>
      <c r="D727" t="s">
        <v>17</v>
      </c>
      <c r="E727" t="s">
        <v>1616</v>
      </c>
      <c r="F727" t="s">
        <v>1617</v>
      </c>
      <c r="H727" t="s">
        <v>3841</v>
      </c>
      <c r="I727" s="5" t="s">
        <v>2917</v>
      </c>
      <c r="J727" t="s">
        <v>1668</v>
      </c>
      <c r="K727" t="s">
        <v>2488</v>
      </c>
      <c r="L727">
        <v>182</v>
      </c>
      <c r="P727" t="s">
        <v>2494</v>
      </c>
      <c r="Q727">
        <v>2014</v>
      </c>
      <c r="R727">
        <v>1988</v>
      </c>
      <c r="S727" s="1"/>
      <c r="T727" s="1">
        <v>43832</v>
      </c>
      <c r="U727" t="s">
        <v>16</v>
      </c>
    </row>
    <row r="728" spans="1:21" x14ac:dyDescent="0.25">
      <c r="A728">
        <v>727</v>
      </c>
      <c r="B728">
        <v>6483863</v>
      </c>
      <c r="C728" t="s">
        <v>1618</v>
      </c>
      <c r="D728" t="s">
        <v>17</v>
      </c>
      <c r="E728" t="s">
        <v>1619</v>
      </c>
      <c r="F728" t="s">
        <v>1620</v>
      </c>
      <c r="H728" t="s">
        <v>3842</v>
      </c>
      <c r="I728" s="5" t="s">
        <v>2917</v>
      </c>
      <c r="J728" t="s">
        <v>1759</v>
      </c>
      <c r="K728" t="s">
        <v>2488</v>
      </c>
      <c r="L728">
        <v>160</v>
      </c>
      <c r="P728" t="s">
        <v>2494</v>
      </c>
      <c r="Q728">
        <v>2007</v>
      </c>
      <c r="R728">
        <v>2007</v>
      </c>
      <c r="S728" s="1"/>
      <c r="T728" s="1">
        <v>43832</v>
      </c>
      <c r="U728" t="s">
        <v>16</v>
      </c>
    </row>
    <row r="729" spans="1:21" x14ac:dyDescent="0.25">
      <c r="A729">
        <v>728</v>
      </c>
      <c r="B729">
        <v>9223064</v>
      </c>
      <c r="C729" t="s">
        <v>1621</v>
      </c>
      <c r="D729" t="s">
        <v>17</v>
      </c>
      <c r="E729" t="s">
        <v>1504</v>
      </c>
      <c r="F729" t="s">
        <v>1505</v>
      </c>
      <c r="H729" t="s">
        <v>3843</v>
      </c>
      <c r="I729" s="5" t="s">
        <v>2901</v>
      </c>
      <c r="J729" t="s">
        <v>2235</v>
      </c>
      <c r="K729" t="s">
        <v>2488</v>
      </c>
      <c r="L729">
        <v>328</v>
      </c>
      <c r="P729" t="s">
        <v>2494</v>
      </c>
      <c r="Q729">
        <v>2010</v>
      </c>
      <c r="R729">
        <v>2007</v>
      </c>
      <c r="S729" s="1"/>
      <c r="T729" s="1">
        <v>43832</v>
      </c>
      <c r="U729" t="s">
        <v>16</v>
      </c>
    </row>
    <row r="730" spans="1:21" x14ac:dyDescent="0.25">
      <c r="A730">
        <v>729</v>
      </c>
      <c r="B730">
        <v>136251</v>
      </c>
      <c r="C730" t="s">
        <v>2876</v>
      </c>
      <c r="D730" t="s">
        <v>1622</v>
      </c>
      <c r="E730" t="s">
        <v>1427</v>
      </c>
      <c r="F730" t="s">
        <v>1428</v>
      </c>
      <c r="H730" t="s">
        <v>3844</v>
      </c>
      <c r="I730" s="5" t="s">
        <v>2901</v>
      </c>
      <c r="J730" t="s">
        <v>1668</v>
      </c>
      <c r="K730" t="s">
        <v>57</v>
      </c>
      <c r="L730">
        <v>759</v>
      </c>
      <c r="P730" t="s">
        <v>2486</v>
      </c>
      <c r="Q730">
        <v>2007</v>
      </c>
      <c r="R730">
        <v>2007</v>
      </c>
      <c r="S730" s="1"/>
      <c r="T730" s="1">
        <v>43832</v>
      </c>
      <c r="U730" t="s">
        <v>16</v>
      </c>
    </row>
    <row r="731" spans="1:21" x14ac:dyDescent="0.25">
      <c r="A731">
        <v>730</v>
      </c>
      <c r="B731">
        <v>6483864</v>
      </c>
      <c r="C731" t="s">
        <v>1623</v>
      </c>
      <c r="D731" t="s">
        <v>17</v>
      </c>
      <c r="E731" t="s">
        <v>1619</v>
      </c>
      <c r="F731" t="s">
        <v>1620</v>
      </c>
      <c r="H731" t="s">
        <v>3845</v>
      </c>
      <c r="I731" s="5" t="s">
        <v>2890</v>
      </c>
      <c r="J731" t="s">
        <v>1759</v>
      </c>
      <c r="K731" t="s">
        <v>2488</v>
      </c>
      <c r="L731">
        <v>200</v>
      </c>
      <c r="P731" t="s">
        <v>2494</v>
      </c>
      <c r="Q731">
        <v>2007</v>
      </c>
      <c r="R731">
        <v>2007</v>
      </c>
      <c r="S731" s="1"/>
      <c r="T731" s="1">
        <v>43832</v>
      </c>
      <c r="U731" t="s">
        <v>16</v>
      </c>
    </row>
    <row r="732" spans="1:21" x14ac:dyDescent="0.25">
      <c r="A732">
        <v>731</v>
      </c>
      <c r="B732">
        <v>10210</v>
      </c>
      <c r="C732" t="s">
        <v>1624</v>
      </c>
      <c r="D732" t="s">
        <v>17</v>
      </c>
      <c r="E732" t="s">
        <v>1625</v>
      </c>
      <c r="F732" t="s">
        <v>1626</v>
      </c>
      <c r="H732" t="s">
        <v>3846</v>
      </c>
      <c r="I732" s="5" t="s">
        <v>2933</v>
      </c>
      <c r="J732" t="s">
        <v>2883</v>
      </c>
      <c r="K732" t="s">
        <v>2488</v>
      </c>
      <c r="L732">
        <v>532</v>
      </c>
      <c r="P732" t="s">
        <v>2494</v>
      </c>
      <c r="Q732">
        <v>2003</v>
      </c>
      <c r="R732">
        <v>1847</v>
      </c>
      <c r="S732" s="1"/>
      <c r="T732" s="1">
        <v>43832</v>
      </c>
      <c r="U732" t="s">
        <v>16</v>
      </c>
    </row>
    <row r="733" spans="1:21" x14ac:dyDescent="0.25">
      <c r="A733">
        <v>732</v>
      </c>
      <c r="B733">
        <v>6483857</v>
      </c>
      <c r="C733" t="s">
        <v>1627</v>
      </c>
      <c r="D733" t="s">
        <v>17</v>
      </c>
      <c r="E733" t="s">
        <v>1619</v>
      </c>
      <c r="F733" t="s">
        <v>1620</v>
      </c>
      <c r="H733" t="s">
        <v>3847</v>
      </c>
      <c r="I733" s="5" t="s">
        <v>2890</v>
      </c>
      <c r="J733" t="s">
        <v>1759</v>
      </c>
      <c r="K733" t="s">
        <v>2488</v>
      </c>
      <c r="L733">
        <v>176</v>
      </c>
      <c r="P733" t="s">
        <v>2494</v>
      </c>
      <c r="Q733">
        <v>2006</v>
      </c>
      <c r="R733">
        <v>2001</v>
      </c>
      <c r="S733" s="1"/>
      <c r="T733" s="1">
        <v>43832</v>
      </c>
      <c r="U733" t="s">
        <v>16</v>
      </c>
    </row>
    <row r="734" spans="1:21" x14ac:dyDescent="0.25">
      <c r="A734">
        <v>733</v>
      </c>
      <c r="B734">
        <v>710826</v>
      </c>
      <c r="C734" t="s">
        <v>2884</v>
      </c>
      <c r="D734" t="s">
        <v>17</v>
      </c>
      <c r="E734" t="s">
        <v>1628</v>
      </c>
      <c r="F734" t="s">
        <v>1629</v>
      </c>
      <c r="H734" t="s">
        <v>3848</v>
      </c>
      <c r="I734" s="5" t="s">
        <v>2890</v>
      </c>
      <c r="J734" t="s">
        <v>1668</v>
      </c>
      <c r="K734" t="s">
        <v>57</v>
      </c>
      <c r="L734">
        <v>432</v>
      </c>
      <c r="P734" t="s">
        <v>2494</v>
      </c>
      <c r="Q734">
        <v>2004</v>
      </c>
      <c r="R734">
        <v>2004</v>
      </c>
      <c r="S734" s="1"/>
      <c r="T734" s="1">
        <v>43832</v>
      </c>
      <c r="U734" t="s">
        <v>16</v>
      </c>
    </row>
    <row r="735" spans="1:21" x14ac:dyDescent="0.25">
      <c r="A735">
        <v>734</v>
      </c>
      <c r="B735">
        <v>6483874</v>
      </c>
      <c r="C735" t="s">
        <v>1630</v>
      </c>
      <c r="D735" t="s">
        <v>17</v>
      </c>
      <c r="E735" t="s">
        <v>1619</v>
      </c>
      <c r="F735" t="s">
        <v>1620</v>
      </c>
      <c r="H735" t="s">
        <v>3849</v>
      </c>
      <c r="I735" s="5" t="s">
        <v>2901</v>
      </c>
      <c r="J735" t="s">
        <v>1759</v>
      </c>
      <c r="K735" t="s">
        <v>2488</v>
      </c>
      <c r="L735">
        <v>181</v>
      </c>
      <c r="P735" t="s">
        <v>2494</v>
      </c>
      <c r="Q735">
        <v>2005</v>
      </c>
      <c r="R735">
        <v>2005</v>
      </c>
      <c r="S735" s="1"/>
      <c r="T735" s="1">
        <v>43832</v>
      </c>
      <c r="U735" t="s">
        <v>16</v>
      </c>
    </row>
    <row r="736" spans="1:21" x14ac:dyDescent="0.25">
      <c r="A736">
        <v>735</v>
      </c>
      <c r="B736">
        <v>1</v>
      </c>
      <c r="C736" t="s">
        <v>2877</v>
      </c>
      <c r="D736" t="s">
        <v>1631</v>
      </c>
      <c r="E736" t="s">
        <v>1427</v>
      </c>
      <c r="F736" t="s">
        <v>1428</v>
      </c>
      <c r="H736" t="s">
        <v>3850</v>
      </c>
      <c r="I736" s="5" t="s">
        <v>2933</v>
      </c>
      <c r="J736" t="s">
        <v>1668</v>
      </c>
      <c r="K736" t="s">
        <v>57</v>
      </c>
      <c r="L736">
        <v>652</v>
      </c>
      <c r="P736" t="s">
        <v>2486</v>
      </c>
      <c r="Q736">
        <v>2006</v>
      </c>
      <c r="R736">
        <v>2005</v>
      </c>
      <c r="S736" s="1"/>
      <c r="T736" s="1">
        <v>43832</v>
      </c>
      <c r="U736" t="s">
        <v>16</v>
      </c>
    </row>
    <row r="737" spans="1:21" x14ac:dyDescent="0.25">
      <c r="A737">
        <v>736</v>
      </c>
      <c r="B737">
        <v>301825</v>
      </c>
      <c r="C737" t="s">
        <v>2885</v>
      </c>
      <c r="D737" t="s">
        <v>17</v>
      </c>
      <c r="E737" t="s">
        <v>1632</v>
      </c>
      <c r="F737" t="s">
        <v>1633</v>
      </c>
      <c r="H737" t="s">
        <v>3851</v>
      </c>
      <c r="I737" s="5" t="s">
        <v>2890</v>
      </c>
      <c r="J737" t="s">
        <v>1668</v>
      </c>
      <c r="K737" t="s">
        <v>2488</v>
      </c>
      <c r="L737">
        <v>442</v>
      </c>
      <c r="P737" t="s">
        <v>2494</v>
      </c>
      <c r="Q737">
        <v>2004</v>
      </c>
      <c r="R737">
        <v>2003</v>
      </c>
      <c r="S737" s="1"/>
      <c r="T737" s="1">
        <v>43832</v>
      </c>
      <c r="U737" t="s">
        <v>16</v>
      </c>
    </row>
    <row r="738" spans="1:21" x14ac:dyDescent="0.25">
      <c r="A738">
        <v>737</v>
      </c>
      <c r="B738">
        <v>6483861</v>
      </c>
      <c r="C738" t="s">
        <v>1634</v>
      </c>
      <c r="D738" t="s">
        <v>17</v>
      </c>
      <c r="E738" t="s">
        <v>1619</v>
      </c>
      <c r="F738" t="s">
        <v>1620</v>
      </c>
      <c r="H738" t="s">
        <v>3852</v>
      </c>
      <c r="I738" s="5" t="s">
        <v>2917</v>
      </c>
      <c r="J738" t="s">
        <v>1759</v>
      </c>
      <c r="K738" t="s">
        <v>2488</v>
      </c>
      <c r="L738">
        <v>184</v>
      </c>
      <c r="P738" t="s">
        <v>2494</v>
      </c>
      <c r="Q738">
        <v>2004</v>
      </c>
      <c r="R738">
        <v>2004</v>
      </c>
      <c r="S738" s="1"/>
      <c r="T738" s="1">
        <v>43832</v>
      </c>
      <c r="U738" t="s">
        <v>16</v>
      </c>
    </row>
    <row r="739" spans="1:21" x14ac:dyDescent="0.25">
      <c r="A739">
        <v>738</v>
      </c>
      <c r="B739">
        <v>2</v>
      </c>
      <c r="C739" t="s">
        <v>2878</v>
      </c>
      <c r="D739" t="s">
        <v>1635</v>
      </c>
      <c r="E739" t="s">
        <v>1427</v>
      </c>
      <c r="F739" t="s">
        <v>1428</v>
      </c>
      <c r="H739" t="s">
        <v>3853</v>
      </c>
      <c r="I739" s="5" t="s">
        <v>2933</v>
      </c>
      <c r="J739" t="s">
        <v>1668</v>
      </c>
      <c r="K739" t="s">
        <v>2488</v>
      </c>
      <c r="L739">
        <v>576</v>
      </c>
      <c r="P739" t="s">
        <v>2494</v>
      </c>
      <c r="Q739">
        <v>2004</v>
      </c>
      <c r="R739">
        <v>2003</v>
      </c>
      <c r="S739" s="1"/>
      <c r="T739" s="1">
        <v>43832</v>
      </c>
      <c r="U739" t="s">
        <v>16</v>
      </c>
    </row>
    <row r="740" spans="1:21" x14ac:dyDescent="0.25">
      <c r="A740">
        <v>739</v>
      </c>
      <c r="B740">
        <v>10053116</v>
      </c>
      <c r="C740" t="s">
        <v>1636</v>
      </c>
      <c r="D740" t="s">
        <v>17</v>
      </c>
      <c r="E740" t="s">
        <v>1637</v>
      </c>
      <c r="F740" t="s">
        <v>1638</v>
      </c>
      <c r="H740" t="s">
        <v>3854</v>
      </c>
      <c r="I740" s="5" t="s">
        <v>2933</v>
      </c>
      <c r="J740" t="s">
        <v>2470</v>
      </c>
      <c r="K740" t="s">
        <v>2488</v>
      </c>
      <c r="L740">
        <v>304</v>
      </c>
      <c r="P740" t="s">
        <v>2494</v>
      </c>
      <c r="Q740">
        <v>2003</v>
      </c>
      <c r="R740">
        <v>1927</v>
      </c>
      <c r="S740" s="1"/>
      <c r="T740" s="1">
        <v>43832</v>
      </c>
      <c r="U740" t="s">
        <v>16</v>
      </c>
    </row>
    <row r="741" spans="1:21" x14ac:dyDescent="0.25">
      <c r="A741">
        <v>740</v>
      </c>
      <c r="B741">
        <v>34468732</v>
      </c>
      <c r="C741" t="s">
        <v>1639</v>
      </c>
      <c r="D741" t="s">
        <v>17</v>
      </c>
      <c r="E741" t="s">
        <v>1628</v>
      </c>
      <c r="F741" t="s">
        <v>1629</v>
      </c>
      <c r="H741" t="s">
        <v>3855</v>
      </c>
      <c r="I741" s="5" t="s">
        <v>2890</v>
      </c>
      <c r="J741" t="s">
        <v>1668</v>
      </c>
      <c r="K741" t="s">
        <v>2488</v>
      </c>
      <c r="L741">
        <v>200</v>
      </c>
      <c r="P741" t="s">
        <v>2494</v>
      </c>
      <c r="Q741">
        <v>2002</v>
      </c>
      <c r="R741">
        <v>1983</v>
      </c>
      <c r="S741" s="1"/>
      <c r="T741" s="1">
        <v>43832</v>
      </c>
      <c r="U741" t="s">
        <v>16</v>
      </c>
    </row>
    <row r="742" spans="1:21" x14ac:dyDescent="0.25">
      <c r="A742">
        <v>741</v>
      </c>
      <c r="B742">
        <v>16042549</v>
      </c>
      <c r="C742" t="s">
        <v>2886</v>
      </c>
      <c r="D742" t="s">
        <v>17</v>
      </c>
      <c r="E742" t="s">
        <v>1640</v>
      </c>
      <c r="F742" t="s">
        <v>1641</v>
      </c>
      <c r="H742" t="s">
        <v>3856</v>
      </c>
      <c r="I742" s="5" t="s">
        <v>2917</v>
      </c>
      <c r="J742" t="s">
        <v>1668</v>
      </c>
      <c r="K742" t="s">
        <v>2488</v>
      </c>
      <c r="L742">
        <v>176</v>
      </c>
      <c r="P742" t="s">
        <v>2494</v>
      </c>
      <c r="Q742">
        <v>2014</v>
      </c>
      <c r="R742">
        <v>1952</v>
      </c>
      <c r="S742" s="1"/>
      <c r="T742" s="1">
        <v>43832</v>
      </c>
      <c r="U742" t="s">
        <v>16</v>
      </c>
    </row>
    <row r="743" spans="1:21" x14ac:dyDescent="0.25">
      <c r="A743">
        <v>742</v>
      </c>
      <c r="B743">
        <v>976</v>
      </c>
      <c r="C743" t="s">
        <v>2862</v>
      </c>
      <c r="D743" t="s">
        <v>17</v>
      </c>
      <c r="E743" t="s">
        <v>125</v>
      </c>
      <c r="F743" t="s">
        <v>126</v>
      </c>
      <c r="H743" t="s">
        <v>3857</v>
      </c>
      <c r="I743" s="5" t="s">
        <v>2933</v>
      </c>
      <c r="J743" t="s">
        <v>1668</v>
      </c>
      <c r="K743" t="s">
        <v>2488</v>
      </c>
      <c r="L743">
        <v>556</v>
      </c>
      <c r="P743" t="s">
        <v>2494</v>
      </c>
      <c r="Q743">
        <v>2002</v>
      </c>
      <c r="R743">
        <v>2001</v>
      </c>
      <c r="S743" s="1"/>
      <c r="T743" s="1">
        <v>43831</v>
      </c>
      <c r="U743" t="s">
        <v>16</v>
      </c>
    </row>
    <row r="744" spans="1:21" x14ac:dyDescent="0.25">
      <c r="A744">
        <v>743</v>
      </c>
      <c r="B744">
        <v>11125</v>
      </c>
      <c r="C744" t="s">
        <v>2863</v>
      </c>
      <c r="D744" t="s">
        <v>17</v>
      </c>
      <c r="E744" t="s">
        <v>125</v>
      </c>
      <c r="F744" t="s">
        <v>126</v>
      </c>
      <c r="H744" t="s">
        <v>3858</v>
      </c>
      <c r="I744" s="5" t="s">
        <v>2933</v>
      </c>
      <c r="J744" t="s">
        <v>1668</v>
      </c>
      <c r="K744" t="s">
        <v>2488</v>
      </c>
      <c r="L744">
        <v>510</v>
      </c>
      <c r="P744" t="s">
        <v>2494</v>
      </c>
      <c r="Q744">
        <v>2004</v>
      </c>
      <c r="R744">
        <v>1998</v>
      </c>
      <c r="S744" s="1"/>
      <c r="T744" s="1">
        <v>43831</v>
      </c>
      <c r="U744" t="s">
        <v>16</v>
      </c>
    </row>
    <row r="745" spans="1:21" x14ac:dyDescent="0.25">
      <c r="A745">
        <v>744</v>
      </c>
      <c r="B745">
        <v>17212231</v>
      </c>
      <c r="C745" t="s">
        <v>3859</v>
      </c>
      <c r="D745" t="s">
        <v>1643</v>
      </c>
      <c r="E745" t="s">
        <v>125</v>
      </c>
      <c r="F745" t="s">
        <v>126</v>
      </c>
      <c r="H745" t="s">
        <v>3860</v>
      </c>
      <c r="I745" s="5" t="s">
        <v>2933</v>
      </c>
      <c r="J745" t="s">
        <v>1668</v>
      </c>
      <c r="K745" t="s">
        <v>2488</v>
      </c>
      <c r="L745">
        <v>463</v>
      </c>
      <c r="P745" t="s">
        <v>2494</v>
      </c>
      <c r="Q745">
        <v>2013</v>
      </c>
      <c r="R745">
        <v>2013</v>
      </c>
      <c r="S745" s="1"/>
      <c r="T745" s="1">
        <v>43831</v>
      </c>
      <c r="U745" t="s">
        <v>16</v>
      </c>
    </row>
    <row r="746" spans="1:21" x14ac:dyDescent="0.25">
      <c r="A746">
        <v>745</v>
      </c>
      <c r="B746">
        <v>968</v>
      </c>
      <c r="C746" t="s">
        <v>2864</v>
      </c>
      <c r="D746" t="s">
        <v>1644</v>
      </c>
      <c r="E746" t="s">
        <v>125</v>
      </c>
      <c r="F746" t="s">
        <v>126</v>
      </c>
      <c r="H746" t="s">
        <v>3861</v>
      </c>
      <c r="I746" s="5" t="s">
        <v>2933</v>
      </c>
      <c r="J746" t="s">
        <v>1668</v>
      </c>
      <c r="K746" t="s">
        <v>2488</v>
      </c>
      <c r="L746">
        <v>489</v>
      </c>
      <c r="P746" t="s">
        <v>2494</v>
      </c>
      <c r="Q746">
        <v>2006</v>
      </c>
      <c r="R746">
        <v>2003</v>
      </c>
      <c r="S746" s="1"/>
      <c r="T746" s="1">
        <v>43831</v>
      </c>
      <c r="U746" t="s">
        <v>16</v>
      </c>
    </row>
    <row r="747" spans="1:21" x14ac:dyDescent="0.25">
      <c r="A747">
        <v>746</v>
      </c>
      <c r="B747">
        <v>40961427</v>
      </c>
      <c r="C747" t="s">
        <v>1645</v>
      </c>
      <c r="D747" t="s">
        <v>17</v>
      </c>
      <c r="E747" t="s">
        <v>1646</v>
      </c>
      <c r="F747" t="s">
        <v>1647</v>
      </c>
      <c r="H747" t="s">
        <v>3862</v>
      </c>
      <c r="I747" s="5" t="s">
        <v>2933</v>
      </c>
      <c r="J747" t="s">
        <v>1668</v>
      </c>
      <c r="K747" t="s">
        <v>57</v>
      </c>
      <c r="L747">
        <v>298</v>
      </c>
      <c r="P747" t="s">
        <v>2494</v>
      </c>
      <c r="Q747">
        <v>2013</v>
      </c>
      <c r="R747">
        <v>1948</v>
      </c>
      <c r="S747" s="1"/>
      <c r="T747" s="1">
        <v>43831</v>
      </c>
      <c r="U747" t="s">
        <v>16</v>
      </c>
    </row>
    <row r="748" spans="1:21" x14ac:dyDescent="0.25">
      <c r="A748">
        <v>747</v>
      </c>
      <c r="B748">
        <v>6186357</v>
      </c>
      <c r="C748" t="s">
        <v>2887</v>
      </c>
      <c r="D748" t="s">
        <v>1648</v>
      </c>
      <c r="E748" t="s">
        <v>1455</v>
      </c>
      <c r="F748" t="s">
        <v>1456</v>
      </c>
      <c r="H748" t="s">
        <v>3863</v>
      </c>
      <c r="I748" s="5" t="s">
        <v>2901</v>
      </c>
      <c r="J748" t="s">
        <v>1668</v>
      </c>
      <c r="K748" t="s">
        <v>57</v>
      </c>
      <c r="L748">
        <v>384</v>
      </c>
      <c r="P748" t="s">
        <v>2486</v>
      </c>
      <c r="Q748">
        <v>2009</v>
      </c>
      <c r="R748">
        <v>2009</v>
      </c>
      <c r="S748" s="1"/>
      <c r="T748" s="1">
        <v>43831</v>
      </c>
      <c r="U748" t="s">
        <v>16</v>
      </c>
    </row>
    <row r="749" spans="1:21" x14ac:dyDescent="0.25">
      <c r="A749">
        <v>748</v>
      </c>
      <c r="B749">
        <v>6466909</v>
      </c>
      <c r="C749" t="s">
        <v>2866</v>
      </c>
      <c r="D749" t="s">
        <v>1603</v>
      </c>
      <c r="E749" t="s">
        <v>1649</v>
      </c>
      <c r="F749" t="s">
        <v>1650</v>
      </c>
      <c r="H749" t="s">
        <v>3864</v>
      </c>
      <c r="I749" s="5" t="s">
        <v>2890</v>
      </c>
      <c r="J749" t="s">
        <v>1723</v>
      </c>
      <c r="K749" t="s">
        <v>57</v>
      </c>
      <c r="L749">
        <v>144</v>
      </c>
      <c r="P749" t="s">
        <v>2486</v>
      </c>
      <c r="Q749">
        <v>2009</v>
      </c>
      <c r="R749">
        <v>2009</v>
      </c>
      <c r="S749" s="1"/>
      <c r="T749" s="1">
        <v>43831</v>
      </c>
      <c r="U749" t="s">
        <v>16</v>
      </c>
    </row>
    <row r="750" spans="1:21" x14ac:dyDescent="0.25">
      <c r="A750">
        <v>749</v>
      </c>
      <c r="B750">
        <v>10818853</v>
      </c>
      <c r="C750" t="s">
        <v>2829</v>
      </c>
      <c r="D750" t="s">
        <v>1651</v>
      </c>
      <c r="E750" t="s">
        <v>1520</v>
      </c>
      <c r="F750" t="s">
        <v>1521</v>
      </c>
      <c r="H750" t="s">
        <v>3865</v>
      </c>
      <c r="I750" s="5" t="s">
        <v>2917</v>
      </c>
      <c r="J750" t="s">
        <v>2198</v>
      </c>
      <c r="K750" t="s">
        <v>57</v>
      </c>
      <c r="L750">
        <v>356</v>
      </c>
      <c r="P750" t="s">
        <v>2486</v>
      </c>
      <c r="Q750">
        <v>2012</v>
      </c>
      <c r="R750">
        <v>2011</v>
      </c>
      <c r="S750" s="1"/>
      <c r="T750" s="1">
        <v>43831</v>
      </c>
      <c r="U750" t="s">
        <v>16</v>
      </c>
    </row>
    <row r="751" spans="1:21" x14ac:dyDescent="0.25">
      <c r="A751">
        <v>750</v>
      </c>
      <c r="B751">
        <v>113436</v>
      </c>
      <c r="C751" t="s">
        <v>3866</v>
      </c>
      <c r="D751" t="s">
        <v>1653</v>
      </c>
      <c r="E751" t="s">
        <v>269</v>
      </c>
      <c r="F751" t="s">
        <v>270</v>
      </c>
      <c r="H751" t="s">
        <v>3867</v>
      </c>
      <c r="I751" s="5" t="s">
        <v>2901</v>
      </c>
      <c r="J751" t="s">
        <v>1762</v>
      </c>
      <c r="K751" t="s">
        <v>2488</v>
      </c>
      <c r="L751">
        <v>503</v>
      </c>
      <c r="P751" t="s">
        <v>2494</v>
      </c>
      <c r="Q751">
        <v>2005</v>
      </c>
      <c r="R751">
        <v>2002</v>
      </c>
      <c r="S751" s="1"/>
      <c r="T751" s="1">
        <v>43831</v>
      </c>
      <c r="U751" t="s">
        <v>16</v>
      </c>
    </row>
    <row r="752" spans="1:21" x14ac:dyDescent="0.25">
      <c r="A752">
        <v>751</v>
      </c>
      <c r="B752">
        <v>6</v>
      </c>
      <c r="C752" t="s">
        <v>2879</v>
      </c>
      <c r="D752" t="s">
        <v>1654</v>
      </c>
      <c r="E752" t="s">
        <v>1427</v>
      </c>
      <c r="F752" t="s">
        <v>1428</v>
      </c>
      <c r="H752" t="s">
        <v>3868</v>
      </c>
      <c r="I752" s="5" t="s">
        <v>2933</v>
      </c>
      <c r="J752" t="s">
        <v>1668</v>
      </c>
      <c r="K752" t="s">
        <v>2488</v>
      </c>
      <c r="L752">
        <v>734</v>
      </c>
      <c r="P752" t="s">
        <v>2494</v>
      </c>
      <c r="Q752">
        <v>2002</v>
      </c>
      <c r="R752">
        <v>2000</v>
      </c>
      <c r="S752" s="1"/>
      <c r="T752" s="1">
        <v>43831</v>
      </c>
      <c r="U752" t="s">
        <v>16</v>
      </c>
    </row>
    <row r="753" spans="1:21" x14ac:dyDescent="0.25">
      <c r="A753">
        <v>752</v>
      </c>
      <c r="B753">
        <v>5</v>
      </c>
      <c r="C753" t="s">
        <v>2880</v>
      </c>
      <c r="D753" t="s">
        <v>1655</v>
      </c>
      <c r="E753" t="s">
        <v>1427</v>
      </c>
      <c r="F753" t="s">
        <v>1428</v>
      </c>
      <c r="H753" t="s">
        <v>3869</v>
      </c>
      <c r="I753" s="5" t="s">
        <v>2933</v>
      </c>
      <c r="J753" t="s">
        <v>1668</v>
      </c>
      <c r="K753" t="s">
        <v>2488</v>
      </c>
      <c r="L753">
        <v>547</v>
      </c>
      <c r="P753" t="s">
        <v>2494</v>
      </c>
      <c r="Q753">
        <v>2004</v>
      </c>
      <c r="R753">
        <v>1999</v>
      </c>
      <c r="S753" s="1"/>
      <c r="T753" s="1">
        <v>43831</v>
      </c>
      <c r="U753" t="s">
        <v>16</v>
      </c>
    </row>
    <row r="754" spans="1:21" x14ac:dyDescent="0.25">
      <c r="A754">
        <v>753</v>
      </c>
      <c r="B754">
        <v>15881</v>
      </c>
      <c r="C754" t="s">
        <v>2881</v>
      </c>
      <c r="D754" t="s">
        <v>1656</v>
      </c>
      <c r="E754" t="s">
        <v>1427</v>
      </c>
      <c r="F754" t="s">
        <v>1428</v>
      </c>
      <c r="H754" t="s">
        <v>3870</v>
      </c>
      <c r="I754" s="5" t="s">
        <v>2933</v>
      </c>
      <c r="J754" t="s">
        <v>1668</v>
      </c>
      <c r="K754" t="s">
        <v>2488</v>
      </c>
      <c r="L754">
        <v>352</v>
      </c>
      <c r="P754" t="s">
        <v>2494</v>
      </c>
      <c r="Q754">
        <v>1999</v>
      </c>
      <c r="R754">
        <v>1998</v>
      </c>
      <c r="S754" s="1"/>
      <c r="T754" s="1">
        <v>43831</v>
      </c>
      <c r="U754" t="s">
        <v>16</v>
      </c>
    </row>
    <row r="755" spans="1:21" x14ac:dyDescent="0.25">
      <c r="A755">
        <v>754</v>
      </c>
      <c r="B755">
        <v>960</v>
      </c>
      <c r="C755" t="s">
        <v>2865</v>
      </c>
      <c r="D755" t="s">
        <v>1657</v>
      </c>
      <c r="E755" t="s">
        <v>125</v>
      </c>
      <c r="F755" t="s">
        <v>126</v>
      </c>
      <c r="H755" t="s">
        <v>3871</v>
      </c>
      <c r="I755" s="5" t="s">
        <v>2933</v>
      </c>
      <c r="J755" t="s">
        <v>1668</v>
      </c>
      <c r="K755" t="s">
        <v>2488</v>
      </c>
      <c r="L755">
        <v>736</v>
      </c>
      <c r="P755" t="s">
        <v>2494</v>
      </c>
      <c r="Q755">
        <v>2006</v>
      </c>
      <c r="R755">
        <v>2000</v>
      </c>
      <c r="S755" s="1"/>
      <c r="T755" s="1">
        <v>43831</v>
      </c>
      <c r="U755" t="s">
        <v>16</v>
      </c>
    </row>
    <row r="756" spans="1:21" x14ac:dyDescent="0.25">
      <c r="A756">
        <v>755</v>
      </c>
      <c r="B756">
        <v>41865</v>
      </c>
      <c r="C756" t="s">
        <v>2867</v>
      </c>
      <c r="D756" t="s">
        <v>1658</v>
      </c>
      <c r="E756" t="s">
        <v>1601</v>
      </c>
      <c r="F756" t="s">
        <v>1602</v>
      </c>
      <c r="H756" t="s">
        <v>3872</v>
      </c>
      <c r="I756" s="5" t="s">
        <v>2901</v>
      </c>
      <c r="J756" t="s">
        <v>1723</v>
      </c>
      <c r="K756" t="s">
        <v>57</v>
      </c>
      <c r="L756">
        <v>498</v>
      </c>
      <c r="P756" t="s">
        <v>2486</v>
      </c>
      <c r="Q756">
        <v>2006</v>
      </c>
      <c r="R756">
        <v>2005</v>
      </c>
      <c r="S756" s="1"/>
      <c r="T756" s="1">
        <v>43831</v>
      </c>
      <c r="U756" t="s">
        <v>16</v>
      </c>
    </row>
    <row r="757" spans="1:21" x14ac:dyDescent="0.25">
      <c r="A757">
        <v>756</v>
      </c>
      <c r="B757">
        <v>13335037</v>
      </c>
      <c r="C757" t="s">
        <v>2810</v>
      </c>
      <c r="D757" t="s">
        <v>1659</v>
      </c>
      <c r="E757" t="s">
        <v>813</v>
      </c>
      <c r="F757" t="s">
        <v>814</v>
      </c>
      <c r="H757" t="s">
        <v>3873</v>
      </c>
      <c r="I757" s="5" t="s">
        <v>2933</v>
      </c>
      <c r="J757" t="s">
        <v>1668</v>
      </c>
      <c r="K757" t="s">
        <v>57</v>
      </c>
      <c r="L757">
        <v>487</v>
      </c>
      <c r="P757" t="s">
        <v>2494</v>
      </c>
      <c r="Q757">
        <v>2012</v>
      </c>
      <c r="R757">
        <v>2011</v>
      </c>
      <c r="S757" s="1"/>
      <c r="T757" s="1">
        <v>43831</v>
      </c>
      <c r="U757" t="s">
        <v>16</v>
      </c>
    </row>
    <row r="758" spans="1:21" x14ac:dyDescent="0.25">
      <c r="A758">
        <v>757</v>
      </c>
      <c r="B758">
        <v>2767052</v>
      </c>
      <c r="C758" t="s">
        <v>2840</v>
      </c>
      <c r="D758" t="s">
        <v>1660</v>
      </c>
      <c r="E758" t="s">
        <v>668</v>
      </c>
      <c r="F758" t="s">
        <v>669</v>
      </c>
      <c r="H758" t="s">
        <v>3874</v>
      </c>
      <c r="I758" s="5" t="s">
        <v>2933</v>
      </c>
      <c r="J758" t="s">
        <v>2838</v>
      </c>
      <c r="K758" t="s">
        <v>57</v>
      </c>
      <c r="L758">
        <v>374</v>
      </c>
      <c r="P758" t="s">
        <v>2486</v>
      </c>
      <c r="Q758">
        <v>2008</v>
      </c>
      <c r="R758">
        <v>2008</v>
      </c>
      <c r="S758" s="1"/>
      <c r="T758" s="1">
        <v>43831</v>
      </c>
      <c r="U758" t="s">
        <v>16</v>
      </c>
    </row>
    <row r="759" spans="1:21" x14ac:dyDescent="0.25">
      <c r="A759">
        <v>758</v>
      </c>
      <c r="B759">
        <v>3</v>
      </c>
      <c r="C759" t="s">
        <v>2882</v>
      </c>
      <c r="D759" t="s">
        <v>1661</v>
      </c>
      <c r="E759" t="s">
        <v>1427</v>
      </c>
      <c r="F759" t="s">
        <v>1428</v>
      </c>
      <c r="H759" t="s">
        <v>3875</v>
      </c>
      <c r="I759" s="5" t="s">
        <v>2933</v>
      </c>
      <c r="J759" t="s">
        <v>1668</v>
      </c>
      <c r="K759" t="s">
        <v>2488</v>
      </c>
      <c r="L759">
        <v>309</v>
      </c>
      <c r="P759" t="s">
        <v>2494</v>
      </c>
      <c r="Q759">
        <v>2003</v>
      </c>
      <c r="R759">
        <v>1997</v>
      </c>
      <c r="S759" s="1"/>
      <c r="T759" s="1">
        <v>43831</v>
      </c>
      <c r="U759" t="s">
        <v>16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C2641-CAF1-48EE-8586-EBA8314D96DC}">
  <dimension ref="A1:S759"/>
  <sheetViews>
    <sheetView topLeftCell="A571" workbookViewId="0">
      <selection activeCell="R607" sqref="R607"/>
    </sheetView>
  </sheetViews>
  <sheetFormatPr defaultRowHeight="15" x14ac:dyDescent="0.25"/>
  <cols>
    <col min="1" max="1" width="4.28515625" bestFit="1" customWidth="1"/>
    <col min="2" max="2" width="10" bestFit="1" customWidth="1"/>
    <col min="3" max="3" width="38.7109375" customWidth="1"/>
    <col min="4" max="4" width="27.5703125" customWidth="1"/>
    <col min="5" max="5" width="20.85546875" customWidth="1"/>
    <col min="6" max="6" width="21.5703125" customWidth="1"/>
    <col min="7" max="7" width="20.42578125" customWidth="1"/>
    <col min="8" max="8" width="16.5703125" bestFit="1" customWidth="1"/>
    <col min="9" max="9" width="6.85546875" customWidth="1"/>
    <col min="10" max="10" width="11.28515625" customWidth="1"/>
    <col min="11" max="11" width="13.85546875" customWidth="1"/>
    <col min="12" max="12" width="8.140625" customWidth="1"/>
    <col min="13" max="13" width="9.42578125" customWidth="1"/>
    <col min="14" max="14" width="8.85546875" customWidth="1"/>
    <col min="15" max="15" width="8.42578125" customWidth="1"/>
    <col min="16" max="16" width="9" customWidth="1"/>
    <col min="17" max="17" width="13" customWidth="1"/>
    <col min="18" max="18" width="11.42578125" customWidth="1"/>
    <col min="19" max="19" width="13.7109375" bestFit="1" customWidth="1"/>
  </cols>
  <sheetData>
    <row r="1" spans="1:19" x14ac:dyDescent="0.25">
      <c r="A1" t="s">
        <v>2503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2489</v>
      </c>
      <c r="H1" t="s">
        <v>1662</v>
      </c>
      <c r="I1" t="s">
        <v>5</v>
      </c>
      <c r="J1" t="s">
        <v>1663</v>
      </c>
      <c r="K1" t="s">
        <v>6</v>
      </c>
      <c r="L1" t="s">
        <v>7</v>
      </c>
      <c r="M1" t="s">
        <v>2484</v>
      </c>
      <c r="N1" t="s">
        <v>2485</v>
      </c>
      <c r="O1" t="s">
        <v>1664</v>
      </c>
      <c r="P1" t="s">
        <v>1665</v>
      </c>
      <c r="Q1" t="s">
        <v>8</v>
      </c>
      <c r="R1" t="s">
        <v>9</v>
      </c>
      <c r="S1" t="s">
        <v>10</v>
      </c>
    </row>
    <row r="2" spans="1:19" x14ac:dyDescent="0.25">
      <c r="A2">
        <v>1</v>
      </c>
      <c r="B2">
        <v>62967276</v>
      </c>
      <c r="C2" t="s">
        <v>11</v>
      </c>
      <c r="D2" t="s">
        <v>12</v>
      </c>
      <c r="E2" t="s">
        <v>13</v>
      </c>
      <c r="F2" t="s">
        <v>14</v>
      </c>
      <c r="G2" t="s">
        <v>2490</v>
      </c>
      <c r="H2" t="s">
        <v>1666</v>
      </c>
      <c r="I2">
        <v>3</v>
      </c>
      <c r="J2" t="s">
        <v>2487</v>
      </c>
      <c r="K2" t="s">
        <v>112</v>
      </c>
      <c r="L2">
        <v>232</v>
      </c>
      <c r="M2" s="2">
        <v>0.36944444444444446</v>
      </c>
      <c r="N2" s="2" t="s">
        <v>2486</v>
      </c>
      <c r="O2">
        <v>2022</v>
      </c>
      <c r="P2">
        <v>1973</v>
      </c>
      <c r="Q2" s="1">
        <v>46174</v>
      </c>
      <c r="R2" s="1">
        <v>46170</v>
      </c>
      <c r="S2" t="s">
        <v>16</v>
      </c>
    </row>
    <row r="3" spans="1:19" x14ac:dyDescent="0.25">
      <c r="A3">
        <v>2</v>
      </c>
      <c r="B3">
        <v>35906980</v>
      </c>
      <c r="C3" t="s">
        <v>21</v>
      </c>
      <c r="D3" t="s">
        <v>22</v>
      </c>
      <c r="E3" t="s">
        <v>23</v>
      </c>
      <c r="F3" t="s">
        <v>24</v>
      </c>
      <c r="H3" t="s">
        <v>1667</v>
      </c>
      <c r="I3">
        <v>3</v>
      </c>
      <c r="J3" t="s">
        <v>1668</v>
      </c>
      <c r="K3" t="s">
        <v>2488</v>
      </c>
      <c r="L3">
        <v>352</v>
      </c>
      <c r="N3" t="s">
        <v>2494</v>
      </c>
      <c r="O3">
        <v>2017</v>
      </c>
      <c r="P3">
        <v>2017</v>
      </c>
      <c r="Q3" s="1">
        <v>46170</v>
      </c>
      <c r="R3" s="1">
        <v>46154</v>
      </c>
      <c r="S3" t="s">
        <v>16</v>
      </c>
    </row>
    <row r="4" spans="1:19" x14ac:dyDescent="0.25">
      <c r="A4">
        <v>3</v>
      </c>
      <c r="B4">
        <v>13380705</v>
      </c>
      <c r="C4" t="s">
        <v>25</v>
      </c>
      <c r="D4" t="s">
        <v>26</v>
      </c>
      <c r="E4" t="s">
        <v>27</v>
      </c>
      <c r="F4" t="s">
        <v>28</v>
      </c>
      <c r="G4" t="s">
        <v>2491</v>
      </c>
      <c r="H4" t="s">
        <v>1669</v>
      </c>
      <c r="I4">
        <v>3</v>
      </c>
      <c r="J4" t="s">
        <v>2492</v>
      </c>
      <c r="K4" t="s">
        <v>112</v>
      </c>
      <c r="L4">
        <v>592</v>
      </c>
      <c r="M4" s="3">
        <v>1.0465277777777777</v>
      </c>
      <c r="N4" t="s">
        <v>2486</v>
      </c>
      <c r="O4">
        <v>2025</v>
      </c>
      <c r="P4">
        <v>2006</v>
      </c>
      <c r="Q4" s="1">
        <v>46157</v>
      </c>
      <c r="R4" s="1">
        <v>46153</v>
      </c>
      <c r="S4" t="s">
        <v>16</v>
      </c>
    </row>
    <row r="5" spans="1:19" x14ac:dyDescent="0.25">
      <c r="A5">
        <v>4</v>
      </c>
      <c r="B5">
        <v>53207116</v>
      </c>
      <c r="C5" t="s">
        <v>2497</v>
      </c>
      <c r="D5" t="s">
        <v>2493</v>
      </c>
      <c r="E5" t="s">
        <v>30</v>
      </c>
      <c r="F5" t="s">
        <v>31</v>
      </c>
      <c r="H5" t="s">
        <v>1671</v>
      </c>
      <c r="I5">
        <v>3</v>
      </c>
      <c r="J5" t="s">
        <v>1680</v>
      </c>
      <c r="K5" t="s">
        <v>2488</v>
      </c>
      <c r="L5">
        <v>224</v>
      </c>
      <c r="N5" t="s">
        <v>2494</v>
      </c>
      <c r="O5">
        <v>2025</v>
      </c>
      <c r="P5">
        <v>2020</v>
      </c>
      <c r="Q5" s="1">
        <v>46153</v>
      </c>
      <c r="R5" s="1">
        <v>46127</v>
      </c>
      <c r="S5" t="s">
        <v>16</v>
      </c>
    </row>
    <row r="6" spans="1:19" x14ac:dyDescent="0.25">
      <c r="A6">
        <v>5</v>
      </c>
      <c r="B6">
        <v>49949489</v>
      </c>
      <c r="C6" t="s">
        <v>32</v>
      </c>
      <c r="D6" t="s">
        <v>2495</v>
      </c>
      <c r="E6" t="s">
        <v>23</v>
      </c>
      <c r="F6" t="s">
        <v>24</v>
      </c>
      <c r="H6" t="s">
        <v>1672</v>
      </c>
      <c r="I6">
        <v>3</v>
      </c>
      <c r="J6" t="s">
        <v>1673</v>
      </c>
      <c r="K6" t="s">
        <v>2488</v>
      </c>
      <c r="L6">
        <v>320</v>
      </c>
      <c r="N6" t="s">
        <v>2494</v>
      </c>
      <c r="O6">
        <v>2019</v>
      </c>
      <c r="P6">
        <v>2019</v>
      </c>
      <c r="Q6" s="1">
        <v>46153</v>
      </c>
      <c r="R6" s="1">
        <v>46138</v>
      </c>
      <c r="S6" t="s">
        <v>16</v>
      </c>
    </row>
    <row r="7" spans="1:19" x14ac:dyDescent="0.25">
      <c r="A7">
        <v>6</v>
      </c>
      <c r="B7">
        <v>39807315</v>
      </c>
      <c r="C7" t="s">
        <v>33</v>
      </c>
      <c r="D7" t="s">
        <v>34</v>
      </c>
      <c r="E7" t="s">
        <v>35</v>
      </c>
      <c r="F7" t="s">
        <v>36</v>
      </c>
      <c r="G7" t="s">
        <v>2496</v>
      </c>
      <c r="H7" t="s">
        <v>1674</v>
      </c>
      <c r="I7">
        <v>3</v>
      </c>
      <c r="J7" t="s">
        <v>1714</v>
      </c>
      <c r="K7" t="s">
        <v>112</v>
      </c>
      <c r="L7">
        <v>652</v>
      </c>
      <c r="M7" s="2">
        <v>0.95625000000000004</v>
      </c>
      <c r="N7" t="s">
        <v>2486</v>
      </c>
      <c r="O7">
        <v>2025</v>
      </c>
      <c r="P7">
        <v>2017</v>
      </c>
      <c r="Q7" s="1">
        <v>46148</v>
      </c>
      <c r="R7" s="1">
        <v>46138</v>
      </c>
      <c r="S7" t="s">
        <v>16</v>
      </c>
    </row>
    <row r="8" spans="1:19" x14ac:dyDescent="0.25">
      <c r="A8">
        <v>7</v>
      </c>
      <c r="B8">
        <v>25832630</v>
      </c>
      <c r="C8" t="s">
        <v>37</v>
      </c>
      <c r="D8" t="s">
        <v>38</v>
      </c>
      <c r="E8" t="s">
        <v>23</v>
      </c>
      <c r="F8" t="s">
        <v>24</v>
      </c>
      <c r="H8" t="s">
        <v>1676</v>
      </c>
      <c r="I8">
        <v>4</v>
      </c>
      <c r="J8" t="s">
        <v>1668</v>
      </c>
      <c r="K8" t="s">
        <v>2488</v>
      </c>
      <c r="L8">
        <v>432</v>
      </c>
      <c r="N8" t="s">
        <v>2494</v>
      </c>
      <c r="O8">
        <v>2015</v>
      </c>
      <c r="P8">
        <v>2015</v>
      </c>
      <c r="Q8" s="1">
        <v>46138</v>
      </c>
      <c r="R8" s="1">
        <v>46127</v>
      </c>
      <c r="S8" t="s">
        <v>16</v>
      </c>
    </row>
    <row r="9" spans="1:19" x14ac:dyDescent="0.25">
      <c r="A9">
        <v>8</v>
      </c>
      <c r="B9">
        <v>25754537</v>
      </c>
      <c r="C9" t="s">
        <v>40</v>
      </c>
      <c r="D9" t="s">
        <v>41</v>
      </c>
      <c r="E9" t="s">
        <v>35</v>
      </c>
      <c r="F9" t="s">
        <v>36</v>
      </c>
      <c r="G9" t="s">
        <v>2496</v>
      </c>
      <c r="H9" t="s">
        <v>1677</v>
      </c>
      <c r="I9">
        <v>3</v>
      </c>
      <c r="J9" t="s">
        <v>1714</v>
      </c>
      <c r="K9" t="s">
        <v>112</v>
      </c>
      <c r="L9">
        <v>362</v>
      </c>
      <c r="M9" s="2">
        <v>0.66249999999999998</v>
      </c>
      <c r="N9" t="s">
        <v>2486</v>
      </c>
      <c r="O9">
        <v>2023</v>
      </c>
      <c r="P9">
        <v>2014</v>
      </c>
      <c r="Q9" s="1">
        <v>46133</v>
      </c>
      <c r="R9" s="1">
        <v>46133</v>
      </c>
      <c r="S9" t="s">
        <v>16</v>
      </c>
    </row>
    <row r="10" spans="1:19" x14ac:dyDescent="0.25">
      <c r="A10">
        <v>9</v>
      </c>
      <c r="B10">
        <v>22455349</v>
      </c>
      <c r="C10" t="s">
        <v>42</v>
      </c>
      <c r="D10" t="s">
        <v>43</v>
      </c>
      <c r="E10" t="s">
        <v>35</v>
      </c>
      <c r="F10" t="s">
        <v>36</v>
      </c>
      <c r="G10" t="s">
        <v>2496</v>
      </c>
      <c r="H10" t="s">
        <v>1678</v>
      </c>
      <c r="I10">
        <v>3</v>
      </c>
      <c r="J10" t="s">
        <v>1714</v>
      </c>
      <c r="K10" t="s">
        <v>112</v>
      </c>
      <c r="L10">
        <v>416</v>
      </c>
      <c r="M10" s="2">
        <v>0.58680555555555558</v>
      </c>
      <c r="N10" t="s">
        <v>2486</v>
      </c>
      <c r="O10">
        <v>2023</v>
      </c>
      <c r="P10">
        <v>2011</v>
      </c>
      <c r="Q10" s="1">
        <v>46127</v>
      </c>
      <c r="R10" s="1">
        <v>46124</v>
      </c>
      <c r="S10" t="s">
        <v>16</v>
      </c>
    </row>
    <row r="11" spans="1:19" x14ac:dyDescent="0.25">
      <c r="A11">
        <v>10</v>
      </c>
      <c r="B11">
        <v>230443664</v>
      </c>
      <c r="C11" t="s">
        <v>44</v>
      </c>
      <c r="D11" t="s">
        <v>45</v>
      </c>
      <c r="E11" t="s">
        <v>30</v>
      </c>
      <c r="F11" t="s">
        <v>31</v>
      </c>
      <c r="H11" t="s">
        <v>1679</v>
      </c>
      <c r="I11">
        <v>4</v>
      </c>
      <c r="J11" t="s">
        <v>1680</v>
      </c>
      <c r="K11" t="s">
        <v>2488</v>
      </c>
      <c r="L11">
        <v>224</v>
      </c>
      <c r="N11" t="s">
        <v>2494</v>
      </c>
      <c r="O11">
        <v>2025</v>
      </c>
      <c r="P11">
        <v>2025</v>
      </c>
      <c r="Q11" s="1">
        <v>46126</v>
      </c>
      <c r="R11" s="1">
        <v>46127</v>
      </c>
      <c r="S11" t="s">
        <v>16</v>
      </c>
    </row>
    <row r="12" spans="1:19" x14ac:dyDescent="0.25">
      <c r="A12">
        <v>11</v>
      </c>
      <c r="B12">
        <v>17989753</v>
      </c>
      <c r="C12" t="s">
        <v>46</v>
      </c>
      <c r="D12" t="s">
        <v>47</v>
      </c>
      <c r="E12" t="s">
        <v>35</v>
      </c>
      <c r="F12" t="s">
        <v>36</v>
      </c>
      <c r="G12" t="s">
        <v>2496</v>
      </c>
      <c r="H12" t="s">
        <v>1681</v>
      </c>
      <c r="I12">
        <v>3</v>
      </c>
      <c r="J12" t="s">
        <v>1714</v>
      </c>
      <c r="K12" t="s">
        <v>112</v>
      </c>
      <c r="L12">
        <v>392</v>
      </c>
      <c r="M12" s="2">
        <v>0.55486111111111114</v>
      </c>
      <c r="N12" t="s">
        <v>2486</v>
      </c>
      <c r="O12">
        <v>2023</v>
      </c>
      <c r="P12">
        <v>2009</v>
      </c>
      <c r="Q12" s="1">
        <v>46123</v>
      </c>
      <c r="R12" s="1">
        <v>46120</v>
      </c>
      <c r="S12" t="s">
        <v>16</v>
      </c>
    </row>
    <row r="13" spans="1:19" x14ac:dyDescent="0.25">
      <c r="A13">
        <v>12</v>
      </c>
      <c r="B13">
        <v>242570969</v>
      </c>
      <c r="C13" t="s">
        <v>48</v>
      </c>
      <c r="D13" t="s">
        <v>17</v>
      </c>
      <c r="E13" t="s">
        <v>49</v>
      </c>
      <c r="F13" t="s">
        <v>50</v>
      </c>
      <c r="H13" t="s">
        <v>1682</v>
      </c>
      <c r="I13">
        <v>3</v>
      </c>
      <c r="J13" t="s">
        <v>1683</v>
      </c>
      <c r="K13" t="s">
        <v>2488</v>
      </c>
      <c r="L13">
        <v>443</v>
      </c>
      <c r="N13" t="s">
        <v>2494</v>
      </c>
      <c r="O13">
        <v>2025</v>
      </c>
      <c r="P13">
        <v>2024</v>
      </c>
      <c r="Q13" s="1">
        <v>46120</v>
      </c>
      <c r="R13" s="1">
        <v>46114</v>
      </c>
      <c r="S13" t="s">
        <v>16</v>
      </c>
    </row>
    <row r="14" spans="1:19" x14ac:dyDescent="0.25">
      <c r="A14">
        <v>13</v>
      </c>
      <c r="B14">
        <v>247500252</v>
      </c>
      <c r="C14" t="s">
        <v>51</v>
      </c>
      <c r="D14" t="s">
        <v>17</v>
      </c>
      <c r="E14" t="s">
        <v>52</v>
      </c>
      <c r="F14" t="s">
        <v>53</v>
      </c>
      <c r="G14" t="s">
        <v>2498</v>
      </c>
      <c r="H14" t="s">
        <v>1684</v>
      </c>
      <c r="I14">
        <v>3</v>
      </c>
      <c r="J14" t="s">
        <v>2499</v>
      </c>
      <c r="K14" t="s">
        <v>112</v>
      </c>
      <c r="L14">
        <v>384</v>
      </c>
      <c r="M14" s="2">
        <v>0.53541666666666665</v>
      </c>
      <c r="N14" t="s">
        <v>2486</v>
      </c>
      <c r="O14">
        <v>2026</v>
      </c>
      <c r="P14">
        <v>2024</v>
      </c>
      <c r="Q14" s="1">
        <v>46116</v>
      </c>
      <c r="R14" s="1">
        <v>46115</v>
      </c>
      <c r="S14" t="s">
        <v>16</v>
      </c>
    </row>
    <row r="15" spans="1:19" x14ac:dyDescent="0.25">
      <c r="A15">
        <v>14</v>
      </c>
      <c r="B15">
        <v>54222410</v>
      </c>
      <c r="C15" t="s">
        <v>54</v>
      </c>
      <c r="D15" t="s">
        <v>17</v>
      </c>
      <c r="E15" t="s">
        <v>55</v>
      </c>
      <c r="F15" t="s">
        <v>56</v>
      </c>
      <c r="G15" t="s">
        <v>2500</v>
      </c>
      <c r="H15" t="s">
        <v>1686</v>
      </c>
      <c r="I15">
        <v>3</v>
      </c>
      <c r="J15" t="s">
        <v>1687</v>
      </c>
      <c r="K15" t="s">
        <v>112</v>
      </c>
      <c r="L15">
        <v>367</v>
      </c>
      <c r="M15" s="2">
        <v>0.34652777777777777</v>
      </c>
      <c r="N15" t="s">
        <v>2486</v>
      </c>
      <c r="O15">
        <v>2020</v>
      </c>
      <c r="P15">
        <v>2014</v>
      </c>
      <c r="Q15" s="1">
        <v>46115</v>
      </c>
      <c r="R15" s="1">
        <v>46114</v>
      </c>
      <c r="S15" t="s">
        <v>16</v>
      </c>
    </row>
    <row r="16" spans="1:19" x14ac:dyDescent="0.25">
      <c r="A16">
        <v>15</v>
      </c>
      <c r="B16">
        <v>22838047</v>
      </c>
      <c r="C16" t="s">
        <v>58</v>
      </c>
      <c r="D16" t="s">
        <v>2501</v>
      </c>
      <c r="E16" t="s">
        <v>35</v>
      </c>
      <c r="F16" t="s">
        <v>36</v>
      </c>
      <c r="G16" t="s">
        <v>2496</v>
      </c>
      <c r="H16" t="s">
        <v>1688</v>
      </c>
      <c r="I16">
        <v>3</v>
      </c>
      <c r="J16" t="s">
        <v>1714</v>
      </c>
      <c r="K16" t="s">
        <v>112</v>
      </c>
      <c r="L16">
        <v>358</v>
      </c>
      <c r="M16" s="2">
        <v>0.54861111111111116</v>
      </c>
      <c r="N16" t="s">
        <v>2486</v>
      </c>
      <c r="O16">
        <v>2023</v>
      </c>
      <c r="P16">
        <v>2008</v>
      </c>
      <c r="Q16" s="1">
        <v>46112</v>
      </c>
      <c r="R16" s="1">
        <v>46111</v>
      </c>
      <c r="S16" t="s">
        <v>16</v>
      </c>
    </row>
    <row r="17" spans="1:19" x14ac:dyDescent="0.25">
      <c r="A17">
        <v>16</v>
      </c>
      <c r="B17">
        <v>25638219</v>
      </c>
      <c r="C17" t="s">
        <v>59</v>
      </c>
      <c r="D17" t="s">
        <v>60</v>
      </c>
      <c r="E17" t="s">
        <v>35</v>
      </c>
      <c r="F17" t="s">
        <v>36</v>
      </c>
      <c r="G17" t="s">
        <v>2496</v>
      </c>
      <c r="H17" t="s">
        <v>1689</v>
      </c>
      <c r="I17">
        <v>3</v>
      </c>
      <c r="J17" t="s">
        <v>1714</v>
      </c>
      <c r="K17" t="s">
        <v>112</v>
      </c>
      <c r="L17">
        <v>430</v>
      </c>
      <c r="M17" s="2">
        <v>0.62847222222222221</v>
      </c>
      <c r="N17" t="s">
        <v>2486</v>
      </c>
      <c r="O17">
        <v>2022</v>
      </c>
      <c r="P17">
        <v>2007</v>
      </c>
      <c r="Q17" s="1">
        <v>46109</v>
      </c>
      <c r="R17" s="1">
        <v>46108</v>
      </c>
      <c r="S17" t="s">
        <v>16</v>
      </c>
    </row>
    <row r="18" spans="1:19" x14ac:dyDescent="0.25">
      <c r="A18">
        <v>17</v>
      </c>
      <c r="B18">
        <v>240935187</v>
      </c>
      <c r="C18" t="s">
        <v>61</v>
      </c>
      <c r="D18" t="s">
        <v>17</v>
      </c>
      <c r="E18" t="s">
        <v>62</v>
      </c>
      <c r="F18" t="s">
        <v>63</v>
      </c>
      <c r="H18" t="s">
        <v>1690</v>
      </c>
      <c r="I18">
        <v>2</v>
      </c>
      <c r="J18" t="s">
        <v>1668</v>
      </c>
      <c r="K18" t="s">
        <v>2488</v>
      </c>
      <c r="L18">
        <v>240</v>
      </c>
      <c r="N18" t="s">
        <v>2494</v>
      </c>
      <c r="O18">
        <v>2025</v>
      </c>
      <c r="P18">
        <v>2025</v>
      </c>
      <c r="Q18" s="1">
        <v>46108</v>
      </c>
      <c r="R18" s="1">
        <v>46105</v>
      </c>
      <c r="S18" t="s">
        <v>16</v>
      </c>
    </row>
    <row r="19" spans="1:19" x14ac:dyDescent="0.25">
      <c r="A19">
        <v>18</v>
      </c>
      <c r="B19">
        <v>23724303</v>
      </c>
      <c r="C19" t="s">
        <v>64</v>
      </c>
      <c r="D19" t="s">
        <v>2502</v>
      </c>
      <c r="E19" t="s">
        <v>35</v>
      </c>
      <c r="F19" t="s">
        <v>36</v>
      </c>
      <c r="G19" t="s">
        <v>2496</v>
      </c>
      <c r="H19" t="s">
        <v>1693</v>
      </c>
      <c r="I19">
        <v>3</v>
      </c>
      <c r="J19" t="s">
        <v>1714</v>
      </c>
      <c r="K19" t="s">
        <v>112</v>
      </c>
      <c r="L19">
        <v>349</v>
      </c>
      <c r="M19" s="2">
        <v>0.50555555555555554</v>
      </c>
      <c r="N19" t="s">
        <v>2486</v>
      </c>
      <c r="O19">
        <v>2022</v>
      </c>
      <c r="P19">
        <v>2006</v>
      </c>
      <c r="Q19" s="1">
        <v>46107</v>
      </c>
      <c r="R19" s="1">
        <v>46107</v>
      </c>
      <c r="S19" t="s">
        <v>16</v>
      </c>
    </row>
    <row r="20" spans="1:19" x14ac:dyDescent="0.25">
      <c r="A20">
        <v>19</v>
      </c>
      <c r="B20">
        <v>10451655</v>
      </c>
      <c r="C20" t="s">
        <v>65</v>
      </c>
      <c r="D20" t="s">
        <v>66</v>
      </c>
      <c r="E20" t="s">
        <v>35</v>
      </c>
      <c r="F20" t="s">
        <v>36</v>
      </c>
      <c r="G20" t="s">
        <v>2496</v>
      </c>
      <c r="H20" t="str">
        <f>"9788026716181"</f>
        <v>9788026716181</v>
      </c>
      <c r="I20">
        <v>3</v>
      </c>
      <c r="J20" t="s">
        <v>1714</v>
      </c>
      <c r="K20" t="s">
        <v>112</v>
      </c>
      <c r="L20">
        <v>416</v>
      </c>
      <c r="M20" s="2">
        <v>0.59652777777777777</v>
      </c>
      <c r="N20" t="s">
        <v>2486</v>
      </c>
      <c r="O20">
        <v>2022</v>
      </c>
      <c r="P20">
        <v>2005</v>
      </c>
      <c r="Q20" s="1">
        <v>46105</v>
      </c>
      <c r="R20" s="1">
        <v>46104</v>
      </c>
      <c r="S20" t="s">
        <v>16</v>
      </c>
    </row>
    <row r="21" spans="1:19" x14ac:dyDescent="0.25">
      <c r="A21">
        <v>20</v>
      </c>
      <c r="B21">
        <v>220821554</v>
      </c>
      <c r="C21" t="s">
        <v>67</v>
      </c>
      <c r="D21" t="s">
        <v>68</v>
      </c>
      <c r="E21" t="s">
        <v>30</v>
      </c>
      <c r="F21" t="s">
        <v>31</v>
      </c>
      <c r="H21" t="s">
        <v>1694</v>
      </c>
      <c r="I21">
        <v>3</v>
      </c>
      <c r="J21" t="s">
        <v>1680</v>
      </c>
      <c r="K21" t="s">
        <v>2488</v>
      </c>
      <c r="L21">
        <v>200</v>
      </c>
      <c r="N21" t="s">
        <v>2494</v>
      </c>
      <c r="O21">
        <v>2024</v>
      </c>
      <c r="P21">
        <v>2019</v>
      </c>
      <c r="Q21" s="1">
        <v>46105</v>
      </c>
      <c r="R21" s="1">
        <v>46080</v>
      </c>
      <c r="S21" t="s">
        <v>16</v>
      </c>
    </row>
    <row r="22" spans="1:19" x14ac:dyDescent="0.25">
      <c r="A22">
        <v>21</v>
      </c>
      <c r="B22">
        <v>236902029</v>
      </c>
      <c r="C22" t="s">
        <v>69</v>
      </c>
      <c r="D22" t="s">
        <v>17</v>
      </c>
      <c r="E22" t="s">
        <v>70</v>
      </c>
      <c r="F22" t="s">
        <v>71</v>
      </c>
      <c r="H22" t="s">
        <v>1695</v>
      </c>
      <c r="I22">
        <v>3</v>
      </c>
      <c r="J22" t="s">
        <v>1668</v>
      </c>
      <c r="K22" t="s">
        <v>2488</v>
      </c>
      <c r="L22">
        <v>352</v>
      </c>
      <c r="N22" t="s">
        <v>2494</v>
      </c>
      <c r="O22">
        <v>2025</v>
      </c>
      <c r="P22">
        <v>2024</v>
      </c>
      <c r="Q22" s="1">
        <v>46104</v>
      </c>
      <c r="R22" s="1">
        <v>46099</v>
      </c>
      <c r="S22" t="s">
        <v>16</v>
      </c>
    </row>
    <row r="23" spans="1:19" x14ac:dyDescent="0.25">
      <c r="A23">
        <v>22</v>
      </c>
      <c r="B23">
        <v>10451733</v>
      </c>
      <c r="C23" t="s">
        <v>72</v>
      </c>
      <c r="D23" t="s">
        <v>73</v>
      </c>
      <c r="E23" t="s">
        <v>35</v>
      </c>
      <c r="F23" t="s">
        <v>36</v>
      </c>
      <c r="G23" t="s">
        <v>2496</v>
      </c>
      <c r="H23" t="s">
        <v>1696</v>
      </c>
      <c r="I23">
        <v>3</v>
      </c>
      <c r="J23" t="s">
        <v>1714</v>
      </c>
      <c r="K23" t="s">
        <v>112</v>
      </c>
      <c r="L23">
        <v>368</v>
      </c>
      <c r="M23" s="2">
        <v>0.50694444444444442</v>
      </c>
      <c r="N23" t="s">
        <v>2486</v>
      </c>
      <c r="O23">
        <v>2022</v>
      </c>
      <c r="P23">
        <v>2004</v>
      </c>
      <c r="Q23" s="1">
        <v>46102</v>
      </c>
      <c r="R23" s="1">
        <v>46100</v>
      </c>
      <c r="S23" t="s">
        <v>16</v>
      </c>
    </row>
    <row r="24" spans="1:19" x14ac:dyDescent="0.25">
      <c r="A24">
        <v>23</v>
      </c>
      <c r="B24">
        <v>232171468</v>
      </c>
      <c r="C24" t="s">
        <v>74</v>
      </c>
      <c r="D24" t="s">
        <v>17</v>
      </c>
      <c r="E24" t="s">
        <v>75</v>
      </c>
      <c r="F24" t="s">
        <v>76</v>
      </c>
      <c r="H24" t="str">
        <f>"9788082303332"</f>
        <v>9788082303332</v>
      </c>
      <c r="I24">
        <v>4</v>
      </c>
      <c r="J24" t="s">
        <v>1697</v>
      </c>
      <c r="K24" t="s">
        <v>2488</v>
      </c>
      <c r="L24">
        <v>408</v>
      </c>
      <c r="N24" t="s">
        <v>2494</v>
      </c>
      <c r="O24">
        <v>2025</v>
      </c>
      <c r="P24">
        <v>2024</v>
      </c>
      <c r="Q24" s="1">
        <v>46100</v>
      </c>
      <c r="R24" s="1">
        <v>46029</v>
      </c>
      <c r="S24" t="s">
        <v>16</v>
      </c>
    </row>
    <row r="25" spans="1:19" x14ac:dyDescent="0.25">
      <c r="A25">
        <v>24</v>
      </c>
      <c r="B25">
        <v>10451760</v>
      </c>
      <c r="C25" t="s">
        <v>77</v>
      </c>
      <c r="D25" t="s">
        <v>78</v>
      </c>
      <c r="E25" t="s">
        <v>35</v>
      </c>
      <c r="F25" t="s">
        <v>36</v>
      </c>
      <c r="G25" t="s">
        <v>2496</v>
      </c>
      <c r="H25" t="s">
        <v>1698</v>
      </c>
      <c r="I25">
        <v>3</v>
      </c>
      <c r="J25" t="s">
        <v>1714</v>
      </c>
      <c r="K25" t="s">
        <v>112</v>
      </c>
      <c r="L25">
        <v>320</v>
      </c>
      <c r="M25" s="2">
        <v>0.48194444444444445</v>
      </c>
      <c r="N25" t="s">
        <v>2486</v>
      </c>
      <c r="O25">
        <v>2022</v>
      </c>
      <c r="P25">
        <v>2003</v>
      </c>
      <c r="Q25" s="1">
        <v>46095</v>
      </c>
      <c r="R25" s="1">
        <v>46087</v>
      </c>
      <c r="S25" t="s">
        <v>16</v>
      </c>
    </row>
    <row r="26" spans="1:19" x14ac:dyDescent="0.25">
      <c r="A26">
        <v>25</v>
      </c>
      <c r="B26">
        <v>232554957</v>
      </c>
      <c r="C26" t="s">
        <v>2504</v>
      </c>
      <c r="D26" t="s">
        <v>79</v>
      </c>
      <c r="E26" t="s">
        <v>80</v>
      </c>
      <c r="F26" t="s">
        <v>81</v>
      </c>
      <c r="H26" t="s">
        <v>1699</v>
      </c>
      <c r="I26">
        <v>3</v>
      </c>
      <c r="J26" t="s">
        <v>1700</v>
      </c>
      <c r="K26" t="s">
        <v>2488</v>
      </c>
      <c r="L26">
        <v>360</v>
      </c>
      <c r="N26" t="s">
        <v>2494</v>
      </c>
      <c r="O26">
        <v>2025</v>
      </c>
      <c r="P26">
        <v>2024</v>
      </c>
      <c r="Q26" s="1">
        <v>46089</v>
      </c>
      <c r="R26" s="1">
        <v>46079</v>
      </c>
      <c r="S26" t="s">
        <v>16</v>
      </c>
    </row>
    <row r="27" spans="1:19" x14ac:dyDescent="0.25">
      <c r="A27">
        <v>26</v>
      </c>
      <c r="B27">
        <v>52732123</v>
      </c>
      <c r="C27" t="s">
        <v>2505</v>
      </c>
      <c r="D27" t="s">
        <v>17</v>
      </c>
      <c r="E27" t="s">
        <v>82</v>
      </c>
      <c r="F27" t="s">
        <v>83</v>
      </c>
      <c r="G27" t="s">
        <v>2506</v>
      </c>
      <c r="H27" t="s">
        <v>1701</v>
      </c>
      <c r="I27">
        <v>3</v>
      </c>
      <c r="J27" t="s">
        <v>2492</v>
      </c>
      <c r="K27" t="s">
        <v>112</v>
      </c>
      <c r="L27">
        <v>404</v>
      </c>
      <c r="M27" s="2">
        <v>0.69305555555555554</v>
      </c>
      <c r="N27" t="s">
        <v>2486</v>
      </c>
      <c r="O27">
        <v>2019</v>
      </c>
      <c r="P27">
        <v>2018</v>
      </c>
      <c r="Q27" s="1">
        <v>46087</v>
      </c>
      <c r="R27" s="1">
        <v>46047</v>
      </c>
      <c r="S27" t="s">
        <v>16</v>
      </c>
    </row>
    <row r="28" spans="1:19" x14ac:dyDescent="0.25">
      <c r="A28">
        <v>27</v>
      </c>
      <c r="B28">
        <v>43890480</v>
      </c>
      <c r="C28" t="s">
        <v>2507</v>
      </c>
      <c r="D28" t="s">
        <v>17</v>
      </c>
      <c r="E28" t="s">
        <v>84</v>
      </c>
      <c r="F28" t="s">
        <v>85</v>
      </c>
      <c r="H28" t="str">
        <f>"9788080907259"</f>
        <v>9788080907259</v>
      </c>
      <c r="I28">
        <v>4</v>
      </c>
      <c r="J28" t="s">
        <v>2508</v>
      </c>
      <c r="K28" t="s">
        <v>2488</v>
      </c>
      <c r="L28">
        <v>124</v>
      </c>
      <c r="N28" t="s">
        <v>2494</v>
      </c>
      <c r="O28">
        <v>2024</v>
      </c>
      <c r="P28">
        <v>2011</v>
      </c>
      <c r="Q28" s="1">
        <v>46078</v>
      </c>
      <c r="R28" s="1">
        <v>46068</v>
      </c>
      <c r="S28" t="s">
        <v>16</v>
      </c>
    </row>
    <row r="29" spans="1:19" x14ac:dyDescent="0.25">
      <c r="A29">
        <v>28</v>
      </c>
      <c r="B29">
        <v>244657672</v>
      </c>
      <c r="C29" t="s">
        <v>86</v>
      </c>
      <c r="D29" t="s">
        <v>17</v>
      </c>
      <c r="E29" t="s">
        <v>87</v>
      </c>
      <c r="F29" t="s">
        <v>88</v>
      </c>
      <c r="H29" t="s">
        <v>1702</v>
      </c>
      <c r="I29">
        <v>5</v>
      </c>
      <c r="J29" t="s">
        <v>1703</v>
      </c>
      <c r="K29" t="s">
        <v>2488</v>
      </c>
      <c r="L29">
        <v>384</v>
      </c>
      <c r="N29" t="s">
        <v>2494</v>
      </c>
      <c r="O29">
        <v>2025</v>
      </c>
      <c r="P29">
        <v>2025</v>
      </c>
      <c r="Q29" s="1">
        <v>46077</v>
      </c>
      <c r="R29" s="1">
        <v>46071</v>
      </c>
      <c r="S29" t="s">
        <v>16</v>
      </c>
    </row>
    <row r="30" spans="1:19" x14ac:dyDescent="0.25">
      <c r="A30">
        <v>29</v>
      </c>
      <c r="B30">
        <v>54589749</v>
      </c>
      <c r="C30" t="s">
        <v>2509</v>
      </c>
      <c r="D30" t="s">
        <v>89</v>
      </c>
      <c r="E30" t="s">
        <v>90</v>
      </c>
      <c r="F30" t="s">
        <v>91</v>
      </c>
      <c r="G30" t="s">
        <v>2510</v>
      </c>
      <c r="H30" t="s">
        <v>1704</v>
      </c>
      <c r="I30">
        <v>3</v>
      </c>
      <c r="J30" t="s">
        <v>1714</v>
      </c>
      <c r="K30" t="s">
        <v>112</v>
      </c>
      <c r="L30">
        <v>342</v>
      </c>
      <c r="M30" s="2">
        <v>0.49861111111111112</v>
      </c>
      <c r="N30" t="s">
        <v>2486</v>
      </c>
      <c r="O30">
        <v>2023</v>
      </c>
      <c r="P30">
        <v>2021</v>
      </c>
      <c r="Q30" s="1">
        <v>46076</v>
      </c>
      <c r="R30" s="1">
        <v>46067</v>
      </c>
      <c r="S30" t="s">
        <v>16</v>
      </c>
    </row>
    <row r="31" spans="1:19" x14ac:dyDescent="0.25">
      <c r="A31">
        <v>30</v>
      </c>
      <c r="B31">
        <v>200705151</v>
      </c>
      <c r="C31" t="s">
        <v>92</v>
      </c>
      <c r="D31" t="s">
        <v>93</v>
      </c>
      <c r="E31" t="s">
        <v>94</v>
      </c>
      <c r="F31" t="s">
        <v>95</v>
      </c>
      <c r="H31" t="s">
        <v>1705</v>
      </c>
      <c r="I31">
        <v>2</v>
      </c>
      <c r="J31" t="s">
        <v>2511</v>
      </c>
      <c r="K31" t="s">
        <v>57</v>
      </c>
      <c r="L31">
        <v>344</v>
      </c>
      <c r="N31" t="s">
        <v>2486</v>
      </c>
      <c r="O31">
        <v>2025</v>
      </c>
      <c r="P31">
        <v>2022</v>
      </c>
      <c r="Q31" s="1">
        <v>46070</v>
      </c>
      <c r="R31" s="1">
        <v>46042</v>
      </c>
      <c r="S31" t="s">
        <v>16</v>
      </c>
    </row>
    <row r="32" spans="1:19" x14ac:dyDescent="0.25">
      <c r="A32">
        <v>31</v>
      </c>
      <c r="B32">
        <v>195430687</v>
      </c>
      <c r="C32" t="s">
        <v>96</v>
      </c>
      <c r="D32" t="s">
        <v>17</v>
      </c>
      <c r="E32" t="s">
        <v>97</v>
      </c>
      <c r="F32" t="s">
        <v>98</v>
      </c>
      <c r="H32" t="s">
        <v>1706</v>
      </c>
      <c r="I32">
        <v>3</v>
      </c>
      <c r="J32" t="s">
        <v>2097</v>
      </c>
      <c r="K32" t="s">
        <v>2488</v>
      </c>
      <c r="L32">
        <v>352</v>
      </c>
      <c r="N32" t="s">
        <v>2494</v>
      </c>
      <c r="O32">
        <v>2025</v>
      </c>
      <c r="P32">
        <v>2024</v>
      </c>
      <c r="Q32" s="1">
        <v>46068</v>
      </c>
      <c r="R32" s="1">
        <v>46065</v>
      </c>
      <c r="S32" t="s">
        <v>16</v>
      </c>
    </row>
    <row r="33" spans="1:19" x14ac:dyDescent="0.25">
      <c r="A33">
        <v>32</v>
      </c>
      <c r="B33">
        <v>49127523</v>
      </c>
      <c r="C33" t="s">
        <v>2512</v>
      </c>
      <c r="D33" t="s">
        <v>99</v>
      </c>
      <c r="E33" t="s">
        <v>90</v>
      </c>
      <c r="F33" t="s">
        <v>91</v>
      </c>
      <c r="G33" t="s">
        <v>2510</v>
      </c>
      <c r="H33" t="s">
        <v>1707</v>
      </c>
      <c r="I33">
        <v>3</v>
      </c>
      <c r="J33" t="s">
        <v>1714</v>
      </c>
      <c r="K33" t="s">
        <v>112</v>
      </c>
      <c r="L33">
        <v>295</v>
      </c>
      <c r="M33" s="2">
        <v>0.4465277777777778</v>
      </c>
      <c r="N33" t="s">
        <v>2486</v>
      </c>
      <c r="O33">
        <v>2022</v>
      </c>
      <c r="P33">
        <v>2020</v>
      </c>
      <c r="Q33" s="1">
        <v>46067</v>
      </c>
      <c r="R33" s="1">
        <v>46060</v>
      </c>
      <c r="S33" t="s">
        <v>16</v>
      </c>
    </row>
    <row r="34" spans="1:19" x14ac:dyDescent="0.25">
      <c r="A34">
        <v>33</v>
      </c>
      <c r="B34">
        <v>43263542</v>
      </c>
      <c r="C34" t="s">
        <v>2513</v>
      </c>
      <c r="D34" t="s">
        <v>100</v>
      </c>
      <c r="E34" t="s">
        <v>90</v>
      </c>
      <c r="F34" t="s">
        <v>91</v>
      </c>
      <c r="G34" t="s">
        <v>2510</v>
      </c>
      <c r="H34" t="s">
        <v>1708</v>
      </c>
      <c r="I34">
        <v>3</v>
      </c>
      <c r="J34" t="s">
        <v>1714</v>
      </c>
      <c r="K34" t="s">
        <v>112</v>
      </c>
      <c r="L34">
        <v>320</v>
      </c>
      <c r="M34" s="2">
        <v>0.52083333333333337</v>
      </c>
      <c r="N34" t="s">
        <v>2486</v>
      </c>
      <c r="O34">
        <v>2022</v>
      </c>
      <c r="P34">
        <v>2019</v>
      </c>
      <c r="Q34" s="1">
        <v>46060</v>
      </c>
      <c r="R34" s="1">
        <v>46057</v>
      </c>
      <c r="S34" t="s">
        <v>16</v>
      </c>
    </row>
    <row r="35" spans="1:19" x14ac:dyDescent="0.25">
      <c r="A35">
        <v>34</v>
      </c>
      <c r="B35">
        <v>60542255</v>
      </c>
      <c r="C35" t="s">
        <v>101</v>
      </c>
      <c r="D35" t="s">
        <v>17</v>
      </c>
      <c r="E35" t="s">
        <v>102</v>
      </c>
      <c r="F35" t="s">
        <v>103</v>
      </c>
      <c r="H35" t="s">
        <v>1709</v>
      </c>
      <c r="I35">
        <v>3</v>
      </c>
      <c r="J35" t="s">
        <v>1710</v>
      </c>
      <c r="K35" t="s">
        <v>2488</v>
      </c>
      <c r="L35">
        <v>248</v>
      </c>
      <c r="N35" t="s">
        <v>2494</v>
      </c>
      <c r="O35">
        <v>2018</v>
      </c>
      <c r="P35">
        <v>2012</v>
      </c>
      <c r="Q35" s="1">
        <v>46059</v>
      </c>
      <c r="R35" s="1">
        <v>46057</v>
      </c>
      <c r="S35" t="s">
        <v>16</v>
      </c>
    </row>
    <row r="36" spans="1:19" x14ac:dyDescent="0.25">
      <c r="A36">
        <v>35</v>
      </c>
      <c r="B36">
        <v>29241855</v>
      </c>
      <c r="C36" t="s">
        <v>2514</v>
      </c>
      <c r="D36" t="s">
        <v>104</v>
      </c>
      <c r="E36" t="s">
        <v>90</v>
      </c>
      <c r="F36" t="s">
        <v>91</v>
      </c>
      <c r="G36" t="s">
        <v>2515</v>
      </c>
      <c r="H36" t="str">
        <f>"9788075887313"</f>
        <v>9788075887313</v>
      </c>
      <c r="I36">
        <v>3</v>
      </c>
      <c r="J36" t="s">
        <v>1714</v>
      </c>
      <c r="K36" t="s">
        <v>112</v>
      </c>
      <c r="L36">
        <v>416</v>
      </c>
      <c r="M36" s="2">
        <v>0.66388888888888886</v>
      </c>
      <c r="N36" t="s">
        <v>2486</v>
      </c>
      <c r="O36">
        <v>2022</v>
      </c>
      <c r="P36">
        <v>2016</v>
      </c>
      <c r="Q36" s="1">
        <v>46056</v>
      </c>
      <c r="R36" s="1">
        <v>46054</v>
      </c>
      <c r="S36" t="s">
        <v>16</v>
      </c>
    </row>
    <row r="37" spans="1:19" x14ac:dyDescent="0.25">
      <c r="A37">
        <v>36</v>
      </c>
      <c r="B37">
        <v>25671861</v>
      </c>
      <c r="C37" t="s">
        <v>2516</v>
      </c>
      <c r="D37" t="s">
        <v>105</v>
      </c>
      <c r="E37" t="s">
        <v>90</v>
      </c>
      <c r="F37" t="s">
        <v>91</v>
      </c>
      <c r="G37" t="s">
        <v>2515</v>
      </c>
      <c r="H37" t="s">
        <v>1711</v>
      </c>
      <c r="I37">
        <v>3</v>
      </c>
      <c r="J37" t="s">
        <v>1714</v>
      </c>
      <c r="K37" t="s">
        <v>112</v>
      </c>
      <c r="L37">
        <v>404</v>
      </c>
      <c r="M37" s="2">
        <v>0.65277777777777779</v>
      </c>
      <c r="N37" t="s">
        <v>2486</v>
      </c>
      <c r="O37">
        <v>2022</v>
      </c>
      <c r="P37">
        <v>2016</v>
      </c>
      <c r="Q37" s="1">
        <v>46049</v>
      </c>
      <c r="R37" s="1">
        <v>46039</v>
      </c>
      <c r="S37" t="s">
        <v>16</v>
      </c>
    </row>
    <row r="38" spans="1:19" x14ac:dyDescent="0.25">
      <c r="A38">
        <v>37</v>
      </c>
      <c r="B38">
        <v>55262523</v>
      </c>
      <c r="C38" t="s">
        <v>108</v>
      </c>
      <c r="D38" t="s">
        <v>17</v>
      </c>
      <c r="E38" t="s">
        <v>94</v>
      </c>
      <c r="F38" t="s">
        <v>95</v>
      </c>
      <c r="H38" t="str">
        <f>"9788028411152"</f>
        <v>9788028411152</v>
      </c>
      <c r="I38">
        <v>3</v>
      </c>
      <c r="J38" t="s">
        <v>2511</v>
      </c>
      <c r="K38" t="s">
        <v>57</v>
      </c>
      <c r="L38">
        <v>296</v>
      </c>
      <c r="N38" t="s">
        <v>2486</v>
      </c>
      <c r="O38">
        <v>2025</v>
      </c>
      <c r="P38">
        <v>2014</v>
      </c>
      <c r="Q38" s="1">
        <v>46039</v>
      </c>
      <c r="R38" s="1">
        <v>46032</v>
      </c>
      <c r="S38" t="s">
        <v>16</v>
      </c>
    </row>
    <row r="39" spans="1:19" x14ac:dyDescent="0.25">
      <c r="A39">
        <v>38</v>
      </c>
      <c r="B39">
        <v>21853645</v>
      </c>
      <c r="C39" t="s">
        <v>2517</v>
      </c>
      <c r="D39" t="s">
        <v>109</v>
      </c>
      <c r="E39" t="s">
        <v>90</v>
      </c>
      <c r="F39" t="s">
        <v>91</v>
      </c>
      <c r="G39" t="s">
        <v>2515</v>
      </c>
      <c r="H39" t="s">
        <v>1713</v>
      </c>
      <c r="I39">
        <v>4</v>
      </c>
      <c r="J39" t="s">
        <v>1714</v>
      </c>
      <c r="K39" t="s">
        <v>112</v>
      </c>
      <c r="L39">
        <v>400</v>
      </c>
      <c r="M39" s="2">
        <v>0.66111111111111109</v>
      </c>
      <c r="N39" t="s">
        <v>2486</v>
      </c>
      <c r="O39">
        <v>2022</v>
      </c>
      <c r="P39">
        <v>2015</v>
      </c>
      <c r="Q39" s="1">
        <v>46039</v>
      </c>
      <c r="R39" s="1">
        <v>46037</v>
      </c>
      <c r="S39" t="s">
        <v>16</v>
      </c>
    </row>
    <row r="40" spans="1:19" x14ac:dyDescent="0.25">
      <c r="A40">
        <v>39</v>
      </c>
      <c r="B40">
        <v>60483417</v>
      </c>
      <c r="C40" t="s">
        <v>110</v>
      </c>
      <c r="D40" t="s">
        <v>111</v>
      </c>
      <c r="E40" t="s">
        <v>90</v>
      </c>
      <c r="F40" t="s">
        <v>91</v>
      </c>
      <c r="G40" t="s">
        <v>2515</v>
      </c>
      <c r="H40" t="str">
        <f>"9788075885302"</f>
        <v>9788075885302</v>
      </c>
      <c r="I40">
        <v>3</v>
      </c>
      <c r="J40" t="s">
        <v>1714</v>
      </c>
      <c r="K40" t="s">
        <v>112</v>
      </c>
      <c r="L40">
        <v>456</v>
      </c>
      <c r="N40" t="s">
        <v>2486</v>
      </c>
      <c r="O40">
        <v>2022</v>
      </c>
      <c r="P40">
        <v>2014</v>
      </c>
      <c r="Q40" s="1">
        <v>46037</v>
      </c>
      <c r="R40" s="1">
        <v>46033</v>
      </c>
      <c r="S40" t="s">
        <v>16</v>
      </c>
    </row>
    <row r="41" spans="1:19" x14ac:dyDescent="0.25">
      <c r="A41">
        <v>40</v>
      </c>
      <c r="B41">
        <v>235303092</v>
      </c>
      <c r="C41" t="s">
        <v>113</v>
      </c>
      <c r="D41" t="s">
        <v>17</v>
      </c>
      <c r="E41" t="s">
        <v>114</v>
      </c>
      <c r="F41" t="s">
        <v>115</v>
      </c>
      <c r="H41" t="s">
        <v>1715</v>
      </c>
      <c r="I41">
        <v>4</v>
      </c>
      <c r="J41" t="s">
        <v>1680</v>
      </c>
      <c r="K41" t="s">
        <v>2488</v>
      </c>
      <c r="L41">
        <v>168</v>
      </c>
      <c r="N41" t="s">
        <v>2494</v>
      </c>
      <c r="O41">
        <v>2025</v>
      </c>
      <c r="P41">
        <v>2025</v>
      </c>
      <c r="Q41" s="1">
        <v>46033</v>
      </c>
      <c r="R41" s="1">
        <v>46031</v>
      </c>
      <c r="S41" t="s">
        <v>16</v>
      </c>
    </row>
    <row r="42" spans="1:19" x14ac:dyDescent="0.25">
      <c r="A42">
        <v>41</v>
      </c>
      <c r="B42">
        <v>60474202</v>
      </c>
      <c r="C42" t="s">
        <v>116</v>
      </c>
      <c r="D42" t="s">
        <v>117</v>
      </c>
      <c r="E42" t="s">
        <v>90</v>
      </c>
      <c r="F42" t="s">
        <v>91</v>
      </c>
      <c r="G42" t="s">
        <v>2515</v>
      </c>
      <c r="H42" t="str">
        <f>"9788075884459"</f>
        <v>9788075884459</v>
      </c>
      <c r="I42">
        <v>3</v>
      </c>
      <c r="J42" t="s">
        <v>1714</v>
      </c>
      <c r="K42" t="s">
        <v>112</v>
      </c>
      <c r="L42">
        <v>448</v>
      </c>
      <c r="M42" s="2">
        <v>0.59444444444444444</v>
      </c>
      <c r="N42" t="s">
        <v>2486</v>
      </c>
      <c r="O42">
        <v>2022</v>
      </c>
      <c r="P42">
        <v>2013</v>
      </c>
      <c r="Q42" s="1">
        <v>46033</v>
      </c>
      <c r="R42" s="1">
        <v>46030</v>
      </c>
      <c r="S42" t="s">
        <v>16</v>
      </c>
    </row>
    <row r="43" spans="1:19" x14ac:dyDescent="0.25">
      <c r="A43">
        <v>42</v>
      </c>
      <c r="B43">
        <v>11371813</v>
      </c>
      <c r="C43" t="s">
        <v>118</v>
      </c>
      <c r="D43" t="s">
        <v>119</v>
      </c>
      <c r="E43" t="s">
        <v>39</v>
      </c>
      <c r="F43" t="s">
        <v>120</v>
      </c>
      <c r="H43" t="s">
        <v>1716</v>
      </c>
      <c r="I43">
        <v>4</v>
      </c>
      <c r="J43" t="s">
        <v>1668</v>
      </c>
      <c r="K43" t="s">
        <v>2488</v>
      </c>
      <c r="L43">
        <v>511</v>
      </c>
      <c r="N43" t="s">
        <v>2494</v>
      </c>
      <c r="O43">
        <v>2009</v>
      </c>
      <c r="P43">
        <v>2007</v>
      </c>
      <c r="Q43" s="1">
        <v>46031</v>
      </c>
      <c r="R43" s="1">
        <v>46008</v>
      </c>
      <c r="S43" t="s">
        <v>16</v>
      </c>
    </row>
    <row r="44" spans="1:19" x14ac:dyDescent="0.25">
      <c r="A44">
        <v>43</v>
      </c>
      <c r="B44">
        <v>241307971</v>
      </c>
      <c r="C44" t="s">
        <v>123</v>
      </c>
      <c r="D44" t="s">
        <v>124</v>
      </c>
      <c r="E44" t="s">
        <v>125</v>
      </c>
      <c r="F44" t="s">
        <v>126</v>
      </c>
      <c r="G44" t="s">
        <v>2518</v>
      </c>
      <c r="H44" t="s">
        <v>1717</v>
      </c>
      <c r="I44">
        <v>3</v>
      </c>
      <c r="J44" t="s">
        <v>2519</v>
      </c>
      <c r="K44" t="s">
        <v>112</v>
      </c>
      <c r="L44">
        <v>736</v>
      </c>
      <c r="M44" s="2">
        <v>0.95763888888888893</v>
      </c>
      <c r="N44" t="s">
        <v>2494</v>
      </c>
      <c r="O44">
        <v>2025</v>
      </c>
      <c r="P44">
        <v>2025</v>
      </c>
      <c r="Q44" s="1">
        <v>46029</v>
      </c>
      <c r="R44" s="1">
        <v>46022</v>
      </c>
      <c r="S44" t="s">
        <v>16</v>
      </c>
    </row>
    <row r="45" spans="1:19" x14ac:dyDescent="0.25">
      <c r="A45">
        <v>44</v>
      </c>
      <c r="B45">
        <v>29338611</v>
      </c>
      <c r="C45" t="s">
        <v>129</v>
      </c>
      <c r="D45" t="s">
        <v>130</v>
      </c>
      <c r="E45" t="s">
        <v>127</v>
      </c>
      <c r="F45" t="s">
        <v>128</v>
      </c>
      <c r="H45" t="s">
        <v>1718</v>
      </c>
      <c r="I45">
        <v>2</v>
      </c>
      <c r="J45" t="s">
        <v>1719</v>
      </c>
      <c r="K45" t="s">
        <v>57</v>
      </c>
      <c r="L45">
        <v>536</v>
      </c>
      <c r="N45" t="s">
        <v>2486</v>
      </c>
      <c r="O45">
        <v>2016</v>
      </c>
      <c r="P45">
        <v>2014</v>
      </c>
      <c r="Q45" s="1">
        <v>46024</v>
      </c>
      <c r="R45" s="1">
        <v>45898</v>
      </c>
      <c r="S45" t="s">
        <v>16</v>
      </c>
    </row>
    <row r="46" spans="1:19" x14ac:dyDescent="0.25">
      <c r="A46">
        <v>45</v>
      </c>
      <c r="B46">
        <v>243102569</v>
      </c>
      <c r="C46" t="s">
        <v>131</v>
      </c>
      <c r="D46" t="s">
        <v>132</v>
      </c>
      <c r="E46" t="s">
        <v>133</v>
      </c>
      <c r="F46" t="s">
        <v>134</v>
      </c>
      <c r="H46" t="s">
        <v>1720</v>
      </c>
      <c r="I46">
        <v>4</v>
      </c>
      <c r="J46" t="s">
        <v>1668</v>
      </c>
      <c r="K46" t="s">
        <v>2488</v>
      </c>
      <c r="L46">
        <v>440</v>
      </c>
      <c r="N46" t="s">
        <v>2494</v>
      </c>
      <c r="O46">
        <v>2025</v>
      </c>
      <c r="P46">
        <v>2024</v>
      </c>
      <c r="Q46" s="1">
        <v>46024</v>
      </c>
      <c r="R46" s="1">
        <v>46021</v>
      </c>
      <c r="S46" t="s">
        <v>16</v>
      </c>
    </row>
    <row r="47" spans="1:19" x14ac:dyDescent="0.25">
      <c r="A47">
        <v>46</v>
      </c>
      <c r="B47">
        <v>218427979</v>
      </c>
      <c r="C47" t="s">
        <v>135</v>
      </c>
      <c r="D47" t="s">
        <v>136</v>
      </c>
      <c r="E47" t="s">
        <v>80</v>
      </c>
      <c r="F47" t="s">
        <v>81</v>
      </c>
      <c r="H47" t="s">
        <v>1721</v>
      </c>
      <c r="I47">
        <v>3</v>
      </c>
      <c r="J47" t="s">
        <v>1700</v>
      </c>
      <c r="K47" t="s">
        <v>2488</v>
      </c>
      <c r="L47">
        <v>528</v>
      </c>
      <c r="N47" t="s">
        <v>2494</v>
      </c>
      <c r="O47">
        <v>2024</v>
      </c>
      <c r="P47">
        <v>2023</v>
      </c>
      <c r="Q47" s="1">
        <v>45995</v>
      </c>
      <c r="R47" s="1">
        <v>45976</v>
      </c>
      <c r="S47" t="s">
        <v>16</v>
      </c>
    </row>
    <row r="48" spans="1:19" x14ac:dyDescent="0.25">
      <c r="A48">
        <v>47</v>
      </c>
      <c r="B48">
        <v>241234546</v>
      </c>
      <c r="C48" t="s">
        <v>137</v>
      </c>
      <c r="D48" t="s">
        <v>17</v>
      </c>
      <c r="E48" t="s">
        <v>138</v>
      </c>
      <c r="F48" t="s">
        <v>139</v>
      </c>
      <c r="H48" t="s">
        <v>1722</v>
      </c>
      <c r="I48">
        <v>5</v>
      </c>
      <c r="J48" t="s">
        <v>1723</v>
      </c>
      <c r="K48" t="s">
        <v>2488</v>
      </c>
      <c r="L48">
        <v>240</v>
      </c>
      <c r="N48" t="s">
        <v>2494</v>
      </c>
      <c r="O48">
        <v>2025</v>
      </c>
      <c r="P48">
        <v>2025</v>
      </c>
      <c r="Q48" s="1">
        <v>45985</v>
      </c>
      <c r="R48" s="1">
        <v>45963</v>
      </c>
      <c r="S48" t="s">
        <v>16</v>
      </c>
    </row>
    <row r="49" spans="1:19" x14ac:dyDescent="0.25">
      <c r="A49">
        <v>48</v>
      </c>
      <c r="B49">
        <v>231389589</v>
      </c>
      <c r="C49" t="s">
        <v>140</v>
      </c>
      <c r="D49" t="s">
        <v>17</v>
      </c>
      <c r="E49" t="s">
        <v>141</v>
      </c>
      <c r="F49" t="s">
        <v>142</v>
      </c>
      <c r="G49" t="s">
        <v>2520</v>
      </c>
      <c r="H49" t="s">
        <v>1724</v>
      </c>
      <c r="I49">
        <v>3</v>
      </c>
      <c r="J49" t="s">
        <v>1725</v>
      </c>
      <c r="K49" t="s">
        <v>112</v>
      </c>
      <c r="M49" s="2">
        <v>0.47152777777777777</v>
      </c>
      <c r="N49" t="s">
        <v>2486</v>
      </c>
      <c r="O49">
        <v>2025</v>
      </c>
      <c r="P49">
        <v>2024</v>
      </c>
      <c r="Q49" s="1">
        <v>45981</v>
      </c>
      <c r="R49" s="1">
        <v>45898</v>
      </c>
      <c r="S49" t="s">
        <v>16</v>
      </c>
    </row>
    <row r="50" spans="1:19" x14ac:dyDescent="0.25">
      <c r="A50">
        <v>49</v>
      </c>
      <c r="B50">
        <v>61749891</v>
      </c>
      <c r="C50" t="s">
        <v>143</v>
      </c>
      <c r="D50" t="s">
        <v>17</v>
      </c>
      <c r="E50" t="s">
        <v>144</v>
      </c>
      <c r="F50" t="s">
        <v>145</v>
      </c>
      <c r="H50" t="s">
        <v>1726</v>
      </c>
      <c r="I50">
        <v>3</v>
      </c>
      <c r="J50" t="s">
        <v>1727</v>
      </c>
      <c r="K50" t="s">
        <v>2488</v>
      </c>
      <c r="L50">
        <v>328</v>
      </c>
      <c r="N50" t="s">
        <v>2494</v>
      </c>
      <c r="O50">
        <v>2022</v>
      </c>
      <c r="P50">
        <v>2021</v>
      </c>
      <c r="Q50" s="1">
        <v>45980</v>
      </c>
      <c r="R50" s="1">
        <v>44869</v>
      </c>
      <c r="S50" t="s">
        <v>16</v>
      </c>
    </row>
    <row r="51" spans="1:19" x14ac:dyDescent="0.25">
      <c r="A51">
        <v>50</v>
      </c>
      <c r="B51">
        <v>60429887</v>
      </c>
      <c r="C51" t="s">
        <v>146</v>
      </c>
      <c r="D51" t="s">
        <v>147</v>
      </c>
      <c r="E51" t="s">
        <v>90</v>
      </c>
      <c r="F51" t="s">
        <v>91</v>
      </c>
      <c r="G51" t="s">
        <v>2515</v>
      </c>
      <c r="H51" t="s">
        <v>1728</v>
      </c>
      <c r="I51">
        <v>3</v>
      </c>
      <c r="J51" t="s">
        <v>1714</v>
      </c>
      <c r="K51" t="s">
        <v>112</v>
      </c>
      <c r="M51" s="2">
        <v>0.50277777777777777</v>
      </c>
      <c r="N51" t="s">
        <v>2486</v>
      </c>
      <c r="O51">
        <v>2021</v>
      </c>
      <c r="P51">
        <v>2012</v>
      </c>
      <c r="Q51" s="1">
        <v>45976</v>
      </c>
      <c r="R51" s="1">
        <v>45974</v>
      </c>
      <c r="S51" t="s">
        <v>16</v>
      </c>
    </row>
    <row r="52" spans="1:19" x14ac:dyDescent="0.25">
      <c r="A52">
        <v>51</v>
      </c>
      <c r="B52">
        <v>222977739</v>
      </c>
      <c r="C52" t="s">
        <v>148</v>
      </c>
      <c r="D52" t="s">
        <v>17</v>
      </c>
      <c r="E52" t="s">
        <v>149</v>
      </c>
      <c r="F52" t="s">
        <v>150</v>
      </c>
      <c r="G52" t="s">
        <v>2521</v>
      </c>
      <c r="H52" t="s">
        <v>1729</v>
      </c>
      <c r="I52">
        <v>3</v>
      </c>
      <c r="J52" t="s">
        <v>2499</v>
      </c>
      <c r="K52" t="s">
        <v>112</v>
      </c>
      <c r="L52">
        <v>288</v>
      </c>
      <c r="M52" s="2">
        <v>0.33333333333333331</v>
      </c>
      <c r="N52" t="s">
        <v>2486</v>
      </c>
      <c r="O52">
        <v>2024</v>
      </c>
      <c r="P52">
        <v>2021</v>
      </c>
      <c r="Q52" s="1">
        <v>45975</v>
      </c>
      <c r="R52" s="1">
        <v>45963</v>
      </c>
      <c r="S52" t="s">
        <v>16</v>
      </c>
    </row>
    <row r="53" spans="1:19" x14ac:dyDescent="0.25">
      <c r="A53">
        <v>52</v>
      </c>
      <c r="B53">
        <v>60407216</v>
      </c>
      <c r="C53" t="s">
        <v>151</v>
      </c>
      <c r="D53" t="s">
        <v>152</v>
      </c>
      <c r="E53" t="s">
        <v>90</v>
      </c>
      <c r="F53" t="s">
        <v>91</v>
      </c>
      <c r="G53" t="s">
        <v>2515</v>
      </c>
      <c r="H53" t="str">
        <f>"9788075883391"</f>
        <v>9788075883391</v>
      </c>
      <c r="I53">
        <v>4</v>
      </c>
      <c r="J53" t="s">
        <v>1714</v>
      </c>
      <c r="K53" t="s">
        <v>112</v>
      </c>
      <c r="M53" s="2">
        <v>0.59027777777777779</v>
      </c>
      <c r="N53" t="s">
        <v>2486</v>
      </c>
      <c r="O53">
        <v>2022</v>
      </c>
      <c r="P53">
        <v>2011</v>
      </c>
      <c r="Q53" s="1">
        <v>45974</v>
      </c>
      <c r="R53" s="1">
        <v>45963</v>
      </c>
      <c r="S53" t="s">
        <v>16</v>
      </c>
    </row>
    <row r="54" spans="1:19" x14ac:dyDescent="0.25">
      <c r="A54">
        <v>53</v>
      </c>
      <c r="B54">
        <v>220697455</v>
      </c>
      <c r="C54" t="s">
        <v>153</v>
      </c>
      <c r="D54" t="s">
        <v>154</v>
      </c>
      <c r="E54" t="s">
        <v>133</v>
      </c>
      <c r="F54" t="s">
        <v>134</v>
      </c>
      <c r="H54" t="s">
        <v>1731</v>
      </c>
      <c r="I54">
        <v>4</v>
      </c>
      <c r="J54" t="s">
        <v>1668</v>
      </c>
      <c r="K54" t="s">
        <v>2488</v>
      </c>
      <c r="L54">
        <v>432</v>
      </c>
      <c r="N54" t="s">
        <v>2494</v>
      </c>
      <c r="O54">
        <v>2024</v>
      </c>
      <c r="P54">
        <v>2024</v>
      </c>
      <c r="Q54" s="1">
        <v>45973</v>
      </c>
      <c r="R54" s="1">
        <v>45947</v>
      </c>
      <c r="S54" t="s">
        <v>16</v>
      </c>
    </row>
    <row r="55" spans="1:19" x14ac:dyDescent="0.25">
      <c r="A55">
        <v>54</v>
      </c>
      <c r="B55">
        <v>55598555</v>
      </c>
      <c r="C55" t="s">
        <v>2522</v>
      </c>
      <c r="D55" t="s">
        <v>2523</v>
      </c>
      <c r="E55" t="s">
        <v>157</v>
      </c>
      <c r="F55" t="s">
        <v>158</v>
      </c>
      <c r="H55" t="s">
        <v>1732</v>
      </c>
      <c r="I55">
        <v>4</v>
      </c>
      <c r="J55" t="s">
        <v>1982</v>
      </c>
      <c r="K55" t="s">
        <v>2488</v>
      </c>
      <c r="L55">
        <v>192</v>
      </c>
      <c r="N55" t="s">
        <v>2494</v>
      </c>
      <c r="O55">
        <v>2025</v>
      </c>
      <c r="P55">
        <v>2021</v>
      </c>
      <c r="Q55" s="1">
        <v>45965</v>
      </c>
      <c r="R55" s="1">
        <v>45944</v>
      </c>
      <c r="S55" t="s">
        <v>16</v>
      </c>
    </row>
    <row r="56" spans="1:19" x14ac:dyDescent="0.25">
      <c r="A56">
        <v>55</v>
      </c>
      <c r="B56">
        <v>56053728</v>
      </c>
      <c r="C56" t="s">
        <v>161</v>
      </c>
      <c r="D56" t="s">
        <v>162</v>
      </c>
      <c r="E56" t="s">
        <v>163</v>
      </c>
      <c r="F56" t="s">
        <v>164</v>
      </c>
      <c r="G56" t="s">
        <v>2524</v>
      </c>
      <c r="H56" t="s">
        <v>1733</v>
      </c>
      <c r="I56">
        <v>4</v>
      </c>
      <c r="J56" t="s">
        <v>2525</v>
      </c>
      <c r="K56" t="s">
        <v>112</v>
      </c>
      <c r="L56">
        <v>644</v>
      </c>
      <c r="M56" s="3">
        <v>1.2395833333333333</v>
      </c>
      <c r="N56" t="s">
        <v>2494</v>
      </c>
      <c r="O56">
        <v>2025</v>
      </c>
      <c r="P56">
        <v>2019</v>
      </c>
      <c r="Q56" s="1">
        <v>45962</v>
      </c>
      <c r="R56" s="1">
        <v>45949</v>
      </c>
      <c r="S56" t="s">
        <v>16</v>
      </c>
    </row>
    <row r="57" spans="1:19" x14ac:dyDescent="0.25">
      <c r="A57">
        <v>56</v>
      </c>
      <c r="B57">
        <v>211221794</v>
      </c>
      <c r="C57" t="s">
        <v>165</v>
      </c>
      <c r="D57" t="s">
        <v>166</v>
      </c>
      <c r="E57" t="s">
        <v>167</v>
      </c>
      <c r="F57" t="s">
        <v>168</v>
      </c>
      <c r="H57" t="s">
        <v>1734</v>
      </c>
      <c r="I57">
        <v>3</v>
      </c>
      <c r="J57" t="s">
        <v>1735</v>
      </c>
      <c r="K57" t="s">
        <v>57</v>
      </c>
      <c r="L57">
        <v>440</v>
      </c>
      <c r="N57" t="s">
        <v>2486</v>
      </c>
      <c r="O57">
        <v>2024</v>
      </c>
      <c r="P57">
        <v>2022</v>
      </c>
      <c r="Q57" s="1">
        <v>45962</v>
      </c>
      <c r="R57" s="1">
        <v>45949</v>
      </c>
      <c r="S57" t="s">
        <v>16</v>
      </c>
    </row>
    <row r="58" spans="1:19" x14ac:dyDescent="0.25">
      <c r="A58">
        <v>57</v>
      </c>
      <c r="B58">
        <v>20871473</v>
      </c>
      <c r="C58" t="s">
        <v>169</v>
      </c>
      <c r="D58" t="s">
        <v>17</v>
      </c>
      <c r="E58" t="s">
        <v>170</v>
      </c>
      <c r="F58" t="s">
        <v>171</v>
      </c>
      <c r="H58" t="s">
        <v>1736</v>
      </c>
      <c r="I58">
        <v>3</v>
      </c>
      <c r="J58" t="s">
        <v>1737</v>
      </c>
      <c r="K58" t="s">
        <v>57</v>
      </c>
      <c r="L58">
        <v>480</v>
      </c>
      <c r="N58" t="s">
        <v>2486</v>
      </c>
      <c r="O58">
        <v>2014</v>
      </c>
      <c r="P58">
        <v>2014</v>
      </c>
      <c r="Q58" s="1">
        <v>45946</v>
      </c>
      <c r="R58" s="1">
        <v>45928</v>
      </c>
      <c r="S58" t="s">
        <v>16</v>
      </c>
    </row>
    <row r="59" spans="1:19" x14ac:dyDescent="0.25">
      <c r="A59">
        <v>58</v>
      </c>
      <c r="B59">
        <v>7726923</v>
      </c>
      <c r="C59" t="s">
        <v>172</v>
      </c>
      <c r="D59" t="s">
        <v>173</v>
      </c>
      <c r="E59" t="s">
        <v>174</v>
      </c>
      <c r="F59" t="s">
        <v>175</v>
      </c>
      <c r="G59" t="s">
        <v>2526</v>
      </c>
      <c r="H59" t="s">
        <v>1738</v>
      </c>
      <c r="I59">
        <v>3</v>
      </c>
      <c r="J59" t="s">
        <v>2492</v>
      </c>
      <c r="K59" t="s">
        <v>112</v>
      </c>
      <c r="L59">
        <v>318</v>
      </c>
      <c r="M59" s="2">
        <v>0.42152777777777778</v>
      </c>
      <c r="N59" t="s">
        <v>2486</v>
      </c>
      <c r="O59">
        <v>2007</v>
      </c>
      <c r="P59">
        <v>2003</v>
      </c>
      <c r="Q59" s="1">
        <v>45937</v>
      </c>
      <c r="R59" s="1">
        <v>45933</v>
      </c>
      <c r="S59" t="s">
        <v>16</v>
      </c>
    </row>
    <row r="60" spans="1:19" x14ac:dyDescent="0.25">
      <c r="A60">
        <v>59</v>
      </c>
      <c r="B60">
        <v>217252251</v>
      </c>
      <c r="C60" t="s">
        <v>176</v>
      </c>
      <c r="D60" t="s">
        <v>17</v>
      </c>
      <c r="E60" t="s">
        <v>177</v>
      </c>
      <c r="F60" t="s">
        <v>178</v>
      </c>
      <c r="H60" t="s">
        <v>1739</v>
      </c>
      <c r="I60">
        <v>4</v>
      </c>
      <c r="J60" t="s">
        <v>1723</v>
      </c>
      <c r="K60" t="s">
        <v>2488</v>
      </c>
      <c r="L60">
        <v>416</v>
      </c>
      <c r="N60" t="s">
        <v>2494</v>
      </c>
      <c r="O60">
        <v>2024</v>
      </c>
      <c r="P60">
        <v>1996</v>
      </c>
      <c r="Q60" s="1">
        <v>45935</v>
      </c>
      <c r="R60" s="1">
        <v>45933</v>
      </c>
      <c r="S60" t="s">
        <v>16</v>
      </c>
    </row>
    <row r="61" spans="1:19" x14ac:dyDescent="0.25">
      <c r="A61">
        <v>60</v>
      </c>
      <c r="B61">
        <v>18393638</v>
      </c>
      <c r="C61" t="s">
        <v>179</v>
      </c>
      <c r="D61" t="s">
        <v>17</v>
      </c>
      <c r="E61" t="s">
        <v>180</v>
      </c>
      <c r="F61" t="s">
        <v>181</v>
      </c>
      <c r="H61" t="s">
        <v>1740</v>
      </c>
      <c r="I61">
        <v>3</v>
      </c>
      <c r="J61" t="s">
        <v>1741</v>
      </c>
      <c r="K61" t="s">
        <v>57</v>
      </c>
      <c r="L61">
        <v>272</v>
      </c>
      <c r="N61" t="s">
        <v>2486</v>
      </c>
      <c r="O61">
        <v>2002</v>
      </c>
      <c r="P61">
        <v>1992</v>
      </c>
      <c r="Q61" s="1">
        <v>45972</v>
      </c>
      <c r="R61" s="1">
        <v>45933</v>
      </c>
      <c r="S61" t="s">
        <v>16</v>
      </c>
    </row>
    <row r="62" spans="1:19" x14ac:dyDescent="0.25">
      <c r="A62">
        <v>61</v>
      </c>
      <c r="B62">
        <v>55099203</v>
      </c>
      <c r="C62" t="s">
        <v>182</v>
      </c>
      <c r="D62" t="s">
        <v>183</v>
      </c>
      <c r="E62" t="s">
        <v>184</v>
      </c>
      <c r="F62" t="s">
        <v>185</v>
      </c>
      <c r="G62" t="s">
        <v>2527</v>
      </c>
      <c r="H62" t="s">
        <v>1742</v>
      </c>
      <c r="I62">
        <v>4</v>
      </c>
      <c r="J62" t="s">
        <v>2492</v>
      </c>
      <c r="K62" t="s">
        <v>112</v>
      </c>
      <c r="L62">
        <v>464</v>
      </c>
      <c r="M62" s="2">
        <v>0.83472222222222225</v>
      </c>
      <c r="N62" t="s">
        <v>2486</v>
      </c>
      <c r="O62">
        <v>2020</v>
      </c>
      <c r="P62">
        <v>2020</v>
      </c>
      <c r="Q62" s="1">
        <v>45916</v>
      </c>
      <c r="R62" s="1">
        <v>45911</v>
      </c>
      <c r="S62" t="s">
        <v>16</v>
      </c>
    </row>
    <row r="63" spans="1:19" x14ac:dyDescent="0.25">
      <c r="A63">
        <v>62</v>
      </c>
      <c r="B63">
        <v>222715653</v>
      </c>
      <c r="C63" t="s">
        <v>186</v>
      </c>
      <c r="D63" t="s">
        <v>17</v>
      </c>
      <c r="E63" t="s">
        <v>20</v>
      </c>
      <c r="F63" t="s">
        <v>187</v>
      </c>
      <c r="H63" t="s">
        <v>1743</v>
      </c>
      <c r="I63">
        <v>4</v>
      </c>
      <c r="J63" t="s">
        <v>1744</v>
      </c>
      <c r="K63" t="s">
        <v>2488</v>
      </c>
      <c r="L63">
        <v>180</v>
      </c>
      <c r="N63" t="s">
        <v>2494</v>
      </c>
      <c r="O63">
        <v>2024</v>
      </c>
      <c r="P63">
        <v>2024</v>
      </c>
      <c r="Q63" s="1">
        <v>45913</v>
      </c>
      <c r="R63" s="1">
        <v>45694</v>
      </c>
      <c r="S63" t="s">
        <v>16</v>
      </c>
    </row>
    <row r="64" spans="1:19" x14ac:dyDescent="0.25">
      <c r="A64">
        <v>63</v>
      </c>
      <c r="B64">
        <v>58726113</v>
      </c>
      <c r="C64" t="s">
        <v>188</v>
      </c>
      <c r="D64" t="s">
        <v>17</v>
      </c>
      <c r="E64" t="s">
        <v>159</v>
      </c>
      <c r="F64" t="s">
        <v>160</v>
      </c>
      <c r="H64" t="s">
        <v>1745</v>
      </c>
      <c r="I64">
        <v>4</v>
      </c>
      <c r="J64" t="s">
        <v>1746</v>
      </c>
      <c r="K64" t="s">
        <v>2488</v>
      </c>
      <c r="L64">
        <v>224</v>
      </c>
      <c r="N64" t="s">
        <v>2494</v>
      </c>
      <c r="O64">
        <v>2021</v>
      </c>
      <c r="P64">
        <v>2021</v>
      </c>
      <c r="Q64" s="1">
        <v>45907</v>
      </c>
      <c r="R64" s="1">
        <v>45903</v>
      </c>
      <c r="S64" t="s">
        <v>16</v>
      </c>
    </row>
    <row r="65" spans="1:19" x14ac:dyDescent="0.25">
      <c r="A65">
        <v>64</v>
      </c>
      <c r="B65">
        <v>18165624</v>
      </c>
      <c r="C65" t="s">
        <v>189</v>
      </c>
      <c r="D65" t="s">
        <v>17</v>
      </c>
      <c r="E65" t="s">
        <v>190</v>
      </c>
      <c r="F65" t="s">
        <v>191</v>
      </c>
      <c r="H65" t="s">
        <v>1747</v>
      </c>
      <c r="I65">
        <v>3</v>
      </c>
      <c r="J65" t="s">
        <v>1748</v>
      </c>
      <c r="K65" t="s">
        <v>2488</v>
      </c>
      <c r="L65">
        <v>223</v>
      </c>
      <c r="N65" t="s">
        <v>2494</v>
      </c>
      <c r="O65">
        <v>1992</v>
      </c>
      <c r="P65">
        <v>1992</v>
      </c>
      <c r="Q65" s="1">
        <v>45906</v>
      </c>
      <c r="R65" s="1">
        <v>45898</v>
      </c>
      <c r="S65" t="s">
        <v>16</v>
      </c>
    </row>
    <row r="66" spans="1:19" x14ac:dyDescent="0.25">
      <c r="A66">
        <v>65</v>
      </c>
      <c r="B66">
        <v>6112238</v>
      </c>
      <c r="C66" t="s">
        <v>192</v>
      </c>
      <c r="D66" t="s">
        <v>193</v>
      </c>
      <c r="E66" t="s">
        <v>174</v>
      </c>
      <c r="F66" t="s">
        <v>175</v>
      </c>
      <c r="G66" t="s">
        <v>2528</v>
      </c>
      <c r="H66" t="s">
        <v>1749</v>
      </c>
      <c r="I66">
        <v>2</v>
      </c>
      <c r="J66" t="s">
        <v>2492</v>
      </c>
      <c r="K66" t="s">
        <v>112</v>
      </c>
      <c r="L66">
        <v>489</v>
      </c>
      <c r="M66" s="2">
        <v>0.61736111111111114</v>
      </c>
      <c r="N66" t="s">
        <v>2486</v>
      </c>
      <c r="O66">
        <v>2024</v>
      </c>
      <c r="P66">
        <v>1999</v>
      </c>
      <c r="Q66" s="1">
        <v>45906</v>
      </c>
      <c r="R66" s="1">
        <v>45898</v>
      </c>
      <c r="S66" t="s">
        <v>16</v>
      </c>
    </row>
    <row r="67" spans="1:19" x14ac:dyDescent="0.25">
      <c r="A67">
        <v>66</v>
      </c>
      <c r="B67">
        <v>52294875</v>
      </c>
      <c r="C67" t="s">
        <v>194</v>
      </c>
      <c r="D67" t="s">
        <v>17</v>
      </c>
      <c r="E67" t="s">
        <v>195</v>
      </c>
      <c r="F67" t="s">
        <v>196</v>
      </c>
      <c r="G67" t="s">
        <v>195</v>
      </c>
      <c r="H67" t="s">
        <v>1750</v>
      </c>
      <c r="I67">
        <v>3</v>
      </c>
      <c r="J67" t="s">
        <v>1687</v>
      </c>
      <c r="K67" t="s">
        <v>112</v>
      </c>
      <c r="L67">
        <v>328</v>
      </c>
      <c r="M67" s="2">
        <v>0.30625000000000002</v>
      </c>
      <c r="N67" t="s">
        <v>2486</v>
      </c>
      <c r="O67">
        <v>2019</v>
      </c>
      <c r="P67">
        <v>2019</v>
      </c>
      <c r="Q67" s="1">
        <v>45890</v>
      </c>
      <c r="R67" s="1">
        <v>45898</v>
      </c>
      <c r="S67" t="s">
        <v>16</v>
      </c>
    </row>
    <row r="68" spans="1:19" x14ac:dyDescent="0.25">
      <c r="A68">
        <v>67</v>
      </c>
      <c r="B68">
        <v>11371788</v>
      </c>
      <c r="C68" t="s">
        <v>199</v>
      </c>
      <c r="D68" t="s">
        <v>200</v>
      </c>
      <c r="E68" t="s">
        <v>39</v>
      </c>
      <c r="F68" t="s">
        <v>120</v>
      </c>
      <c r="H68" t="s">
        <v>1751</v>
      </c>
      <c r="I68">
        <v>3</v>
      </c>
      <c r="J68" t="s">
        <v>1668</v>
      </c>
      <c r="K68" t="s">
        <v>2488</v>
      </c>
      <c r="L68">
        <v>472</v>
      </c>
      <c r="N68" t="s">
        <v>2494</v>
      </c>
      <c r="O68">
        <v>2009</v>
      </c>
      <c r="P68">
        <v>2006</v>
      </c>
      <c r="Q68" s="1">
        <v>45885</v>
      </c>
      <c r="R68" s="1">
        <v>45873</v>
      </c>
      <c r="S68" t="s">
        <v>16</v>
      </c>
    </row>
    <row r="69" spans="1:19" x14ac:dyDescent="0.25">
      <c r="A69">
        <v>68</v>
      </c>
      <c r="B69">
        <v>208955216</v>
      </c>
      <c r="C69" t="s">
        <v>201</v>
      </c>
      <c r="D69" t="s">
        <v>202</v>
      </c>
      <c r="E69" t="s">
        <v>203</v>
      </c>
      <c r="F69" t="s">
        <v>204</v>
      </c>
      <c r="G69" t="s">
        <v>2529</v>
      </c>
      <c r="H69" t="s">
        <v>1752</v>
      </c>
      <c r="I69">
        <v>3</v>
      </c>
      <c r="J69" t="s">
        <v>1753</v>
      </c>
      <c r="K69" t="s">
        <v>112</v>
      </c>
      <c r="L69">
        <v>336</v>
      </c>
      <c r="M69" s="2">
        <v>0.43472222222222223</v>
      </c>
      <c r="N69" t="s">
        <v>2486</v>
      </c>
      <c r="O69">
        <v>2024</v>
      </c>
      <c r="P69">
        <v>2024</v>
      </c>
      <c r="Q69" s="1">
        <v>45883</v>
      </c>
      <c r="R69" s="1">
        <v>45883</v>
      </c>
      <c r="S69" t="s">
        <v>16</v>
      </c>
    </row>
    <row r="70" spans="1:19" x14ac:dyDescent="0.25">
      <c r="A70">
        <v>69</v>
      </c>
      <c r="B70">
        <v>232434909</v>
      </c>
      <c r="C70" t="s">
        <v>205</v>
      </c>
      <c r="D70" t="s">
        <v>206</v>
      </c>
      <c r="E70" t="s">
        <v>207</v>
      </c>
      <c r="F70" t="s">
        <v>208</v>
      </c>
      <c r="H70" t="s">
        <v>1754</v>
      </c>
      <c r="I70">
        <v>4</v>
      </c>
      <c r="J70" t="s">
        <v>1755</v>
      </c>
      <c r="K70" t="s">
        <v>2488</v>
      </c>
      <c r="L70">
        <v>408</v>
      </c>
      <c r="N70" t="s">
        <v>2494</v>
      </c>
      <c r="O70">
        <v>2025</v>
      </c>
      <c r="P70">
        <v>2024</v>
      </c>
      <c r="Q70" s="1">
        <v>45881</v>
      </c>
      <c r="R70" s="1">
        <v>45858</v>
      </c>
      <c r="S70" t="s">
        <v>16</v>
      </c>
    </row>
    <row r="71" spans="1:19" x14ac:dyDescent="0.25">
      <c r="A71">
        <v>70</v>
      </c>
      <c r="B71">
        <v>237619820</v>
      </c>
      <c r="C71" t="s">
        <v>209</v>
      </c>
      <c r="D71" t="s">
        <v>17</v>
      </c>
      <c r="E71" t="s">
        <v>210</v>
      </c>
      <c r="F71" t="s">
        <v>211</v>
      </c>
      <c r="G71" t="s">
        <v>2530</v>
      </c>
      <c r="H71" t="s">
        <v>1756</v>
      </c>
      <c r="I71">
        <v>2</v>
      </c>
      <c r="J71" t="s">
        <v>1725</v>
      </c>
      <c r="K71" t="s">
        <v>112</v>
      </c>
      <c r="L71">
        <v>320</v>
      </c>
      <c r="M71" s="2">
        <v>0.46180555555555558</v>
      </c>
      <c r="N71" t="s">
        <v>2486</v>
      </c>
      <c r="O71">
        <v>2025</v>
      </c>
      <c r="P71">
        <v>2024</v>
      </c>
      <c r="Q71" s="1">
        <v>45877</v>
      </c>
      <c r="R71" s="1">
        <v>45875</v>
      </c>
      <c r="S71" t="s">
        <v>16</v>
      </c>
    </row>
    <row r="72" spans="1:19" x14ac:dyDescent="0.25">
      <c r="A72">
        <v>71</v>
      </c>
      <c r="B72">
        <v>11371765</v>
      </c>
      <c r="C72" t="s">
        <v>212</v>
      </c>
      <c r="D72" t="s">
        <v>213</v>
      </c>
      <c r="E72" t="s">
        <v>39</v>
      </c>
      <c r="F72" t="s">
        <v>120</v>
      </c>
      <c r="H72" t="s">
        <v>1757</v>
      </c>
      <c r="I72">
        <v>5</v>
      </c>
      <c r="J72" t="s">
        <v>1668</v>
      </c>
      <c r="K72" t="s">
        <v>2488</v>
      </c>
      <c r="L72">
        <v>424</v>
      </c>
      <c r="N72" t="s">
        <v>2494</v>
      </c>
      <c r="O72">
        <v>2008</v>
      </c>
      <c r="P72">
        <v>2005</v>
      </c>
      <c r="Q72" s="1">
        <v>45872</v>
      </c>
      <c r="R72" s="1">
        <v>45866</v>
      </c>
      <c r="S72" t="s">
        <v>16</v>
      </c>
    </row>
    <row r="73" spans="1:19" x14ac:dyDescent="0.25">
      <c r="A73">
        <v>72</v>
      </c>
      <c r="B73">
        <v>236032828</v>
      </c>
      <c r="C73" t="s">
        <v>214</v>
      </c>
      <c r="D73" t="s">
        <v>2533</v>
      </c>
      <c r="E73" t="s">
        <v>215</v>
      </c>
      <c r="F73" t="s">
        <v>216</v>
      </c>
      <c r="G73" t="s">
        <v>2531</v>
      </c>
      <c r="H73" t="s">
        <v>1758</v>
      </c>
      <c r="I73">
        <v>3</v>
      </c>
      <c r="J73" t="s">
        <v>2532</v>
      </c>
      <c r="K73" t="s">
        <v>112</v>
      </c>
      <c r="L73">
        <v>296</v>
      </c>
      <c r="M73" s="2">
        <v>0.44097222222222221</v>
      </c>
      <c r="N73" t="s">
        <v>2494</v>
      </c>
      <c r="O73">
        <v>2025</v>
      </c>
      <c r="P73">
        <v>2025</v>
      </c>
      <c r="Q73" s="1">
        <v>45872</v>
      </c>
      <c r="R73" s="1">
        <v>45868</v>
      </c>
      <c r="S73" t="s">
        <v>16</v>
      </c>
    </row>
    <row r="74" spans="1:19" x14ac:dyDescent="0.25">
      <c r="A74">
        <v>73</v>
      </c>
      <c r="B74">
        <v>221238183</v>
      </c>
      <c r="C74" t="s">
        <v>217</v>
      </c>
      <c r="D74" t="s">
        <v>2534</v>
      </c>
      <c r="E74" t="s">
        <v>215</v>
      </c>
      <c r="F74" t="s">
        <v>216</v>
      </c>
      <c r="G74" t="s">
        <v>2531</v>
      </c>
      <c r="H74" t="s">
        <v>1760</v>
      </c>
      <c r="I74">
        <v>4</v>
      </c>
      <c r="J74" t="s">
        <v>2532</v>
      </c>
      <c r="K74" t="s">
        <v>112</v>
      </c>
      <c r="L74">
        <v>304</v>
      </c>
      <c r="M74" s="2">
        <v>0.49027777777777776</v>
      </c>
      <c r="N74" t="s">
        <v>2494</v>
      </c>
      <c r="O74">
        <v>2024</v>
      </c>
      <c r="P74">
        <v>2024</v>
      </c>
      <c r="Q74" s="1">
        <v>45868</v>
      </c>
      <c r="R74" s="1">
        <v>45866</v>
      </c>
      <c r="S74" t="s">
        <v>16</v>
      </c>
    </row>
    <row r="75" spans="1:19" x14ac:dyDescent="0.25">
      <c r="A75">
        <v>74</v>
      </c>
      <c r="B75">
        <v>229109083</v>
      </c>
      <c r="C75" t="s">
        <v>218</v>
      </c>
      <c r="D75" t="s">
        <v>219</v>
      </c>
      <c r="E75" t="s">
        <v>220</v>
      </c>
      <c r="F75" t="s">
        <v>221</v>
      </c>
      <c r="H75" t="s">
        <v>1761</v>
      </c>
      <c r="I75">
        <v>3</v>
      </c>
      <c r="J75" t="s">
        <v>1762</v>
      </c>
      <c r="K75" t="s">
        <v>57</v>
      </c>
      <c r="L75">
        <v>632</v>
      </c>
      <c r="N75" t="s">
        <v>2486</v>
      </c>
      <c r="O75">
        <v>2025</v>
      </c>
      <c r="P75">
        <v>2025</v>
      </c>
      <c r="Q75" s="1">
        <v>45865</v>
      </c>
      <c r="R75" s="1">
        <v>45836</v>
      </c>
      <c r="S75" t="s">
        <v>16</v>
      </c>
    </row>
    <row r="76" spans="1:19" x14ac:dyDescent="0.25">
      <c r="A76">
        <v>75</v>
      </c>
      <c r="B76">
        <v>214417127</v>
      </c>
      <c r="C76" t="s">
        <v>222</v>
      </c>
      <c r="D76" t="s">
        <v>2535</v>
      </c>
      <c r="E76" t="s">
        <v>215</v>
      </c>
      <c r="F76" t="s">
        <v>216</v>
      </c>
      <c r="G76" t="s">
        <v>2531</v>
      </c>
      <c r="H76" t="s">
        <v>1763</v>
      </c>
      <c r="I76">
        <v>3</v>
      </c>
      <c r="J76" t="s">
        <v>2532</v>
      </c>
      <c r="K76" t="s">
        <v>112</v>
      </c>
      <c r="L76">
        <v>304</v>
      </c>
      <c r="M76" s="2">
        <v>0.47916666666666669</v>
      </c>
      <c r="N76" t="s">
        <v>2494</v>
      </c>
      <c r="O76">
        <v>2024</v>
      </c>
      <c r="P76">
        <v>2024</v>
      </c>
      <c r="Q76" s="1">
        <v>45864</v>
      </c>
      <c r="R76" s="1">
        <v>45864</v>
      </c>
      <c r="S76" t="s">
        <v>16</v>
      </c>
    </row>
    <row r="77" spans="1:19" x14ac:dyDescent="0.25">
      <c r="A77">
        <v>76</v>
      </c>
      <c r="B77">
        <v>221941436</v>
      </c>
      <c r="C77" t="s">
        <v>223</v>
      </c>
      <c r="D77" t="s">
        <v>17</v>
      </c>
      <c r="E77" t="s">
        <v>224</v>
      </c>
      <c r="F77" t="s">
        <v>225</v>
      </c>
      <c r="G77" t="s">
        <v>2536</v>
      </c>
      <c r="H77" t="s">
        <v>1764</v>
      </c>
      <c r="I77">
        <v>3</v>
      </c>
      <c r="J77" t="s">
        <v>2532</v>
      </c>
      <c r="K77" t="s">
        <v>112</v>
      </c>
      <c r="L77">
        <v>327</v>
      </c>
      <c r="M77" s="2">
        <v>0.42569444444444443</v>
      </c>
      <c r="N77" t="s">
        <v>2494</v>
      </c>
      <c r="O77">
        <v>2024</v>
      </c>
      <c r="P77">
        <v>2024</v>
      </c>
      <c r="Q77" s="1">
        <v>45862</v>
      </c>
      <c r="R77" s="1">
        <v>45858</v>
      </c>
      <c r="S77" t="s">
        <v>16</v>
      </c>
    </row>
    <row r="78" spans="1:19" x14ac:dyDescent="0.25">
      <c r="A78">
        <v>77</v>
      </c>
      <c r="B78">
        <v>6838685</v>
      </c>
      <c r="C78" t="s">
        <v>226</v>
      </c>
      <c r="D78" t="s">
        <v>227</v>
      </c>
      <c r="E78" t="s">
        <v>174</v>
      </c>
      <c r="F78" t="s">
        <v>175</v>
      </c>
      <c r="G78" t="s">
        <v>2537</v>
      </c>
      <c r="H78" t="s">
        <v>1765</v>
      </c>
      <c r="I78">
        <v>1</v>
      </c>
      <c r="J78" t="s">
        <v>2492</v>
      </c>
      <c r="K78" t="s">
        <v>112</v>
      </c>
      <c r="L78">
        <v>448</v>
      </c>
      <c r="M78" s="2">
        <v>0.60486111111111107</v>
      </c>
      <c r="N78" t="s">
        <v>2486</v>
      </c>
      <c r="O78">
        <v>2023</v>
      </c>
      <c r="P78">
        <v>1994</v>
      </c>
      <c r="Q78" s="1">
        <v>45862</v>
      </c>
      <c r="R78" s="1">
        <v>45860</v>
      </c>
      <c r="S78" t="s">
        <v>16</v>
      </c>
    </row>
    <row r="79" spans="1:19" x14ac:dyDescent="0.25">
      <c r="A79">
        <v>78</v>
      </c>
      <c r="B79">
        <v>223375389</v>
      </c>
      <c r="C79" t="s">
        <v>230</v>
      </c>
      <c r="D79" t="s">
        <v>17</v>
      </c>
      <c r="E79" t="s">
        <v>231</v>
      </c>
      <c r="F79" t="s">
        <v>232</v>
      </c>
      <c r="G79" t="s">
        <v>2538</v>
      </c>
      <c r="H79" t="s">
        <v>1766</v>
      </c>
      <c r="I79">
        <v>4</v>
      </c>
      <c r="J79" t="s">
        <v>2539</v>
      </c>
      <c r="K79" t="s">
        <v>112</v>
      </c>
      <c r="L79">
        <v>400</v>
      </c>
      <c r="M79" s="2">
        <v>0.58194444444444449</v>
      </c>
      <c r="N79" t="s">
        <v>2494</v>
      </c>
      <c r="O79">
        <v>2025</v>
      </c>
      <c r="P79">
        <v>2023</v>
      </c>
      <c r="Q79" s="1">
        <v>45856</v>
      </c>
      <c r="R79" s="1">
        <v>45853</v>
      </c>
      <c r="S79" t="s">
        <v>16</v>
      </c>
    </row>
    <row r="80" spans="1:19" x14ac:dyDescent="0.25">
      <c r="A80">
        <v>79</v>
      </c>
      <c r="B80">
        <v>203688006</v>
      </c>
      <c r="C80" t="s">
        <v>233</v>
      </c>
      <c r="D80" t="s">
        <v>2540</v>
      </c>
      <c r="E80" t="s">
        <v>215</v>
      </c>
      <c r="F80" t="s">
        <v>216</v>
      </c>
      <c r="G80" t="s">
        <v>2531</v>
      </c>
      <c r="H80" t="str">
        <f>"9788055665498"</f>
        <v>9788055665498</v>
      </c>
      <c r="I80">
        <v>4</v>
      </c>
      <c r="J80" t="s">
        <v>2532</v>
      </c>
      <c r="K80" t="s">
        <v>112</v>
      </c>
      <c r="L80">
        <v>344</v>
      </c>
      <c r="M80" s="2">
        <v>0.58194444444444449</v>
      </c>
      <c r="N80" t="s">
        <v>2494</v>
      </c>
      <c r="O80">
        <v>2023</v>
      </c>
      <c r="P80">
        <v>2023</v>
      </c>
      <c r="Q80" s="1">
        <v>45853</v>
      </c>
      <c r="R80" s="1">
        <v>45853</v>
      </c>
      <c r="S80" t="s">
        <v>16</v>
      </c>
    </row>
    <row r="81" spans="1:19" x14ac:dyDescent="0.25">
      <c r="A81">
        <v>80</v>
      </c>
      <c r="B81">
        <v>25837168</v>
      </c>
      <c r="C81" t="s">
        <v>234</v>
      </c>
      <c r="D81" t="s">
        <v>235</v>
      </c>
      <c r="E81" t="s">
        <v>127</v>
      </c>
      <c r="F81" t="s">
        <v>128</v>
      </c>
      <c r="H81" t="s">
        <v>1767</v>
      </c>
      <c r="I81">
        <v>3</v>
      </c>
      <c r="J81" t="s">
        <v>1759</v>
      </c>
      <c r="K81" t="s">
        <v>57</v>
      </c>
      <c r="L81">
        <v>392</v>
      </c>
      <c r="N81" t="s">
        <v>2486</v>
      </c>
      <c r="O81">
        <v>2015</v>
      </c>
      <c r="P81">
        <v>2013</v>
      </c>
      <c r="Q81" s="1">
        <v>45851</v>
      </c>
      <c r="R81" s="1">
        <v>45748</v>
      </c>
      <c r="S81" t="s">
        <v>16</v>
      </c>
    </row>
    <row r="82" spans="1:19" x14ac:dyDescent="0.25">
      <c r="A82">
        <v>81</v>
      </c>
      <c r="B82">
        <v>219776771</v>
      </c>
      <c r="C82" t="s">
        <v>236</v>
      </c>
      <c r="D82" t="s">
        <v>17</v>
      </c>
      <c r="E82" t="s">
        <v>237</v>
      </c>
      <c r="F82" t="s">
        <v>238</v>
      </c>
      <c r="G82" t="s">
        <v>2541</v>
      </c>
      <c r="H82" t="s">
        <v>1768</v>
      </c>
      <c r="I82">
        <v>2</v>
      </c>
      <c r="J82" t="s">
        <v>2492</v>
      </c>
      <c r="K82" t="s">
        <v>112</v>
      </c>
      <c r="L82">
        <v>480</v>
      </c>
      <c r="M82" s="2">
        <v>0.52013888888888893</v>
      </c>
      <c r="N82" t="s">
        <v>2486</v>
      </c>
      <c r="O82">
        <v>2024</v>
      </c>
      <c r="P82">
        <v>2024</v>
      </c>
      <c r="Q82" s="1">
        <v>45849</v>
      </c>
      <c r="R82" s="1">
        <v>45848</v>
      </c>
      <c r="S82" t="s">
        <v>16</v>
      </c>
    </row>
    <row r="83" spans="1:19" x14ac:dyDescent="0.25">
      <c r="A83">
        <v>82</v>
      </c>
      <c r="B83">
        <v>218275842</v>
      </c>
      <c r="C83" t="s">
        <v>239</v>
      </c>
      <c r="D83" t="s">
        <v>240</v>
      </c>
      <c r="E83" t="s">
        <v>241</v>
      </c>
      <c r="F83" t="s">
        <v>242</v>
      </c>
      <c r="H83" t="s">
        <v>1769</v>
      </c>
      <c r="I83">
        <v>5</v>
      </c>
      <c r="J83" t="s">
        <v>1770</v>
      </c>
      <c r="K83" t="s">
        <v>57</v>
      </c>
      <c r="L83">
        <v>1000</v>
      </c>
      <c r="N83" t="s">
        <v>2486</v>
      </c>
      <c r="O83">
        <v>2024</v>
      </c>
      <c r="P83">
        <v>2023</v>
      </c>
      <c r="Q83" s="1">
        <v>45849</v>
      </c>
      <c r="R83" s="1">
        <v>45836</v>
      </c>
      <c r="S83" t="s">
        <v>16</v>
      </c>
    </row>
    <row r="84" spans="1:19" x14ac:dyDescent="0.25">
      <c r="A84">
        <v>83</v>
      </c>
      <c r="B84">
        <v>181313396</v>
      </c>
      <c r="C84" t="s">
        <v>243</v>
      </c>
      <c r="D84" t="s">
        <v>2542</v>
      </c>
      <c r="E84" t="s">
        <v>215</v>
      </c>
      <c r="F84" t="s">
        <v>216</v>
      </c>
      <c r="G84" t="s">
        <v>2531</v>
      </c>
      <c r="H84" t="str">
        <f>"9788055663005"</f>
        <v>9788055663005</v>
      </c>
      <c r="I84">
        <v>4</v>
      </c>
      <c r="J84" t="s">
        <v>2532</v>
      </c>
      <c r="K84" t="s">
        <v>112</v>
      </c>
      <c r="L84">
        <v>272</v>
      </c>
      <c r="M84" s="2">
        <v>0.45208333333333334</v>
      </c>
      <c r="N84" t="s">
        <v>2494</v>
      </c>
      <c r="O84">
        <v>2023</v>
      </c>
      <c r="P84">
        <v>2023</v>
      </c>
      <c r="Q84" s="1">
        <v>45849</v>
      </c>
      <c r="R84" s="1">
        <v>45848</v>
      </c>
      <c r="S84" t="s">
        <v>16</v>
      </c>
    </row>
    <row r="85" spans="1:19" x14ac:dyDescent="0.25">
      <c r="A85">
        <v>84</v>
      </c>
      <c r="B85">
        <v>56053683</v>
      </c>
      <c r="C85" t="s">
        <v>244</v>
      </c>
      <c r="D85" t="s">
        <v>245</v>
      </c>
      <c r="E85" t="s">
        <v>163</v>
      </c>
      <c r="F85" t="s">
        <v>164</v>
      </c>
      <c r="G85" t="s">
        <v>2524</v>
      </c>
      <c r="H85" t="s">
        <v>1771</v>
      </c>
      <c r="I85">
        <v>4</v>
      </c>
      <c r="J85" t="s">
        <v>2525</v>
      </c>
      <c r="K85" t="s">
        <v>112</v>
      </c>
      <c r="L85">
        <v>544</v>
      </c>
      <c r="M85" s="3">
        <v>1.0972222222222223</v>
      </c>
      <c r="N85" t="s">
        <v>2494</v>
      </c>
      <c r="O85">
        <v>2024</v>
      </c>
      <c r="P85">
        <v>2018</v>
      </c>
      <c r="Q85" s="1">
        <v>45848</v>
      </c>
      <c r="R85" s="1">
        <v>45844</v>
      </c>
      <c r="S85" t="s">
        <v>16</v>
      </c>
    </row>
    <row r="86" spans="1:19" x14ac:dyDescent="0.25">
      <c r="A86">
        <v>85</v>
      </c>
      <c r="B86">
        <v>54802268</v>
      </c>
      <c r="C86" t="s">
        <v>246</v>
      </c>
      <c r="D86" t="s">
        <v>247</v>
      </c>
      <c r="E86" t="s">
        <v>163</v>
      </c>
      <c r="F86" t="s">
        <v>164</v>
      </c>
      <c r="G86" t="s">
        <v>2524</v>
      </c>
      <c r="H86" t="s">
        <v>1772</v>
      </c>
      <c r="I86">
        <v>4</v>
      </c>
      <c r="J86" t="s">
        <v>2525</v>
      </c>
      <c r="K86" t="s">
        <v>112</v>
      </c>
      <c r="L86">
        <v>496</v>
      </c>
      <c r="M86" s="2">
        <v>0.94930555555555551</v>
      </c>
      <c r="N86" t="s">
        <v>2494</v>
      </c>
      <c r="O86">
        <v>2023</v>
      </c>
      <c r="P86">
        <v>2017</v>
      </c>
      <c r="Q86" s="1">
        <v>45843</v>
      </c>
      <c r="R86" s="1">
        <v>45827</v>
      </c>
      <c r="S86" t="s">
        <v>16</v>
      </c>
    </row>
    <row r="87" spans="1:19" x14ac:dyDescent="0.25">
      <c r="A87">
        <v>86</v>
      </c>
      <c r="B87">
        <v>32283133</v>
      </c>
      <c r="C87" t="s">
        <v>2543</v>
      </c>
      <c r="D87" t="s">
        <v>248</v>
      </c>
      <c r="E87" t="s">
        <v>125</v>
      </c>
      <c r="F87" t="s">
        <v>126</v>
      </c>
      <c r="H87" t="s">
        <v>1773</v>
      </c>
      <c r="I87">
        <v>4</v>
      </c>
      <c r="J87" t="s">
        <v>1668</v>
      </c>
      <c r="K87" t="s">
        <v>2488</v>
      </c>
      <c r="L87">
        <v>528</v>
      </c>
      <c r="N87" t="s">
        <v>2494</v>
      </c>
      <c r="O87">
        <v>2017</v>
      </c>
      <c r="P87">
        <v>2017</v>
      </c>
      <c r="Q87" s="1">
        <v>45020</v>
      </c>
      <c r="R87" s="1">
        <v>45735</v>
      </c>
      <c r="S87" t="s">
        <v>16</v>
      </c>
    </row>
    <row r="88" spans="1:19" x14ac:dyDescent="0.25">
      <c r="A88">
        <v>87</v>
      </c>
      <c r="B88">
        <v>41949647</v>
      </c>
      <c r="C88" t="s">
        <v>249</v>
      </c>
      <c r="D88" t="s">
        <v>17</v>
      </c>
      <c r="E88" t="s">
        <v>250</v>
      </c>
      <c r="F88" t="s">
        <v>251</v>
      </c>
      <c r="H88" t="s">
        <v>1774</v>
      </c>
      <c r="I88">
        <v>4</v>
      </c>
      <c r="J88" t="s">
        <v>1668</v>
      </c>
      <c r="K88" t="s">
        <v>2488</v>
      </c>
      <c r="L88">
        <v>368</v>
      </c>
      <c r="N88" t="s">
        <v>2494</v>
      </c>
      <c r="O88">
        <v>2018</v>
      </c>
      <c r="P88">
        <v>2017</v>
      </c>
      <c r="Q88" s="1">
        <v>45837</v>
      </c>
      <c r="R88" s="1">
        <v>45830</v>
      </c>
      <c r="S88" t="s">
        <v>16</v>
      </c>
    </row>
    <row r="89" spans="1:19" x14ac:dyDescent="0.25">
      <c r="A89">
        <v>88</v>
      </c>
      <c r="B89">
        <v>52957731</v>
      </c>
      <c r="C89" t="s">
        <v>252</v>
      </c>
      <c r="D89" t="s">
        <v>253</v>
      </c>
      <c r="E89" t="s">
        <v>163</v>
      </c>
      <c r="F89" t="s">
        <v>164</v>
      </c>
      <c r="G89" t="s">
        <v>2524</v>
      </c>
      <c r="H89" t="s">
        <v>1775</v>
      </c>
      <c r="I89">
        <v>4</v>
      </c>
      <c r="J89" t="s">
        <v>2525</v>
      </c>
      <c r="K89" t="s">
        <v>112</v>
      </c>
      <c r="L89">
        <v>492</v>
      </c>
      <c r="M89" s="2">
        <v>0.92500000000000004</v>
      </c>
      <c r="N89" t="s">
        <v>2494</v>
      </c>
      <c r="O89">
        <v>2022</v>
      </c>
      <c r="P89">
        <v>2016</v>
      </c>
      <c r="Q89" s="1">
        <v>45832</v>
      </c>
      <c r="R89" s="1">
        <v>45827</v>
      </c>
      <c r="S89" t="s">
        <v>16</v>
      </c>
    </row>
    <row r="90" spans="1:19" x14ac:dyDescent="0.25">
      <c r="A90">
        <v>89</v>
      </c>
      <c r="B90">
        <v>32855534</v>
      </c>
      <c r="C90" t="s">
        <v>254</v>
      </c>
      <c r="D90" t="s">
        <v>17</v>
      </c>
      <c r="E90" t="s">
        <v>255</v>
      </c>
      <c r="F90" t="s">
        <v>256</v>
      </c>
      <c r="H90" t="s">
        <v>1776</v>
      </c>
      <c r="I90">
        <v>3</v>
      </c>
      <c r="J90" t="s">
        <v>1777</v>
      </c>
      <c r="K90" t="s">
        <v>2488</v>
      </c>
      <c r="L90">
        <v>352</v>
      </c>
      <c r="N90" t="s">
        <v>2486</v>
      </c>
      <c r="O90">
        <v>2012</v>
      </c>
      <c r="P90">
        <v>1995</v>
      </c>
      <c r="Q90" s="1">
        <v>45828</v>
      </c>
      <c r="R90" s="1">
        <v>45825</v>
      </c>
      <c r="S90" t="s">
        <v>16</v>
      </c>
    </row>
    <row r="91" spans="1:19" x14ac:dyDescent="0.25">
      <c r="A91">
        <v>90</v>
      </c>
      <c r="B91">
        <v>52308182</v>
      </c>
      <c r="C91" t="s">
        <v>257</v>
      </c>
      <c r="D91" t="s">
        <v>258</v>
      </c>
      <c r="E91" t="s">
        <v>163</v>
      </c>
      <c r="F91" t="s">
        <v>164</v>
      </c>
      <c r="G91" t="s">
        <v>2524</v>
      </c>
      <c r="H91" t="s">
        <v>1778</v>
      </c>
      <c r="I91">
        <v>4</v>
      </c>
      <c r="J91" t="s">
        <v>2525</v>
      </c>
      <c r="K91" t="s">
        <v>112</v>
      </c>
      <c r="L91">
        <v>500</v>
      </c>
      <c r="M91" s="2">
        <v>0.89583333333333337</v>
      </c>
      <c r="N91" t="s">
        <v>2494</v>
      </c>
      <c r="O91">
        <v>2019</v>
      </c>
      <c r="P91">
        <v>2015</v>
      </c>
      <c r="Q91" s="1">
        <v>45827</v>
      </c>
      <c r="R91" s="1">
        <v>45820</v>
      </c>
      <c r="S91" t="s">
        <v>16</v>
      </c>
    </row>
    <row r="92" spans="1:19" x14ac:dyDescent="0.25">
      <c r="A92">
        <v>91</v>
      </c>
      <c r="B92">
        <v>221130838</v>
      </c>
      <c r="C92" t="s">
        <v>259</v>
      </c>
      <c r="D92" t="s">
        <v>260</v>
      </c>
      <c r="E92" t="s">
        <v>261</v>
      </c>
      <c r="F92" t="s">
        <v>262</v>
      </c>
      <c r="H92" t="s">
        <v>1779</v>
      </c>
      <c r="I92">
        <v>4</v>
      </c>
      <c r="J92" t="s">
        <v>1780</v>
      </c>
      <c r="K92" t="s">
        <v>57</v>
      </c>
      <c r="L92">
        <v>416</v>
      </c>
      <c r="N92" t="s">
        <v>2494</v>
      </c>
      <c r="O92">
        <v>2024</v>
      </c>
      <c r="P92">
        <v>2018</v>
      </c>
      <c r="Q92" s="1">
        <v>45825</v>
      </c>
      <c r="R92" s="1">
        <v>45823</v>
      </c>
      <c r="S92" t="s">
        <v>16</v>
      </c>
    </row>
    <row r="93" spans="1:19" x14ac:dyDescent="0.25">
      <c r="A93">
        <v>92</v>
      </c>
      <c r="B93">
        <v>51944995</v>
      </c>
      <c r="C93" t="s">
        <v>263</v>
      </c>
      <c r="D93" t="s">
        <v>264</v>
      </c>
      <c r="E93" t="s">
        <v>163</v>
      </c>
      <c r="F93" t="s">
        <v>164</v>
      </c>
      <c r="G93" t="s">
        <v>2524</v>
      </c>
      <c r="H93" t="s">
        <v>1781</v>
      </c>
      <c r="I93">
        <v>5</v>
      </c>
      <c r="J93" t="s">
        <v>2525</v>
      </c>
      <c r="K93" t="s">
        <v>112</v>
      </c>
      <c r="L93">
        <v>436</v>
      </c>
      <c r="M93" s="2">
        <v>0.79791666666666672</v>
      </c>
      <c r="N93" t="s">
        <v>2494</v>
      </c>
      <c r="O93">
        <v>2019</v>
      </c>
      <c r="P93">
        <v>2014</v>
      </c>
      <c r="Q93" s="1">
        <v>45822</v>
      </c>
      <c r="R93" s="1">
        <v>45817</v>
      </c>
      <c r="S93" t="s">
        <v>16</v>
      </c>
    </row>
    <row r="94" spans="1:19" x14ac:dyDescent="0.25">
      <c r="A94">
        <v>93</v>
      </c>
      <c r="B94">
        <v>123206298</v>
      </c>
      <c r="C94" t="s">
        <v>267</v>
      </c>
      <c r="D94" t="s">
        <v>268</v>
      </c>
      <c r="E94" t="s">
        <v>269</v>
      </c>
      <c r="F94" t="s">
        <v>270</v>
      </c>
      <c r="G94" t="s">
        <v>2544</v>
      </c>
      <c r="H94" t="s">
        <v>1782</v>
      </c>
      <c r="I94">
        <v>3</v>
      </c>
      <c r="J94" t="s">
        <v>2545</v>
      </c>
      <c r="K94" t="s">
        <v>112</v>
      </c>
      <c r="L94">
        <v>688</v>
      </c>
      <c r="M94" s="3">
        <v>1.0263888888888888</v>
      </c>
      <c r="N94" t="s">
        <v>2486</v>
      </c>
      <c r="O94">
        <v>2023</v>
      </c>
      <c r="P94">
        <v>2023</v>
      </c>
      <c r="Q94" s="1">
        <v>45820</v>
      </c>
      <c r="R94" s="1">
        <v>45810</v>
      </c>
      <c r="S94" t="s">
        <v>16</v>
      </c>
    </row>
    <row r="95" spans="1:19" x14ac:dyDescent="0.25">
      <c r="A95">
        <v>94</v>
      </c>
      <c r="B95">
        <v>5896223</v>
      </c>
      <c r="C95" t="s">
        <v>2546</v>
      </c>
      <c r="D95" t="s">
        <v>2547</v>
      </c>
      <c r="E95" t="s">
        <v>174</v>
      </c>
      <c r="F95" t="s">
        <v>175</v>
      </c>
      <c r="G95" t="s">
        <v>2548</v>
      </c>
      <c r="H95" t="s">
        <v>1783</v>
      </c>
      <c r="I95">
        <v>2</v>
      </c>
      <c r="J95" t="s">
        <v>2492</v>
      </c>
      <c r="K95" t="s">
        <v>112</v>
      </c>
      <c r="L95">
        <v>280</v>
      </c>
      <c r="M95" s="2">
        <v>0.5493055555555556</v>
      </c>
      <c r="N95" t="s">
        <v>2486</v>
      </c>
      <c r="O95">
        <v>2003</v>
      </c>
      <c r="P95">
        <v>1995</v>
      </c>
      <c r="Q95" s="1">
        <v>45800</v>
      </c>
      <c r="R95" s="1">
        <v>45784</v>
      </c>
      <c r="S95" t="s">
        <v>16</v>
      </c>
    </row>
    <row r="96" spans="1:19" x14ac:dyDescent="0.25">
      <c r="A96">
        <v>95</v>
      </c>
      <c r="B96">
        <v>57287122</v>
      </c>
      <c r="C96" t="s">
        <v>271</v>
      </c>
      <c r="D96" t="s">
        <v>272</v>
      </c>
      <c r="E96" t="s">
        <v>203</v>
      </c>
      <c r="F96" t="s">
        <v>204</v>
      </c>
      <c r="G96" t="s">
        <v>2529</v>
      </c>
      <c r="H96" t="s">
        <v>1784</v>
      </c>
      <c r="I96">
        <v>3</v>
      </c>
      <c r="J96" t="s">
        <v>1753</v>
      </c>
      <c r="K96" t="s">
        <v>112</v>
      </c>
      <c r="L96">
        <v>328</v>
      </c>
      <c r="M96" s="2">
        <v>0.4548611111111111</v>
      </c>
      <c r="N96" t="s">
        <v>2486</v>
      </c>
      <c r="O96">
        <v>2024</v>
      </c>
      <c r="P96">
        <v>2020</v>
      </c>
      <c r="Q96" s="1">
        <v>45784</v>
      </c>
      <c r="R96" s="1">
        <v>45782</v>
      </c>
      <c r="S96" t="s">
        <v>16</v>
      </c>
    </row>
    <row r="97" spans="1:19" x14ac:dyDescent="0.25">
      <c r="A97">
        <v>96</v>
      </c>
      <c r="B97">
        <v>6838672</v>
      </c>
      <c r="C97" t="s">
        <v>273</v>
      </c>
      <c r="D97" t="s">
        <v>274</v>
      </c>
      <c r="E97" t="s">
        <v>174</v>
      </c>
      <c r="F97" t="s">
        <v>175</v>
      </c>
      <c r="G97" t="s">
        <v>2528</v>
      </c>
      <c r="H97" t="s">
        <v>1785</v>
      </c>
      <c r="I97">
        <v>3</v>
      </c>
      <c r="J97" t="s">
        <v>2492</v>
      </c>
      <c r="K97" t="s">
        <v>112</v>
      </c>
      <c r="L97">
        <v>430</v>
      </c>
      <c r="M97" s="2">
        <v>0.59583333333333333</v>
      </c>
      <c r="N97" t="s">
        <v>2486</v>
      </c>
      <c r="O97">
        <v>2019</v>
      </c>
      <c r="P97">
        <v>1993</v>
      </c>
      <c r="Q97" s="1">
        <v>45781</v>
      </c>
      <c r="R97" s="1">
        <v>45780</v>
      </c>
      <c r="S97" t="s">
        <v>16</v>
      </c>
    </row>
    <row r="98" spans="1:19" x14ac:dyDescent="0.25">
      <c r="A98">
        <v>97</v>
      </c>
      <c r="B98">
        <v>40060160</v>
      </c>
      <c r="C98" t="s">
        <v>275</v>
      </c>
      <c r="D98" t="s">
        <v>17</v>
      </c>
      <c r="E98" t="s">
        <v>276</v>
      </c>
      <c r="F98" t="s">
        <v>277</v>
      </c>
      <c r="H98" t="s">
        <v>1786</v>
      </c>
      <c r="I98">
        <v>3</v>
      </c>
      <c r="J98" t="s">
        <v>1668</v>
      </c>
      <c r="K98" t="s">
        <v>2488</v>
      </c>
      <c r="L98">
        <v>304</v>
      </c>
      <c r="N98" t="s">
        <v>2494</v>
      </c>
      <c r="O98">
        <v>2018</v>
      </c>
      <c r="P98">
        <v>2018</v>
      </c>
      <c r="Q98" s="1">
        <v>45780</v>
      </c>
      <c r="R98" s="1">
        <v>45774</v>
      </c>
      <c r="S98" t="s">
        <v>16</v>
      </c>
    </row>
    <row r="99" spans="1:19" x14ac:dyDescent="0.25">
      <c r="A99">
        <v>98</v>
      </c>
      <c r="B99">
        <v>54282843</v>
      </c>
      <c r="C99" t="s">
        <v>278</v>
      </c>
      <c r="D99" t="s">
        <v>279</v>
      </c>
      <c r="E99" t="s">
        <v>280</v>
      </c>
      <c r="F99" t="s">
        <v>281</v>
      </c>
      <c r="G99" t="s">
        <v>2549</v>
      </c>
      <c r="H99" t="str">
        <f>"9788027503575"</f>
        <v>9788027503575</v>
      </c>
      <c r="I99">
        <v>3</v>
      </c>
      <c r="J99" t="s">
        <v>2492</v>
      </c>
      <c r="K99" t="s">
        <v>112</v>
      </c>
      <c r="L99">
        <v>40</v>
      </c>
      <c r="M99" s="2">
        <v>5.6250000000000001E-2</v>
      </c>
      <c r="N99" t="s">
        <v>2486</v>
      </c>
      <c r="O99">
        <v>2022</v>
      </c>
      <c r="P99">
        <v>2010</v>
      </c>
      <c r="Q99" s="1">
        <v>45780</v>
      </c>
      <c r="R99" s="1">
        <v>45780</v>
      </c>
      <c r="S99" t="s">
        <v>16</v>
      </c>
    </row>
    <row r="100" spans="1:19" x14ac:dyDescent="0.25">
      <c r="A100">
        <v>99</v>
      </c>
      <c r="B100">
        <v>53287344</v>
      </c>
      <c r="C100" t="s">
        <v>282</v>
      </c>
      <c r="D100" t="s">
        <v>283</v>
      </c>
      <c r="E100" t="s">
        <v>203</v>
      </c>
      <c r="F100" t="s">
        <v>204</v>
      </c>
      <c r="G100" t="s">
        <v>2529</v>
      </c>
      <c r="H100" t="s">
        <v>1787</v>
      </c>
      <c r="I100">
        <v>4</v>
      </c>
      <c r="J100" t="s">
        <v>1753</v>
      </c>
      <c r="K100" t="s">
        <v>112</v>
      </c>
      <c r="L100">
        <v>360</v>
      </c>
      <c r="M100" s="2">
        <v>0.48888888888888887</v>
      </c>
      <c r="N100" t="s">
        <v>2486</v>
      </c>
      <c r="O100">
        <v>2024</v>
      </c>
      <c r="P100">
        <v>2019</v>
      </c>
      <c r="Q100" s="1">
        <v>45780</v>
      </c>
      <c r="R100" s="1">
        <v>45766</v>
      </c>
      <c r="S100" t="s">
        <v>16</v>
      </c>
    </row>
    <row r="101" spans="1:19" x14ac:dyDescent="0.25">
      <c r="A101">
        <v>100</v>
      </c>
      <c r="B101">
        <v>215173424</v>
      </c>
      <c r="C101" t="s">
        <v>284</v>
      </c>
      <c r="D101" t="s">
        <v>285</v>
      </c>
      <c r="E101" t="s">
        <v>220</v>
      </c>
      <c r="F101" t="s">
        <v>221</v>
      </c>
      <c r="H101" t="s">
        <v>1788</v>
      </c>
      <c r="I101">
        <v>4</v>
      </c>
      <c r="J101" t="s">
        <v>1789</v>
      </c>
      <c r="K101" t="s">
        <v>2488</v>
      </c>
      <c r="L101">
        <v>784</v>
      </c>
      <c r="N101" t="s">
        <v>2494</v>
      </c>
      <c r="O101">
        <v>2024</v>
      </c>
      <c r="P101">
        <v>2023</v>
      </c>
      <c r="Q101" s="1">
        <v>45773</v>
      </c>
      <c r="R101" s="1">
        <v>45759</v>
      </c>
      <c r="S101" t="s">
        <v>16</v>
      </c>
    </row>
    <row r="102" spans="1:19" x14ac:dyDescent="0.25">
      <c r="A102">
        <v>101</v>
      </c>
      <c r="B102">
        <v>171841186</v>
      </c>
      <c r="C102" t="s">
        <v>286</v>
      </c>
      <c r="D102" t="s">
        <v>17</v>
      </c>
      <c r="E102" t="s">
        <v>287</v>
      </c>
      <c r="F102" t="s">
        <v>288</v>
      </c>
      <c r="G102" t="s">
        <v>2550</v>
      </c>
      <c r="H102" t="s">
        <v>1790</v>
      </c>
      <c r="I102">
        <v>4</v>
      </c>
      <c r="J102" t="s">
        <v>2492</v>
      </c>
      <c r="K102" t="s">
        <v>112</v>
      </c>
      <c r="L102">
        <v>724</v>
      </c>
      <c r="M102" s="3">
        <v>1.0347222222222223</v>
      </c>
      <c r="N102" t="s">
        <v>2486</v>
      </c>
      <c r="O102">
        <v>2023</v>
      </c>
      <c r="P102">
        <v>2022</v>
      </c>
      <c r="Q102" s="1">
        <v>45772</v>
      </c>
      <c r="R102" s="1">
        <v>45767</v>
      </c>
      <c r="S102" t="s">
        <v>16</v>
      </c>
    </row>
    <row r="103" spans="1:19" x14ac:dyDescent="0.25">
      <c r="A103">
        <v>102</v>
      </c>
      <c r="B103">
        <v>123848434</v>
      </c>
      <c r="C103" t="s">
        <v>289</v>
      </c>
      <c r="D103" t="s">
        <v>17</v>
      </c>
      <c r="E103" t="s">
        <v>290</v>
      </c>
      <c r="F103" t="s">
        <v>291</v>
      </c>
      <c r="G103" t="s">
        <v>2551</v>
      </c>
      <c r="H103" t="s">
        <v>1791</v>
      </c>
      <c r="I103">
        <v>2</v>
      </c>
      <c r="J103" t="s">
        <v>2545</v>
      </c>
      <c r="K103" t="s">
        <v>112</v>
      </c>
      <c r="L103">
        <v>232</v>
      </c>
      <c r="M103" s="2">
        <v>0.44930555555555557</v>
      </c>
      <c r="N103" t="s">
        <v>2486</v>
      </c>
      <c r="O103">
        <v>2024</v>
      </c>
      <c r="P103">
        <v>2023</v>
      </c>
      <c r="Q103" s="1">
        <v>45760</v>
      </c>
      <c r="R103" s="1">
        <v>45759</v>
      </c>
      <c r="S103" t="s">
        <v>16</v>
      </c>
    </row>
    <row r="104" spans="1:19" x14ac:dyDescent="0.25">
      <c r="A104">
        <v>103</v>
      </c>
      <c r="B104">
        <v>202376351</v>
      </c>
      <c r="C104" t="s">
        <v>292</v>
      </c>
      <c r="D104" t="s">
        <v>17</v>
      </c>
      <c r="E104" t="s">
        <v>149</v>
      </c>
      <c r="F104" t="s">
        <v>150</v>
      </c>
      <c r="G104" t="s">
        <v>2552</v>
      </c>
      <c r="H104" t="s">
        <v>1792</v>
      </c>
      <c r="I104">
        <v>3</v>
      </c>
      <c r="J104" t="s">
        <v>2553</v>
      </c>
      <c r="K104" t="s">
        <v>112</v>
      </c>
      <c r="L104">
        <v>304</v>
      </c>
      <c r="M104" s="2">
        <v>0.36944444444444446</v>
      </c>
      <c r="N104" t="s">
        <v>2494</v>
      </c>
      <c r="O104">
        <v>2024</v>
      </c>
      <c r="P104">
        <v>2022</v>
      </c>
      <c r="Q104" s="1">
        <v>45758</v>
      </c>
      <c r="R104" s="1">
        <v>45757</v>
      </c>
      <c r="S104" t="s">
        <v>16</v>
      </c>
    </row>
    <row r="105" spans="1:19" x14ac:dyDescent="0.25">
      <c r="A105">
        <v>104</v>
      </c>
      <c r="B105">
        <v>198656760</v>
      </c>
      <c r="C105" t="s">
        <v>293</v>
      </c>
      <c r="D105" t="s">
        <v>294</v>
      </c>
      <c r="E105" t="s">
        <v>149</v>
      </c>
      <c r="F105" t="s">
        <v>150</v>
      </c>
      <c r="G105" t="s">
        <v>2554</v>
      </c>
      <c r="H105" t="s">
        <v>1793</v>
      </c>
      <c r="I105">
        <v>4</v>
      </c>
      <c r="J105" t="s">
        <v>2499</v>
      </c>
      <c r="K105" t="s">
        <v>112</v>
      </c>
      <c r="L105">
        <v>304</v>
      </c>
      <c r="M105" s="2">
        <v>0.46111111111111114</v>
      </c>
      <c r="N105" t="s">
        <v>2486</v>
      </c>
      <c r="O105">
        <v>2024</v>
      </c>
      <c r="P105">
        <v>2022</v>
      </c>
      <c r="Q105" s="1">
        <v>45757</v>
      </c>
      <c r="R105" s="1">
        <v>45756</v>
      </c>
      <c r="S105" t="s">
        <v>16</v>
      </c>
    </row>
    <row r="106" spans="1:19" x14ac:dyDescent="0.25">
      <c r="A106">
        <v>105</v>
      </c>
      <c r="B106">
        <v>201856416</v>
      </c>
      <c r="C106" t="s">
        <v>295</v>
      </c>
      <c r="D106" t="s">
        <v>296</v>
      </c>
      <c r="E106" t="s">
        <v>220</v>
      </c>
      <c r="F106" t="s">
        <v>221</v>
      </c>
      <c r="H106" t="s">
        <v>1794</v>
      </c>
      <c r="I106">
        <v>4</v>
      </c>
      <c r="J106" t="s">
        <v>1668</v>
      </c>
      <c r="K106" t="s">
        <v>2488</v>
      </c>
      <c r="L106">
        <v>544</v>
      </c>
      <c r="N106" t="s">
        <v>2494</v>
      </c>
      <c r="O106">
        <v>2023</v>
      </c>
      <c r="P106">
        <v>2023</v>
      </c>
      <c r="Q106" s="1">
        <v>45756</v>
      </c>
      <c r="R106" s="1">
        <v>45737</v>
      </c>
      <c r="S106" t="s">
        <v>16</v>
      </c>
    </row>
    <row r="107" spans="1:19" x14ac:dyDescent="0.25">
      <c r="A107">
        <v>106</v>
      </c>
      <c r="B107">
        <v>16160999</v>
      </c>
      <c r="C107" t="s">
        <v>297</v>
      </c>
      <c r="D107" t="s">
        <v>17</v>
      </c>
      <c r="E107" t="s">
        <v>298</v>
      </c>
      <c r="F107" t="s">
        <v>299</v>
      </c>
      <c r="G107" t="s">
        <v>2555</v>
      </c>
      <c r="H107" t="s">
        <v>1795</v>
      </c>
      <c r="I107">
        <v>1</v>
      </c>
      <c r="J107" t="s">
        <v>1687</v>
      </c>
      <c r="K107" t="s">
        <v>112</v>
      </c>
      <c r="L107">
        <v>544</v>
      </c>
      <c r="M107" s="2">
        <v>0.84722222222222221</v>
      </c>
      <c r="N107" t="s">
        <v>2486</v>
      </c>
      <c r="O107">
        <v>2019</v>
      </c>
      <c r="P107">
        <v>2011</v>
      </c>
      <c r="Q107" s="1">
        <v>45752</v>
      </c>
      <c r="R107" s="1">
        <v>45742</v>
      </c>
      <c r="S107" t="s">
        <v>16</v>
      </c>
    </row>
    <row r="108" spans="1:19" x14ac:dyDescent="0.25">
      <c r="A108">
        <v>107</v>
      </c>
      <c r="B108">
        <v>214448540</v>
      </c>
      <c r="C108" t="s">
        <v>300</v>
      </c>
      <c r="D108" t="s">
        <v>301</v>
      </c>
      <c r="E108" t="s">
        <v>302</v>
      </c>
      <c r="F108" t="s">
        <v>303</v>
      </c>
      <c r="G108" t="s">
        <v>2556</v>
      </c>
      <c r="H108" t="s">
        <v>1796</v>
      </c>
      <c r="I108">
        <v>3</v>
      </c>
      <c r="J108" t="s">
        <v>2499</v>
      </c>
      <c r="K108" t="s">
        <v>112</v>
      </c>
      <c r="L108">
        <v>616</v>
      </c>
      <c r="M108" s="3">
        <v>1.0152777777777777</v>
      </c>
      <c r="N108" t="s">
        <v>2486</v>
      </c>
      <c r="O108">
        <v>2024</v>
      </c>
      <c r="P108">
        <v>2023</v>
      </c>
      <c r="Q108" s="1">
        <v>45745</v>
      </c>
      <c r="R108" s="1">
        <v>45731</v>
      </c>
      <c r="S108" t="s">
        <v>16</v>
      </c>
    </row>
    <row r="109" spans="1:19" x14ac:dyDescent="0.25">
      <c r="A109">
        <v>108</v>
      </c>
      <c r="B109">
        <v>838826</v>
      </c>
      <c r="C109" t="s">
        <v>2557</v>
      </c>
      <c r="D109" t="s">
        <v>17</v>
      </c>
      <c r="E109" t="s">
        <v>304</v>
      </c>
      <c r="F109" t="s">
        <v>305</v>
      </c>
      <c r="H109" t="s">
        <v>1797</v>
      </c>
      <c r="I109">
        <v>3</v>
      </c>
      <c r="J109" t="s">
        <v>2558</v>
      </c>
      <c r="K109" t="s">
        <v>2488</v>
      </c>
      <c r="L109">
        <v>392</v>
      </c>
      <c r="N109" t="s">
        <v>2486</v>
      </c>
      <c r="O109">
        <v>2004</v>
      </c>
      <c r="P109">
        <v>2003</v>
      </c>
      <c r="Q109" s="1">
        <v>42902</v>
      </c>
      <c r="R109" s="1">
        <v>42850</v>
      </c>
      <c r="S109" t="s">
        <v>16</v>
      </c>
    </row>
    <row r="110" spans="1:19" x14ac:dyDescent="0.25">
      <c r="A110">
        <v>109</v>
      </c>
      <c r="B110">
        <v>25017458</v>
      </c>
      <c r="C110" t="s">
        <v>306</v>
      </c>
      <c r="D110" t="s">
        <v>307</v>
      </c>
      <c r="E110" t="s">
        <v>127</v>
      </c>
      <c r="F110" t="s">
        <v>128</v>
      </c>
      <c r="H110" t="s">
        <v>1798</v>
      </c>
      <c r="I110">
        <v>3</v>
      </c>
      <c r="J110" t="s">
        <v>1799</v>
      </c>
      <c r="K110" t="s">
        <v>57</v>
      </c>
      <c r="L110">
        <v>376</v>
      </c>
      <c r="N110" t="s">
        <v>2486</v>
      </c>
      <c r="O110">
        <v>2015</v>
      </c>
      <c r="P110">
        <v>2012</v>
      </c>
      <c r="Q110" s="1">
        <v>45743</v>
      </c>
      <c r="R110" s="1">
        <v>45677</v>
      </c>
      <c r="S110" t="s">
        <v>16</v>
      </c>
    </row>
    <row r="111" spans="1:19" x14ac:dyDescent="0.25">
      <c r="A111">
        <v>110</v>
      </c>
      <c r="B111">
        <v>197128050</v>
      </c>
      <c r="C111" t="s">
        <v>308</v>
      </c>
      <c r="D111" t="s">
        <v>309</v>
      </c>
      <c r="E111" t="s">
        <v>27</v>
      </c>
      <c r="F111" t="s">
        <v>28</v>
      </c>
      <c r="H111" t="s">
        <v>1800</v>
      </c>
      <c r="I111">
        <v>4</v>
      </c>
      <c r="J111" t="s">
        <v>1759</v>
      </c>
      <c r="K111" t="s">
        <v>2488</v>
      </c>
      <c r="L111">
        <v>432</v>
      </c>
      <c r="N111" t="s">
        <v>2494</v>
      </c>
      <c r="O111">
        <v>2023</v>
      </c>
      <c r="P111">
        <v>2019</v>
      </c>
      <c r="Q111" s="1">
        <v>45736</v>
      </c>
      <c r="R111" s="1">
        <v>45732</v>
      </c>
      <c r="S111" t="s">
        <v>16</v>
      </c>
    </row>
    <row r="112" spans="1:19" x14ac:dyDescent="0.25">
      <c r="A112">
        <v>111</v>
      </c>
      <c r="B112">
        <v>61473429</v>
      </c>
      <c r="C112" t="s">
        <v>310</v>
      </c>
      <c r="D112" t="s">
        <v>311</v>
      </c>
      <c r="E112" t="s">
        <v>27</v>
      </c>
      <c r="F112" t="s">
        <v>28</v>
      </c>
      <c r="H112" t="s">
        <v>1801</v>
      </c>
      <c r="I112">
        <v>4</v>
      </c>
      <c r="J112" t="s">
        <v>1759</v>
      </c>
      <c r="K112" t="s">
        <v>2488</v>
      </c>
      <c r="L112">
        <v>528</v>
      </c>
      <c r="N112" t="s">
        <v>2494</v>
      </c>
      <c r="O112">
        <v>2022</v>
      </c>
      <c r="P112">
        <v>2018</v>
      </c>
      <c r="Q112" s="1">
        <v>45732</v>
      </c>
      <c r="R112" s="1">
        <v>45726</v>
      </c>
      <c r="S112" t="s">
        <v>16</v>
      </c>
    </row>
    <row r="113" spans="1:19" x14ac:dyDescent="0.25">
      <c r="A113">
        <v>112</v>
      </c>
      <c r="B113">
        <v>58140538</v>
      </c>
      <c r="C113" t="s">
        <v>312</v>
      </c>
      <c r="D113" t="s">
        <v>2559</v>
      </c>
      <c r="E113" t="s">
        <v>302</v>
      </c>
      <c r="F113" t="s">
        <v>303</v>
      </c>
      <c r="G113" t="s">
        <v>2556</v>
      </c>
      <c r="H113" t="s">
        <v>1802</v>
      </c>
      <c r="I113">
        <v>5</v>
      </c>
      <c r="J113" t="s">
        <v>2499</v>
      </c>
      <c r="K113" t="s">
        <v>112</v>
      </c>
      <c r="L113">
        <v>660</v>
      </c>
      <c r="M113" s="3">
        <v>1.1548611111111111</v>
      </c>
      <c r="N113" t="s">
        <v>2486</v>
      </c>
      <c r="O113">
        <v>2025</v>
      </c>
      <c r="P113">
        <v>2020</v>
      </c>
      <c r="Q113" s="1">
        <v>45731</v>
      </c>
      <c r="R113" s="1">
        <v>45725</v>
      </c>
      <c r="S113" t="s">
        <v>16</v>
      </c>
    </row>
    <row r="114" spans="1:19" x14ac:dyDescent="0.25">
      <c r="A114">
        <v>113</v>
      </c>
      <c r="B114">
        <v>48731637</v>
      </c>
      <c r="C114" t="s">
        <v>313</v>
      </c>
      <c r="D114" t="s">
        <v>314</v>
      </c>
      <c r="E114" t="s">
        <v>315</v>
      </c>
      <c r="F114" t="s">
        <v>316</v>
      </c>
      <c r="H114" t="s">
        <v>1803</v>
      </c>
      <c r="I114">
        <v>4</v>
      </c>
      <c r="J114" t="s">
        <v>1780</v>
      </c>
      <c r="K114" t="s">
        <v>57</v>
      </c>
      <c r="L114">
        <v>368</v>
      </c>
      <c r="N114" t="s">
        <v>2486</v>
      </c>
      <c r="O114">
        <v>2019</v>
      </c>
      <c r="P114">
        <v>2014</v>
      </c>
      <c r="Q114" s="1">
        <v>45723</v>
      </c>
      <c r="R114" s="1">
        <v>45718</v>
      </c>
      <c r="S114" t="s">
        <v>16</v>
      </c>
    </row>
    <row r="115" spans="1:19" x14ac:dyDescent="0.25">
      <c r="A115">
        <v>114</v>
      </c>
      <c r="B115">
        <v>214189212</v>
      </c>
      <c r="C115" t="s">
        <v>317</v>
      </c>
      <c r="D115" t="s">
        <v>2560</v>
      </c>
      <c r="E115" t="s">
        <v>197</v>
      </c>
      <c r="F115" t="s">
        <v>198</v>
      </c>
      <c r="G115" t="s">
        <v>2561</v>
      </c>
      <c r="H115" t="s">
        <v>1804</v>
      </c>
      <c r="I115">
        <v>2</v>
      </c>
      <c r="J115" t="s">
        <v>2492</v>
      </c>
      <c r="K115" t="s">
        <v>112</v>
      </c>
      <c r="L115">
        <v>399</v>
      </c>
      <c r="M115" s="2">
        <v>0.51875000000000004</v>
      </c>
      <c r="N115" t="s">
        <v>2486</v>
      </c>
      <c r="O115">
        <v>2024</v>
      </c>
      <c r="P115">
        <v>2022</v>
      </c>
      <c r="Q115" s="1">
        <v>45722</v>
      </c>
      <c r="R115" s="1">
        <v>45711</v>
      </c>
      <c r="S115" t="s">
        <v>16</v>
      </c>
    </row>
    <row r="116" spans="1:19" x14ac:dyDescent="0.25">
      <c r="A116">
        <v>115</v>
      </c>
      <c r="B116">
        <v>223546129</v>
      </c>
      <c r="C116" t="s">
        <v>318</v>
      </c>
      <c r="D116" t="s">
        <v>17</v>
      </c>
      <c r="E116" t="s">
        <v>319</v>
      </c>
      <c r="F116" t="s">
        <v>320</v>
      </c>
      <c r="H116" t="s">
        <v>1805</v>
      </c>
      <c r="I116">
        <v>3</v>
      </c>
      <c r="J116" t="s">
        <v>1759</v>
      </c>
      <c r="K116" t="s">
        <v>2488</v>
      </c>
      <c r="L116">
        <v>296</v>
      </c>
      <c r="N116" t="s">
        <v>2494</v>
      </c>
      <c r="O116">
        <v>2024</v>
      </c>
      <c r="P116">
        <v>2018</v>
      </c>
      <c r="Q116" s="1">
        <v>45716</v>
      </c>
      <c r="R116" s="1">
        <v>45714</v>
      </c>
      <c r="S116" t="s">
        <v>16</v>
      </c>
    </row>
    <row r="117" spans="1:19" x14ac:dyDescent="0.25">
      <c r="A117">
        <v>116</v>
      </c>
      <c r="B117">
        <v>222104861</v>
      </c>
      <c r="C117" t="s">
        <v>321</v>
      </c>
      <c r="D117" t="s">
        <v>17</v>
      </c>
      <c r="E117" t="s">
        <v>322</v>
      </c>
      <c r="F117" t="s">
        <v>323</v>
      </c>
      <c r="H117" t="s">
        <v>1806</v>
      </c>
      <c r="I117">
        <v>4</v>
      </c>
      <c r="J117" t="s">
        <v>1730</v>
      </c>
      <c r="K117" t="s">
        <v>2488</v>
      </c>
      <c r="L117">
        <v>376</v>
      </c>
      <c r="N117" t="s">
        <v>2494</v>
      </c>
      <c r="O117">
        <v>2024</v>
      </c>
      <c r="P117">
        <v>2024</v>
      </c>
      <c r="Q117" s="1">
        <v>45712</v>
      </c>
      <c r="R117" s="1">
        <v>45711</v>
      </c>
      <c r="S117" t="s">
        <v>16</v>
      </c>
    </row>
    <row r="118" spans="1:19" x14ac:dyDescent="0.25">
      <c r="A118">
        <v>117</v>
      </c>
      <c r="B118">
        <v>63054226</v>
      </c>
      <c r="C118" t="s">
        <v>324</v>
      </c>
      <c r="D118" t="s">
        <v>17</v>
      </c>
      <c r="E118" t="s">
        <v>163</v>
      </c>
      <c r="F118" t="s">
        <v>164</v>
      </c>
      <c r="H118" t="s">
        <v>1807</v>
      </c>
      <c r="I118">
        <v>4</v>
      </c>
      <c r="J118" t="s">
        <v>1723</v>
      </c>
      <c r="K118" t="s">
        <v>2488</v>
      </c>
      <c r="L118">
        <v>488</v>
      </c>
      <c r="N118" t="s">
        <v>2494</v>
      </c>
      <c r="O118">
        <v>2022</v>
      </c>
      <c r="P118">
        <v>2013</v>
      </c>
      <c r="Q118" s="1">
        <v>45708</v>
      </c>
      <c r="R118" s="1">
        <v>45703</v>
      </c>
      <c r="S118" t="s">
        <v>16</v>
      </c>
    </row>
    <row r="119" spans="1:19" x14ac:dyDescent="0.25">
      <c r="A119">
        <v>118</v>
      </c>
      <c r="B119">
        <v>30175251</v>
      </c>
      <c r="C119" t="s">
        <v>325</v>
      </c>
      <c r="D119" t="s">
        <v>17</v>
      </c>
      <c r="E119" t="s">
        <v>326</v>
      </c>
      <c r="F119" t="s">
        <v>327</v>
      </c>
      <c r="H119" t="s">
        <v>1808</v>
      </c>
      <c r="I119">
        <v>4</v>
      </c>
      <c r="J119" t="s">
        <v>1809</v>
      </c>
      <c r="K119" t="s">
        <v>2488</v>
      </c>
      <c r="L119">
        <v>584</v>
      </c>
      <c r="N119" t="s">
        <v>2494</v>
      </c>
      <c r="O119">
        <v>2016</v>
      </c>
      <c r="P119">
        <v>2013</v>
      </c>
      <c r="Q119" s="1">
        <v>45702</v>
      </c>
      <c r="R119" s="1">
        <v>45697</v>
      </c>
      <c r="S119" t="s">
        <v>16</v>
      </c>
    </row>
    <row r="120" spans="1:19" x14ac:dyDescent="0.25">
      <c r="A120">
        <v>119</v>
      </c>
      <c r="B120">
        <v>18140158</v>
      </c>
      <c r="C120" t="s">
        <v>328</v>
      </c>
      <c r="D120" t="s">
        <v>17</v>
      </c>
      <c r="E120" t="s">
        <v>329</v>
      </c>
      <c r="F120" t="s">
        <v>330</v>
      </c>
      <c r="H120" t="s">
        <v>1810</v>
      </c>
      <c r="I120">
        <v>4</v>
      </c>
      <c r="J120" t="s">
        <v>2492</v>
      </c>
      <c r="K120" t="s">
        <v>112</v>
      </c>
      <c r="L120">
        <v>396</v>
      </c>
      <c r="M120" s="2">
        <v>0.5444444444444444</v>
      </c>
      <c r="N120" t="s">
        <v>2486</v>
      </c>
      <c r="O120">
        <v>2019</v>
      </c>
      <c r="P120">
        <v>2013</v>
      </c>
      <c r="Q120" s="1">
        <v>45702</v>
      </c>
      <c r="R120" s="1">
        <v>45699</v>
      </c>
      <c r="S120" t="s">
        <v>16</v>
      </c>
    </row>
    <row r="121" spans="1:19" x14ac:dyDescent="0.25">
      <c r="A121">
        <v>120</v>
      </c>
      <c r="B121">
        <v>56100387</v>
      </c>
      <c r="C121" t="s">
        <v>331</v>
      </c>
      <c r="D121" t="s">
        <v>17</v>
      </c>
      <c r="E121" t="s">
        <v>332</v>
      </c>
      <c r="F121" t="s">
        <v>333</v>
      </c>
      <c r="G121" t="s">
        <v>2562</v>
      </c>
      <c r="H121" t="s">
        <v>1812</v>
      </c>
      <c r="I121">
        <v>4</v>
      </c>
      <c r="J121" t="s">
        <v>2525</v>
      </c>
      <c r="K121" t="s">
        <v>112</v>
      </c>
      <c r="L121">
        <v>304</v>
      </c>
      <c r="M121" s="2">
        <v>0.37638888888888888</v>
      </c>
      <c r="N121" t="s">
        <v>2494</v>
      </c>
      <c r="O121">
        <v>2020</v>
      </c>
      <c r="P121">
        <v>2020</v>
      </c>
      <c r="Q121" s="1">
        <v>45696</v>
      </c>
      <c r="R121" s="1">
        <v>45691</v>
      </c>
      <c r="S121" t="s">
        <v>16</v>
      </c>
    </row>
    <row r="122" spans="1:19" x14ac:dyDescent="0.25">
      <c r="A122">
        <v>121</v>
      </c>
      <c r="B122">
        <v>216642849</v>
      </c>
      <c r="C122" t="s">
        <v>334</v>
      </c>
      <c r="D122" t="s">
        <v>17</v>
      </c>
      <c r="E122" t="s">
        <v>335</v>
      </c>
      <c r="F122" t="s">
        <v>2563</v>
      </c>
      <c r="G122" t="s">
        <v>2564</v>
      </c>
      <c r="H122" t="s">
        <v>1813</v>
      </c>
      <c r="I122">
        <v>2</v>
      </c>
      <c r="J122" t="s">
        <v>2565</v>
      </c>
      <c r="K122" t="s">
        <v>112</v>
      </c>
      <c r="L122">
        <v>264</v>
      </c>
      <c r="M122" s="2">
        <v>0.27361111111111114</v>
      </c>
      <c r="N122" t="s">
        <v>2494</v>
      </c>
      <c r="O122">
        <v>2024</v>
      </c>
      <c r="P122">
        <v>2024</v>
      </c>
      <c r="Q122" s="1">
        <v>45695</v>
      </c>
      <c r="R122" s="1">
        <v>45694</v>
      </c>
      <c r="S122" t="s">
        <v>16</v>
      </c>
    </row>
    <row r="123" spans="1:19" x14ac:dyDescent="0.25">
      <c r="A123">
        <v>122</v>
      </c>
      <c r="B123">
        <v>50251321</v>
      </c>
      <c r="C123" t="s">
        <v>336</v>
      </c>
      <c r="D123" t="s">
        <v>17</v>
      </c>
      <c r="E123" t="s">
        <v>337</v>
      </c>
      <c r="F123" t="s">
        <v>338</v>
      </c>
      <c r="G123" t="s">
        <v>2566</v>
      </c>
      <c r="H123" t="s">
        <v>1814</v>
      </c>
      <c r="I123">
        <v>2</v>
      </c>
      <c r="J123" t="s">
        <v>2545</v>
      </c>
      <c r="K123" t="s">
        <v>112</v>
      </c>
      <c r="L123">
        <v>248</v>
      </c>
      <c r="M123" s="2">
        <v>0.24861111111111112</v>
      </c>
      <c r="N123" t="s">
        <v>2486</v>
      </c>
      <c r="O123">
        <v>2020</v>
      </c>
      <c r="P123">
        <v>2020</v>
      </c>
      <c r="Q123" s="1">
        <v>45694</v>
      </c>
      <c r="R123" s="1">
        <v>45694</v>
      </c>
      <c r="S123" t="s">
        <v>16</v>
      </c>
    </row>
    <row r="124" spans="1:19" x14ac:dyDescent="0.25">
      <c r="A124">
        <v>123</v>
      </c>
      <c r="B124">
        <v>43362928</v>
      </c>
      <c r="C124" t="s">
        <v>339</v>
      </c>
      <c r="D124" t="s">
        <v>17</v>
      </c>
      <c r="E124" t="s">
        <v>163</v>
      </c>
      <c r="F124" t="s">
        <v>164</v>
      </c>
      <c r="H124" t="s">
        <v>1815</v>
      </c>
      <c r="I124">
        <v>4</v>
      </c>
      <c r="J124" t="s">
        <v>1816</v>
      </c>
      <c r="K124" t="s">
        <v>2488</v>
      </c>
      <c r="L124">
        <v>459</v>
      </c>
      <c r="N124" t="s">
        <v>2494</v>
      </c>
      <c r="O124">
        <v>2018</v>
      </c>
      <c r="P124">
        <v>2016</v>
      </c>
      <c r="Q124" s="1">
        <v>45691</v>
      </c>
      <c r="R124" s="1">
        <v>45689</v>
      </c>
      <c r="S124" t="s">
        <v>16</v>
      </c>
    </row>
    <row r="125" spans="1:19" x14ac:dyDescent="0.25">
      <c r="A125">
        <v>124</v>
      </c>
      <c r="B125">
        <v>57600275</v>
      </c>
      <c r="C125" t="s">
        <v>340</v>
      </c>
      <c r="D125" t="s">
        <v>17</v>
      </c>
      <c r="E125" t="s">
        <v>341</v>
      </c>
      <c r="F125" t="s">
        <v>342</v>
      </c>
      <c r="H125" t="s">
        <v>1817</v>
      </c>
      <c r="I125">
        <v>4</v>
      </c>
      <c r="J125" t="s">
        <v>1770</v>
      </c>
      <c r="K125" t="s">
        <v>2488</v>
      </c>
      <c r="L125">
        <v>352</v>
      </c>
      <c r="N125" t="s">
        <v>2494</v>
      </c>
      <c r="O125">
        <v>2021</v>
      </c>
      <c r="P125">
        <v>2019</v>
      </c>
      <c r="Q125" s="1">
        <v>45684</v>
      </c>
      <c r="R125" s="1">
        <v>45677</v>
      </c>
      <c r="S125" t="s">
        <v>16</v>
      </c>
    </row>
    <row r="126" spans="1:19" x14ac:dyDescent="0.25">
      <c r="A126">
        <v>125</v>
      </c>
      <c r="B126">
        <v>199215534</v>
      </c>
      <c r="C126" t="s">
        <v>343</v>
      </c>
      <c r="D126" t="s">
        <v>17</v>
      </c>
      <c r="E126" t="s">
        <v>344</v>
      </c>
      <c r="F126" t="s">
        <v>345</v>
      </c>
      <c r="G126" t="s">
        <v>2567</v>
      </c>
      <c r="H126" t="s">
        <v>1818</v>
      </c>
      <c r="I126">
        <v>2</v>
      </c>
      <c r="J126" t="s">
        <v>1725</v>
      </c>
      <c r="K126" t="s">
        <v>112</v>
      </c>
      <c r="L126">
        <v>245</v>
      </c>
      <c r="M126" s="2">
        <v>0.24236111111111111</v>
      </c>
      <c r="N126" t="s">
        <v>2486</v>
      </c>
      <c r="O126">
        <v>2023</v>
      </c>
      <c r="P126">
        <v>2023</v>
      </c>
      <c r="Q126" s="1">
        <v>45683</v>
      </c>
      <c r="R126" s="1">
        <v>45683</v>
      </c>
      <c r="S126" t="s">
        <v>16</v>
      </c>
    </row>
    <row r="127" spans="1:19" x14ac:dyDescent="0.25">
      <c r="A127">
        <v>126</v>
      </c>
      <c r="B127">
        <v>206322815</v>
      </c>
      <c r="C127" t="s">
        <v>346</v>
      </c>
      <c r="D127" t="s">
        <v>347</v>
      </c>
      <c r="E127" t="s">
        <v>241</v>
      </c>
      <c r="F127" t="s">
        <v>242</v>
      </c>
      <c r="G127" t="s">
        <v>2568</v>
      </c>
      <c r="H127" t="s">
        <v>1819</v>
      </c>
      <c r="I127">
        <v>3</v>
      </c>
      <c r="J127" t="s">
        <v>2545</v>
      </c>
      <c r="K127" t="s">
        <v>112</v>
      </c>
      <c r="L127">
        <v>1152</v>
      </c>
      <c r="M127" s="3">
        <v>1.9395833333333334</v>
      </c>
      <c r="N127" t="s">
        <v>2486</v>
      </c>
      <c r="O127">
        <v>2024</v>
      </c>
      <c r="P127">
        <v>2022</v>
      </c>
      <c r="Q127" s="1">
        <v>45681</v>
      </c>
      <c r="R127" s="1">
        <v>45660</v>
      </c>
      <c r="S127" t="s">
        <v>16</v>
      </c>
    </row>
    <row r="128" spans="1:19" x14ac:dyDescent="0.25">
      <c r="A128">
        <v>127</v>
      </c>
      <c r="B128">
        <v>72417922</v>
      </c>
      <c r="C128" t="s">
        <v>348</v>
      </c>
      <c r="D128" t="s">
        <v>17</v>
      </c>
      <c r="E128" t="s">
        <v>349</v>
      </c>
      <c r="F128" t="s">
        <v>350</v>
      </c>
      <c r="H128" t="s">
        <v>1821</v>
      </c>
      <c r="I128">
        <v>4</v>
      </c>
      <c r="J128" t="s">
        <v>1822</v>
      </c>
      <c r="K128" t="s">
        <v>2488</v>
      </c>
      <c r="L128">
        <v>360</v>
      </c>
      <c r="N128" t="s">
        <v>2494</v>
      </c>
      <c r="O128">
        <v>2022</v>
      </c>
      <c r="P128">
        <v>2007</v>
      </c>
      <c r="Q128" s="1">
        <v>45681</v>
      </c>
      <c r="R128" s="1">
        <v>45678</v>
      </c>
      <c r="S128" t="s">
        <v>16</v>
      </c>
    </row>
    <row r="129" spans="1:19" x14ac:dyDescent="0.25">
      <c r="A129">
        <v>128</v>
      </c>
      <c r="B129">
        <v>40691871</v>
      </c>
      <c r="C129" t="s">
        <v>351</v>
      </c>
      <c r="D129" t="s">
        <v>17</v>
      </c>
      <c r="E129" t="s">
        <v>352</v>
      </c>
      <c r="F129" t="s">
        <v>353</v>
      </c>
      <c r="H129" t="s">
        <v>1823</v>
      </c>
      <c r="I129">
        <v>4</v>
      </c>
      <c r="J129" t="s">
        <v>1668</v>
      </c>
      <c r="K129" t="s">
        <v>2488</v>
      </c>
      <c r="L129">
        <v>280</v>
      </c>
      <c r="N129" t="s">
        <v>2494</v>
      </c>
      <c r="O129">
        <v>2018</v>
      </c>
      <c r="P129">
        <v>2018</v>
      </c>
      <c r="Q129" s="1">
        <v>45634</v>
      </c>
      <c r="R129" s="1">
        <v>45627</v>
      </c>
      <c r="S129" t="s">
        <v>16</v>
      </c>
    </row>
    <row r="130" spans="1:19" x14ac:dyDescent="0.25">
      <c r="A130">
        <v>129</v>
      </c>
      <c r="B130">
        <v>199134543</v>
      </c>
      <c r="C130" t="s">
        <v>354</v>
      </c>
      <c r="D130" t="s">
        <v>17</v>
      </c>
      <c r="E130" t="s">
        <v>62</v>
      </c>
      <c r="F130" t="s">
        <v>63</v>
      </c>
      <c r="H130" t="s">
        <v>1824</v>
      </c>
      <c r="I130">
        <v>3</v>
      </c>
      <c r="J130" t="s">
        <v>1668</v>
      </c>
      <c r="K130" t="s">
        <v>2488</v>
      </c>
      <c r="L130">
        <v>464</v>
      </c>
      <c r="N130" t="s">
        <v>2494</v>
      </c>
      <c r="O130">
        <v>2023</v>
      </c>
      <c r="P130">
        <v>2023</v>
      </c>
      <c r="Q130" s="1">
        <v>45674</v>
      </c>
      <c r="R130" s="1">
        <v>45672</v>
      </c>
      <c r="S130" t="s">
        <v>16</v>
      </c>
    </row>
    <row r="131" spans="1:19" x14ac:dyDescent="0.25">
      <c r="A131">
        <v>130</v>
      </c>
      <c r="B131">
        <v>40493858</v>
      </c>
      <c r="C131" t="s">
        <v>355</v>
      </c>
      <c r="D131" t="s">
        <v>17</v>
      </c>
      <c r="E131" t="s">
        <v>356</v>
      </c>
      <c r="F131" t="s">
        <v>357</v>
      </c>
      <c r="H131" t="s">
        <v>1825</v>
      </c>
      <c r="I131">
        <v>4</v>
      </c>
      <c r="J131" t="s">
        <v>1668</v>
      </c>
      <c r="K131" t="s">
        <v>2488</v>
      </c>
      <c r="L131">
        <v>320</v>
      </c>
      <c r="N131" t="s">
        <v>2494</v>
      </c>
      <c r="O131">
        <v>2018</v>
      </c>
      <c r="P131">
        <v>2015</v>
      </c>
      <c r="Q131" s="1">
        <v>45667</v>
      </c>
      <c r="R131" s="1">
        <v>45663</v>
      </c>
      <c r="S131" t="s">
        <v>16</v>
      </c>
    </row>
    <row r="132" spans="1:19" x14ac:dyDescent="0.25">
      <c r="A132">
        <v>131</v>
      </c>
      <c r="B132">
        <v>169757740</v>
      </c>
      <c r="C132" t="s">
        <v>358</v>
      </c>
      <c r="D132" t="s">
        <v>17</v>
      </c>
      <c r="E132" t="s">
        <v>359</v>
      </c>
      <c r="F132" t="s">
        <v>360</v>
      </c>
      <c r="G132" t="s">
        <v>2518</v>
      </c>
      <c r="H132" t="s">
        <v>1826</v>
      </c>
      <c r="I132">
        <v>2</v>
      </c>
      <c r="J132" t="s">
        <v>2519</v>
      </c>
      <c r="K132" t="s">
        <v>112</v>
      </c>
      <c r="L132">
        <v>288</v>
      </c>
      <c r="M132" s="2">
        <v>0.29375000000000001</v>
      </c>
      <c r="N132" t="s">
        <v>2494</v>
      </c>
      <c r="O132">
        <v>2023</v>
      </c>
      <c r="P132">
        <v>2023</v>
      </c>
      <c r="Q132" s="1">
        <v>45660</v>
      </c>
      <c r="R132" s="1">
        <v>45658</v>
      </c>
      <c r="S132" t="s">
        <v>16</v>
      </c>
    </row>
    <row r="133" spans="1:19" x14ac:dyDescent="0.25">
      <c r="A133">
        <v>132</v>
      </c>
      <c r="B133">
        <v>58340727</v>
      </c>
      <c r="C133" t="s">
        <v>2569</v>
      </c>
      <c r="D133" t="s">
        <v>17</v>
      </c>
      <c r="E133" t="s">
        <v>361</v>
      </c>
      <c r="F133" t="s">
        <v>362</v>
      </c>
      <c r="H133" t="s">
        <v>1827</v>
      </c>
      <c r="I133">
        <v>3</v>
      </c>
      <c r="J133" t="s">
        <v>1828</v>
      </c>
      <c r="K133" t="s">
        <v>57</v>
      </c>
      <c r="L133">
        <v>375</v>
      </c>
      <c r="N133" t="s">
        <v>2486</v>
      </c>
      <c r="O133">
        <v>2022</v>
      </c>
      <c r="P133">
        <v>2022</v>
      </c>
      <c r="Q133" s="1">
        <v>45658</v>
      </c>
      <c r="R133" s="1">
        <v>45638</v>
      </c>
      <c r="S133" t="s">
        <v>16</v>
      </c>
    </row>
    <row r="134" spans="1:19" x14ac:dyDescent="0.25">
      <c r="A134">
        <v>133</v>
      </c>
      <c r="B134">
        <v>36286765</v>
      </c>
      <c r="C134" t="s">
        <v>363</v>
      </c>
      <c r="D134" t="s">
        <v>17</v>
      </c>
      <c r="E134" t="s">
        <v>364</v>
      </c>
      <c r="F134" t="s">
        <v>365</v>
      </c>
      <c r="H134" t="str">
        <f>"9788089737703"</f>
        <v>9788089737703</v>
      </c>
      <c r="I134">
        <v>3</v>
      </c>
      <c r="J134" t="s">
        <v>1829</v>
      </c>
      <c r="K134" t="s">
        <v>57</v>
      </c>
      <c r="L134">
        <v>140</v>
      </c>
      <c r="N134" t="s">
        <v>2486</v>
      </c>
      <c r="O134">
        <v>2017</v>
      </c>
      <c r="P134">
        <v>2006</v>
      </c>
      <c r="Q134" s="1">
        <v>44802</v>
      </c>
      <c r="R134" s="1">
        <v>44801</v>
      </c>
      <c r="S134" t="s">
        <v>16</v>
      </c>
    </row>
    <row r="135" spans="1:19" x14ac:dyDescent="0.25">
      <c r="A135">
        <v>134</v>
      </c>
      <c r="B135">
        <v>59462661</v>
      </c>
      <c r="C135" t="s">
        <v>366</v>
      </c>
      <c r="D135" t="s">
        <v>17</v>
      </c>
      <c r="E135" t="s">
        <v>367</v>
      </c>
      <c r="F135" t="s">
        <v>368</v>
      </c>
      <c r="G135" t="s">
        <v>2552</v>
      </c>
      <c r="H135" t="str">
        <f>"9788055179698"</f>
        <v>9788055179698</v>
      </c>
      <c r="I135">
        <v>4</v>
      </c>
      <c r="J135" t="s">
        <v>2532</v>
      </c>
      <c r="K135" t="s">
        <v>112</v>
      </c>
      <c r="L135">
        <v>336</v>
      </c>
      <c r="M135" s="2">
        <v>0.40486111111111112</v>
      </c>
      <c r="N135" t="s">
        <v>2494</v>
      </c>
      <c r="O135">
        <v>2024</v>
      </c>
      <c r="P135">
        <v>2020</v>
      </c>
      <c r="Q135" s="1">
        <v>45656</v>
      </c>
      <c r="R135" s="1">
        <v>45641</v>
      </c>
      <c r="S135" t="s">
        <v>16</v>
      </c>
    </row>
    <row r="136" spans="1:19" x14ac:dyDescent="0.25">
      <c r="A136">
        <v>135</v>
      </c>
      <c r="B136">
        <v>51107630</v>
      </c>
      <c r="C136" t="s">
        <v>369</v>
      </c>
      <c r="D136" t="s">
        <v>17</v>
      </c>
      <c r="E136" t="s">
        <v>370</v>
      </c>
      <c r="F136" t="s">
        <v>371</v>
      </c>
      <c r="G136" t="s">
        <v>2570</v>
      </c>
      <c r="H136" t="s">
        <v>1830</v>
      </c>
      <c r="I136">
        <v>3</v>
      </c>
      <c r="J136" t="s">
        <v>2571</v>
      </c>
      <c r="K136" t="s">
        <v>112</v>
      </c>
      <c r="L136">
        <v>312</v>
      </c>
      <c r="M136" s="2">
        <v>0.60624999999999996</v>
      </c>
      <c r="N136" t="s">
        <v>2486</v>
      </c>
      <c r="O136">
        <v>2024</v>
      </c>
      <c r="P136">
        <v>2018</v>
      </c>
      <c r="Q136" s="1">
        <v>45653</v>
      </c>
      <c r="R136" s="1">
        <v>45643</v>
      </c>
      <c r="S136" t="s">
        <v>16</v>
      </c>
    </row>
    <row r="137" spans="1:19" x14ac:dyDescent="0.25">
      <c r="A137">
        <v>136</v>
      </c>
      <c r="B137">
        <v>149124848</v>
      </c>
      <c r="C137" t="s">
        <v>372</v>
      </c>
      <c r="D137" t="s">
        <v>17</v>
      </c>
      <c r="E137" t="s">
        <v>373</v>
      </c>
      <c r="F137" t="s">
        <v>374</v>
      </c>
      <c r="G137" t="s">
        <v>2572</v>
      </c>
      <c r="H137" t="s">
        <v>1831</v>
      </c>
      <c r="I137">
        <v>3</v>
      </c>
      <c r="J137" t="s">
        <v>1868</v>
      </c>
      <c r="K137" t="s">
        <v>112</v>
      </c>
      <c r="L137">
        <v>416</v>
      </c>
      <c r="M137" s="2">
        <v>0.39374999999999999</v>
      </c>
      <c r="N137" t="s">
        <v>2486</v>
      </c>
      <c r="O137">
        <v>2023</v>
      </c>
      <c r="P137">
        <v>2023</v>
      </c>
      <c r="Q137" s="1">
        <v>45652</v>
      </c>
      <c r="R137" s="1">
        <v>45647</v>
      </c>
      <c r="S137" t="s">
        <v>16</v>
      </c>
    </row>
    <row r="138" spans="1:19" x14ac:dyDescent="0.25">
      <c r="A138">
        <v>137</v>
      </c>
      <c r="B138">
        <v>57438620</v>
      </c>
      <c r="C138" t="s">
        <v>375</v>
      </c>
      <c r="D138" t="s">
        <v>17</v>
      </c>
      <c r="E138" t="s">
        <v>376</v>
      </c>
      <c r="F138" t="s">
        <v>377</v>
      </c>
      <c r="H138" t="s">
        <v>1832</v>
      </c>
      <c r="I138">
        <v>3</v>
      </c>
      <c r="J138" t="s">
        <v>1668</v>
      </c>
      <c r="K138" t="s">
        <v>2488</v>
      </c>
      <c r="L138">
        <v>432</v>
      </c>
      <c r="N138" t="s">
        <v>2494</v>
      </c>
      <c r="O138">
        <v>2018</v>
      </c>
      <c r="P138">
        <v>2016</v>
      </c>
      <c r="Q138" s="1">
        <v>45648</v>
      </c>
      <c r="R138" s="1">
        <v>45636</v>
      </c>
      <c r="S138" t="s">
        <v>16</v>
      </c>
    </row>
    <row r="139" spans="1:19" x14ac:dyDescent="0.25">
      <c r="A139">
        <v>138</v>
      </c>
      <c r="B139">
        <v>38260409</v>
      </c>
      <c r="C139" t="s">
        <v>378</v>
      </c>
      <c r="D139" t="s">
        <v>17</v>
      </c>
      <c r="E139" t="s">
        <v>379</v>
      </c>
      <c r="F139" t="s">
        <v>380</v>
      </c>
      <c r="G139" t="s">
        <v>2573</v>
      </c>
      <c r="H139" t="s">
        <v>1833</v>
      </c>
      <c r="I139">
        <v>3</v>
      </c>
      <c r="J139" t="s">
        <v>1834</v>
      </c>
      <c r="K139" t="s">
        <v>112</v>
      </c>
      <c r="L139">
        <v>212</v>
      </c>
      <c r="M139" s="2">
        <v>0.38263888888888886</v>
      </c>
      <c r="N139" t="s">
        <v>2494</v>
      </c>
      <c r="O139">
        <v>2018</v>
      </c>
      <c r="P139">
        <v>2018</v>
      </c>
      <c r="Q139" s="1">
        <v>45647</v>
      </c>
      <c r="R139" s="1">
        <v>45646</v>
      </c>
      <c r="S139" t="s">
        <v>16</v>
      </c>
    </row>
    <row r="140" spans="1:19" x14ac:dyDescent="0.25">
      <c r="A140">
        <v>139</v>
      </c>
      <c r="B140">
        <v>40691923</v>
      </c>
      <c r="C140" t="s">
        <v>381</v>
      </c>
      <c r="D140" t="s">
        <v>17</v>
      </c>
      <c r="E140" t="s">
        <v>382</v>
      </c>
      <c r="F140" t="s">
        <v>383</v>
      </c>
      <c r="H140" t="s">
        <v>1835</v>
      </c>
      <c r="I140">
        <v>3</v>
      </c>
      <c r="J140" t="s">
        <v>1836</v>
      </c>
      <c r="K140" t="s">
        <v>57</v>
      </c>
      <c r="L140">
        <v>360</v>
      </c>
      <c r="N140" t="s">
        <v>2486</v>
      </c>
      <c r="O140">
        <v>2018</v>
      </c>
      <c r="P140">
        <v>2017</v>
      </c>
      <c r="Q140" s="1">
        <v>45646</v>
      </c>
      <c r="R140" s="1">
        <v>45552</v>
      </c>
      <c r="S140" t="s">
        <v>16</v>
      </c>
    </row>
    <row r="141" spans="1:19" x14ac:dyDescent="0.25">
      <c r="A141">
        <v>140</v>
      </c>
      <c r="B141">
        <v>39071691</v>
      </c>
      <c r="C141" t="s">
        <v>2574</v>
      </c>
      <c r="D141" t="s">
        <v>17</v>
      </c>
      <c r="E141" t="s">
        <v>384</v>
      </c>
      <c r="F141" t="s">
        <v>385</v>
      </c>
      <c r="G141" t="s">
        <v>2575</v>
      </c>
      <c r="H141" t="s">
        <v>1837</v>
      </c>
      <c r="I141">
        <v>2</v>
      </c>
      <c r="J141" t="s">
        <v>1687</v>
      </c>
      <c r="K141" t="s">
        <v>112</v>
      </c>
      <c r="L141">
        <v>336</v>
      </c>
      <c r="M141" s="2">
        <v>0.28819444444444442</v>
      </c>
      <c r="N141" t="s">
        <v>2486</v>
      </c>
      <c r="O141">
        <v>2018</v>
      </c>
      <c r="P141">
        <v>2018</v>
      </c>
      <c r="Q141" s="1">
        <v>45644</v>
      </c>
      <c r="R141" s="1">
        <v>45644</v>
      </c>
      <c r="S141" t="s">
        <v>16</v>
      </c>
    </row>
    <row r="142" spans="1:19" x14ac:dyDescent="0.25">
      <c r="A142">
        <v>141</v>
      </c>
      <c r="B142">
        <v>64394054</v>
      </c>
      <c r="C142" t="s">
        <v>386</v>
      </c>
      <c r="D142" t="s">
        <v>2577</v>
      </c>
      <c r="E142" t="s">
        <v>215</v>
      </c>
      <c r="F142" t="s">
        <v>216</v>
      </c>
      <c r="G142" t="s">
        <v>2531</v>
      </c>
      <c r="H142" t="s">
        <v>1838</v>
      </c>
      <c r="I142">
        <v>4</v>
      </c>
      <c r="J142" t="s">
        <v>2532</v>
      </c>
      <c r="K142" t="s">
        <v>112</v>
      </c>
      <c r="L142">
        <v>350</v>
      </c>
      <c r="M142" s="2">
        <v>0.56041666666666667</v>
      </c>
      <c r="N142" t="s">
        <v>2494</v>
      </c>
      <c r="O142">
        <v>2022</v>
      </c>
      <c r="P142">
        <v>2022</v>
      </c>
      <c r="Q142" s="1">
        <v>45643</v>
      </c>
      <c r="R142" s="1">
        <v>45640</v>
      </c>
      <c r="S142" t="s">
        <v>16</v>
      </c>
    </row>
    <row r="143" spans="1:19" x14ac:dyDescent="0.25">
      <c r="A143">
        <v>142</v>
      </c>
      <c r="B143">
        <v>61159091</v>
      </c>
      <c r="C143" t="s">
        <v>387</v>
      </c>
      <c r="D143" t="s">
        <v>2576</v>
      </c>
      <c r="E143" t="s">
        <v>215</v>
      </c>
      <c r="F143" t="s">
        <v>216</v>
      </c>
      <c r="G143" t="s">
        <v>2531</v>
      </c>
      <c r="H143" t="s">
        <v>1839</v>
      </c>
      <c r="I143">
        <v>3</v>
      </c>
      <c r="J143" t="s">
        <v>2532</v>
      </c>
      <c r="K143" t="s">
        <v>112</v>
      </c>
      <c r="L143">
        <v>352</v>
      </c>
      <c r="M143" s="2">
        <v>0.55902777777777779</v>
      </c>
      <c r="N143" t="s">
        <v>2494</v>
      </c>
      <c r="O143">
        <v>2022</v>
      </c>
      <c r="P143">
        <v>2022</v>
      </c>
      <c r="Q143" s="1">
        <v>45640</v>
      </c>
      <c r="R143" s="1">
        <v>45633</v>
      </c>
      <c r="S143" t="s">
        <v>16</v>
      </c>
    </row>
    <row r="144" spans="1:19" x14ac:dyDescent="0.25">
      <c r="A144">
        <v>143</v>
      </c>
      <c r="B144">
        <v>59746850</v>
      </c>
      <c r="C144" t="s">
        <v>388</v>
      </c>
      <c r="D144" t="s">
        <v>2578</v>
      </c>
      <c r="E144" t="s">
        <v>215</v>
      </c>
      <c r="F144" t="s">
        <v>216</v>
      </c>
      <c r="G144" t="s">
        <v>2531</v>
      </c>
      <c r="H144" t="s">
        <v>1840</v>
      </c>
      <c r="I144">
        <v>3</v>
      </c>
      <c r="J144" t="s">
        <v>2532</v>
      </c>
      <c r="K144" t="s">
        <v>112</v>
      </c>
      <c r="L144">
        <v>296</v>
      </c>
      <c r="M144" s="2">
        <v>0.44791666666666669</v>
      </c>
      <c r="N144" t="s">
        <v>2494</v>
      </c>
      <c r="O144">
        <v>2021</v>
      </c>
      <c r="P144">
        <v>2021</v>
      </c>
      <c r="Q144" s="1">
        <v>45633</v>
      </c>
      <c r="R144" s="1">
        <v>45630</v>
      </c>
      <c r="S144" t="s">
        <v>16</v>
      </c>
    </row>
    <row r="145" spans="1:19" x14ac:dyDescent="0.25">
      <c r="A145">
        <v>144</v>
      </c>
      <c r="B145">
        <v>58375854</v>
      </c>
      <c r="C145" t="s">
        <v>389</v>
      </c>
      <c r="D145" t="s">
        <v>2579</v>
      </c>
      <c r="E145" t="s">
        <v>215</v>
      </c>
      <c r="F145" t="s">
        <v>216</v>
      </c>
      <c r="G145" t="s">
        <v>2531</v>
      </c>
      <c r="H145" t="s">
        <v>1841</v>
      </c>
      <c r="I145">
        <v>3</v>
      </c>
      <c r="J145" t="s">
        <v>2532</v>
      </c>
      <c r="K145" t="s">
        <v>112</v>
      </c>
      <c r="L145">
        <v>328</v>
      </c>
      <c r="M145" s="2">
        <v>0.50277777777777777</v>
      </c>
      <c r="N145" t="s">
        <v>2494</v>
      </c>
      <c r="O145">
        <v>2021</v>
      </c>
      <c r="P145">
        <v>2021</v>
      </c>
      <c r="Q145" s="1">
        <v>45630</v>
      </c>
      <c r="R145" s="1">
        <v>45627</v>
      </c>
      <c r="S145" t="s">
        <v>16</v>
      </c>
    </row>
    <row r="146" spans="1:19" x14ac:dyDescent="0.25">
      <c r="A146">
        <v>145</v>
      </c>
      <c r="B146">
        <v>221096109</v>
      </c>
      <c r="C146" t="s">
        <v>390</v>
      </c>
      <c r="D146" t="s">
        <v>17</v>
      </c>
      <c r="E146" t="s">
        <v>302</v>
      </c>
      <c r="F146" t="s">
        <v>303</v>
      </c>
      <c r="H146" t="s">
        <v>1842</v>
      </c>
      <c r="I146">
        <v>4</v>
      </c>
      <c r="J146" t="s">
        <v>1723</v>
      </c>
      <c r="K146" t="s">
        <v>2488</v>
      </c>
      <c r="L146">
        <v>320</v>
      </c>
      <c r="N146" t="s">
        <v>2494</v>
      </c>
      <c r="O146">
        <v>2024</v>
      </c>
      <c r="P146">
        <v>1978</v>
      </c>
      <c r="Q146" s="1">
        <v>45628</v>
      </c>
      <c r="R146" s="1">
        <v>45618</v>
      </c>
      <c r="S146" t="s">
        <v>16</v>
      </c>
    </row>
    <row r="147" spans="1:19" x14ac:dyDescent="0.25">
      <c r="A147">
        <v>146</v>
      </c>
      <c r="B147">
        <v>56258811</v>
      </c>
      <c r="C147" t="s">
        <v>391</v>
      </c>
      <c r="D147" t="s">
        <v>2580</v>
      </c>
      <c r="E147" t="s">
        <v>215</v>
      </c>
      <c r="F147" t="s">
        <v>216</v>
      </c>
      <c r="G147" t="s">
        <v>2531</v>
      </c>
      <c r="H147" t="s">
        <v>1843</v>
      </c>
      <c r="I147">
        <v>3</v>
      </c>
      <c r="J147" t="s">
        <v>2532</v>
      </c>
      <c r="K147" t="s">
        <v>112</v>
      </c>
      <c r="L147">
        <v>304</v>
      </c>
      <c r="M147" s="2">
        <v>0.41875000000000001</v>
      </c>
      <c r="N147" t="s">
        <v>2494</v>
      </c>
      <c r="O147">
        <v>2020</v>
      </c>
      <c r="P147">
        <v>2020</v>
      </c>
      <c r="Q147" s="1">
        <v>45627</v>
      </c>
      <c r="R147" s="1">
        <v>45620</v>
      </c>
      <c r="S147" t="s">
        <v>16</v>
      </c>
    </row>
    <row r="148" spans="1:19" x14ac:dyDescent="0.25">
      <c r="A148">
        <v>147</v>
      </c>
      <c r="B148">
        <v>54753963</v>
      </c>
      <c r="C148" t="s">
        <v>392</v>
      </c>
      <c r="D148" t="s">
        <v>2581</v>
      </c>
      <c r="E148" t="s">
        <v>215</v>
      </c>
      <c r="F148" t="s">
        <v>216</v>
      </c>
      <c r="G148" t="s">
        <v>2531</v>
      </c>
      <c r="H148" t="s">
        <v>1844</v>
      </c>
      <c r="I148">
        <v>3</v>
      </c>
      <c r="J148" t="s">
        <v>2532</v>
      </c>
      <c r="K148" t="s">
        <v>112</v>
      </c>
      <c r="L148">
        <v>304</v>
      </c>
      <c r="M148" s="2">
        <v>0.45416666666666666</v>
      </c>
      <c r="N148" t="s">
        <v>2494</v>
      </c>
      <c r="O148">
        <v>2020</v>
      </c>
      <c r="P148">
        <v>2020</v>
      </c>
      <c r="Q148" s="1">
        <v>45620</v>
      </c>
      <c r="R148" s="1">
        <v>45619</v>
      </c>
      <c r="S148" t="s">
        <v>16</v>
      </c>
    </row>
    <row r="149" spans="1:19" x14ac:dyDescent="0.25">
      <c r="A149">
        <v>148</v>
      </c>
      <c r="B149">
        <v>28456341</v>
      </c>
      <c r="C149" t="s">
        <v>393</v>
      </c>
      <c r="D149" t="s">
        <v>17</v>
      </c>
      <c r="E149" t="s">
        <v>394</v>
      </c>
      <c r="F149" t="s">
        <v>395</v>
      </c>
      <c r="H149" t="s">
        <v>1845</v>
      </c>
      <c r="I149">
        <v>4</v>
      </c>
      <c r="J149" t="s">
        <v>1668</v>
      </c>
      <c r="K149" t="s">
        <v>2488</v>
      </c>
      <c r="L149">
        <v>272</v>
      </c>
      <c r="N149" t="s">
        <v>2494</v>
      </c>
      <c r="O149">
        <v>2014</v>
      </c>
      <c r="P149">
        <v>2014</v>
      </c>
      <c r="Q149" s="1">
        <v>45619</v>
      </c>
      <c r="R149" s="1">
        <v>45606</v>
      </c>
      <c r="S149" t="s">
        <v>16</v>
      </c>
    </row>
    <row r="150" spans="1:19" x14ac:dyDescent="0.25">
      <c r="A150">
        <v>149</v>
      </c>
      <c r="B150">
        <v>49050237</v>
      </c>
      <c r="C150" t="s">
        <v>396</v>
      </c>
      <c r="D150" t="s">
        <v>2582</v>
      </c>
      <c r="E150" t="s">
        <v>215</v>
      </c>
      <c r="F150" t="s">
        <v>216</v>
      </c>
      <c r="G150" t="s">
        <v>2531</v>
      </c>
      <c r="H150" t="s">
        <v>1846</v>
      </c>
      <c r="I150">
        <v>4</v>
      </c>
      <c r="J150" t="s">
        <v>2532</v>
      </c>
      <c r="K150" t="s">
        <v>112</v>
      </c>
      <c r="L150">
        <v>328</v>
      </c>
      <c r="M150" s="2">
        <v>0.47847222222222224</v>
      </c>
      <c r="N150" t="s">
        <v>2494</v>
      </c>
      <c r="O150">
        <v>2019</v>
      </c>
      <c r="P150">
        <v>2019</v>
      </c>
      <c r="Q150" s="1">
        <v>45619</v>
      </c>
      <c r="R150" s="1">
        <v>45618</v>
      </c>
      <c r="S150" t="s">
        <v>16</v>
      </c>
    </row>
    <row r="151" spans="1:19" x14ac:dyDescent="0.25">
      <c r="A151">
        <v>150</v>
      </c>
      <c r="B151">
        <v>51065113</v>
      </c>
      <c r="C151" t="s">
        <v>397</v>
      </c>
      <c r="D151" t="s">
        <v>2583</v>
      </c>
      <c r="E151" t="s">
        <v>215</v>
      </c>
      <c r="F151" t="s">
        <v>216</v>
      </c>
      <c r="G151" t="s">
        <v>2531</v>
      </c>
      <c r="H151" t="s">
        <v>1847</v>
      </c>
      <c r="I151">
        <v>4</v>
      </c>
      <c r="J151" t="s">
        <v>2532</v>
      </c>
      <c r="K151" t="s">
        <v>112</v>
      </c>
      <c r="L151">
        <v>320</v>
      </c>
      <c r="M151" s="2">
        <v>0.46388888888888891</v>
      </c>
      <c r="N151" t="s">
        <v>2494</v>
      </c>
      <c r="O151">
        <v>2019</v>
      </c>
      <c r="P151">
        <v>2019</v>
      </c>
      <c r="Q151" s="1">
        <v>45616</v>
      </c>
      <c r="R151" s="1">
        <v>45615</v>
      </c>
      <c r="S151" t="s">
        <v>16</v>
      </c>
    </row>
    <row r="152" spans="1:19" x14ac:dyDescent="0.25">
      <c r="A152">
        <v>151</v>
      </c>
      <c r="B152">
        <v>58791517</v>
      </c>
      <c r="C152" t="s">
        <v>398</v>
      </c>
      <c r="D152" t="s">
        <v>17</v>
      </c>
      <c r="E152" t="s">
        <v>399</v>
      </c>
      <c r="F152" t="s">
        <v>400</v>
      </c>
      <c r="G152" t="s">
        <v>2564</v>
      </c>
      <c r="H152" t="s">
        <v>1848</v>
      </c>
      <c r="I152">
        <v>3</v>
      </c>
      <c r="J152" t="s">
        <v>2584</v>
      </c>
      <c r="K152" t="s">
        <v>112</v>
      </c>
      <c r="L152">
        <v>256</v>
      </c>
      <c r="M152" s="2">
        <v>0.32222222222222224</v>
      </c>
      <c r="N152" t="s">
        <v>2494</v>
      </c>
      <c r="O152">
        <v>2021</v>
      </c>
      <c r="P152">
        <v>2020</v>
      </c>
      <c r="Q152" s="1">
        <v>45614</v>
      </c>
      <c r="R152" s="1">
        <v>45606</v>
      </c>
      <c r="S152" t="s">
        <v>16</v>
      </c>
    </row>
    <row r="153" spans="1:19" x14ac:dyDescent="0.25">
      <c r="A153">
        <v>152</v>
      </c>
      <c r="B153">
        <v>43180566</v>
      </c>
      <c r="C153" t="s">
        <v>401</v>
      </c>
      <c r="D153" t="s">
        <v>2585</v>
      </c>
      <c r="E153" t="s">
        <v>215</v>
      </c>
      <c r="F153" t="s">
        <v>216</v>
      </c>
      <c r="G153" t="s">
        <v>2531</v>
      </c>
      <c r="H153" t="s">
        <v>1849</v>
      </c>
      <c r="I153">
        <v>3</v>
      </c>
      <c r="J153" t="s">
        <v>2532</v>
      </c>
      <c r="K153" t="s">
        <v>112</v>
      </c>
      <c r="L153">
        <v>320</v>
      </c>
      <c r="M153" s="2">
        <v>0.50694444444444442</v>
      </c>
      <c r="N153" t="s">
        <v>2494</v>
      </c>
      <c r="O153">
        <v>2018</v>
      </c>
      <c r="P153">
        <v>2018</v>
      </c>
      <c r="Q153" s="1">
        <v>45610</v>
      </c>
      <c r="R153" s="1">
        <v>45610</v>
      </c>
      <c r="S153" t="s">
        <v>16</v>
      </c>
    </row>
    <row r="154" spans="1:19" x14ac:dyDescent="0.25">
      <c r="A154">
        <v>153</v>
      </c>
      <c r="B154">
        <v>35227660</v>
      </c>
      <c r="C154" t="s">
        <v>402</v>
      </c>
      <c r="D154" t="s">
        <v>17</v>
      </c>
      <c r="E154" t="s">
        <v>403</v>
      </c>
      <c r="F154" t="s">
        <v>404</v>
      </c>
      <c r="H154" t="s">
        <v>1850</v>
      </c>
      <c r="I154">
        <v>4</v>
      </c>
      <c r="J154" t="s">
        <v>1668</v>
      </c>
      <c r="K154" t="s">
        <v>2488</v>
      </c>
      <c r="L154">
        <v>376</v>
      </c>
      <c r="N154" t="s">
        <v>2494</v>
      </c>
      <c r="O154">
        <v>2017</v>
      </c>
      <c r="P154">
        <v>2016</v>
      </c>
      <c r="Q154" s="1">
        <v>45606</v>
      </c>
      <c r="R154" s="1">
        <v>45605</v>
      </c>
      <c r="S154" t="s">
        <v>16</v>
      </c>
    </row>
    <row r="155" spans="1:19" x14ac:dyDescent="0.25">
      <c r="A155">
        <v>154</v>
      </c>
      <c r="B155">
        <v>40131394</v>
      </c>
      <c r="C155" t="s">
        <v>405</v>
      </c>
      <c r="D155" t="s">
        <v>2586</v>
      </c>
      <c r="E155" t="s">
        <v>215</v>
      </c>
      <c r="F155" t="s">
        <v>216</v>
      </c>
      <c r="G155" t="s">
        <v>2587</v>
      </c>
      <c r="H155" t="s">
        <v>1851</v>
      </c>
      <c r="I155">
        <v>3</v>
      </c>
      <c r="J155" t="s">
        <v>2532</v>
      </c>
      <c r="K155" t="s">
        <v>112</v>
      </c>
      <c r="L155">
        <v>320</v>
      </c>
      <c r="M155" s="2">
        <v>0.46527777777777779</v>
      </c>
      <c r="N155" t="s">
        <v>2494</v>
      </c>
      <c r="O155">
        <v>2018</v>
      </c>
      <c r="P155">
        <v>2018</v>
      </c>
      <c r="Q155" s="1">
        <v>45605</v>
      </c>
      <c r="R155" s="1">
        <v>45605</v>
      </c>
      <c r="S155" t="s">
        <v>16</v>
      </c>
    </row>
    <row r="156" spans="1:19" x14ac:dyDescent="0.25">
      <c r="A156">
        <v>155</v>
      </c>
      <c r="B156">
        <v>36269189</v>
      </c>
      <c r="C156" t="s">
        <v>406</v>
      </c>
      <c r="D156" t="s">
        <v>2588</v>
      </c>
      <c r="E156" t="s">
        <v>215</v>
      </c>
      <c r="F156" t="s">
        <v>216</v>
      </c>
      <c r="G156" t="s">
        <v>2587</v>
      </c>
      <c r="H156" t="s">
        <v>1852</v>
      </c>
      <c r="I156">
        <v>2</v>
      </c>
      <c r="J156" t="s">
        <v>2532</v>
      </c>
      <c r="K156" t="s">
        <v>112</v>
      </c>
      <c r="L156">
        <v>250</v>
      </c>
      <c r="M156" s="2">
        <v>0.43263888888888891</v>
      </c>
      <c r="N156" t="s">
        <v>2494</v>
      </c>
      <c r="O156">
        <v>2017</v>
      </c>
      <c r="P156">
        <v>2017</v>
      </c>
      <c r="Q156" s="1">
        <v>45600</v>
      </c>
      <c r="R156" s="1">
        <v>45600</v>
      </c>
      <c r="S156" t="s">
        <v>16</v>
      </c>
    </row>
    <row r="157" spans="1:19" x14ac:dyDescent="0.25">
      <c r="A157">
        <v>156</v>
      </c>
      <c r="B157">
        <v>34395011</v>
      </c>
      <c r="C157" t="s">
        <v>407</v>
      </c>
      <c r="D157" t="s">
        <v>17</v>
      </c>
      <c r="E157" t="s">
        <v>408</v>
      </c>
      <c r="F157" t="s">
        <v>409</v>
      </c>
      <c r="H157" t="s">
        <v>1853</v>
      </c>
      <c r="I157">
        <v>3</v>
      </c>
      <c r="J157" t="s">
        <v>1668</v>
      </c>
      <c r="K157" t="s">
        <v>2488</v>
      </c>
      <c r="L157">
        <v>312</v>
      </c>
      <c r="N157" t="s">
        <v>2494</v>
      </c>
      <c r="O157">
        <v>2017</v>
      </c>
      <c r="P157">
        <v>2016</v>
      </c>
      <c r="Q157" s="1">
        <v>45593</v>
      </c>
      <c r="R157" s="1">
        <v>45591</v>
      </c>
      <c r="S157" t="s">
        <v>16</v>
      </c>
    </row>
    <row r="158" spans="1:19" x14ac:dyDescent="0.25">
      <c r="A158">
        <v>157</v>
      </c>
      <c r="B158">
        <v>34503255</v>
      </c>
      <c r="C158" t="s">
        <v>410</v>
      </c>
      <c r="D158" t="s">
        <v>2589</v>
      </c>
      <c r="E158" t="s">
        <v>215</v>
      </c>
      <c r="F158" t="s">
        <v>216</v>
      </c>
      <c r="G158" t="s">
        <v>2587</v>
      </c>
      <c r="H158" t="s">
        <v>1854</v>
      </c>
      <c r="I158">
        <v>3</v>
      </c>
      <c r="J158" t="s">
        <v>2532</v>
      </c>
      <c r="K158" t="s">
        <v>112</v>
      </c>
      <c r="L158">
        <v>300</v>
      </c>
      <c r="M158" s="2">
        <v>0.44791666666666669</v>
      </c>
      <c r="N158" t="s">
        <v>2494</v>
      </c>
      <c r="O158">
        <v>2017</v>
      </c>
      <c r="P158">
        <v>2017</v>
      </c>
      <c r="Q158" s="1">
        <v>45591</v>
      </c>
      <c r="R158" s="1">
        <v>45591</v>
      </c>
      <c r="S158" t="s">
        <v>16</v>
      </c>
    </row>
    <row r="159" spans="1:19" x14ac:dyDescent="0.25">
      <c r="A159">
        <v>158</v>
      </c>
      <c r="B159">
        <v>15726069</v>
      </c>
      <c r="C159" t="s">
        <v>411</v>
      </c>
      <c r="D159" t="s">
        <v>17</v>
      </c>
      <c r="E159" t="s">
        <v>412</v>
      </c>
      <c r="F159" t="s">
        <v>413</v>
      </c>
      <c r="H159" t="s">
        <v>1855</v>
      </c>
      <c r="I159">
        <v>2</v>
      </c>
      <c r="J159" t="s">
        <v>1668</v>
      </c>
      <c r="K159" t="s">
        <v>2488</v>
      </c>
      <c r="L159">
        <v>192</v>
      </c>
      <c r="N159" t="s">
        <v>2494</v>
      </c>
      <c r="O159">
        <v>2012</v>
      </c>
      <c r="P159">
        <v>2012</v>
      </c>
      <c r="Q159" s="1">
        <v>45591</v>
      </c>
      <c r="R159" s="1">
        <v>45584</v>
      </c>
      <c r="S159" t="s">
        <v>16</v>
      </c>
    </row>
    <row r="160" spans="1:19" x14ac:dyDescent="0.25">
      <c r="A160">
        <v>159</v>
      </c>
      <c r="B160">
        <v>52962494</v>
      </c>
      <c r="C160" t="s">
        <v>414</v>
      </c>
      <c r="D160" t="s">
        <v>17</v>
      </c>
      <c r="E160" t="s">
        <v>415</v>
      </c>
      <c r="F160" t="s">
        <v>416</v>
      </c>
      <c r="H160" t="s">
        <v>1856</v>
      </c>
      <c r="I160">
        <v>5</v>
      </c>
      <c r="J160" t="s">
        <v>1673</v>
      </c>
      <c r="K160" t="s">
        <v>2488</v>
      </c>
      <c r="L160">
        <v>432</v>
      </c>
      <c r="N160" t="s">
        <v>2494</v>
      </c>
      <c r="O160">
        <v>2019</v>
      </c>
      <c r="P160">
        <v>2018</v>
      </c>
      <c r="Q160" s="1">
        <v>45583</v>
      </c>
      <c r="R160" s="1">
        <v>45579</v>
      </c>
      <c r="S160" t="s">
        <v>16</v>
      </c>
    </row>
    <row r="161" spans="1:19" x14ac:dyDescent="0.25">
      <c r="A161">
        <v>160</v>
      </c>
      <c r="B161">
        <v>6459567</v>
      </c>
      <c r="C161" t="s">
        <v>417</v>
      </c>
      <c r="D161" t="s">
        <v>17</v>
      </c>
      <c r="E161" t="s">
        <v>418</v>
      </c>
      <c r="F161" t="s">
        <v>419</v>
      </c>
      <c r="G161" t="s">
        <v>2550</v>
      </c>
      <c r="H161" t="s">
        <v>1857</v>
      </c>
      <c r="I161">
        <v>2</v>
      </c>
      <c r="J161" t="s">
        <v>2590</v>
      </c>
      <c r="K161" t="s">
        <v>112</v>
      </c>
      <c r="L161">
        <v>302</v>
      </c>
      <c r="M161" s="2">
        <v>0.58194444444444449</v>
      </c>
      <c r="N161" t="s">
        <v>2486</v>
      </c>
      <c r="O161">
        <v>2019</v>
      </c>
      <c r="P161">
        <v>1996</v>
      </c>
      <c r="Q161" s="1">
        <v>45583</v>
      </c>
      <c r="R161" s="1">
        <v>45575</v>
      </c>
      <c r="S161" t="s">
        <v>16</v>
      </c>
    </row>
    <row r="162" spans="1:19" x14ac:dyDescent="0.25">
      <c r="A162">
        <v>161</v>
      </c>
      <c r="B162">
        <v>33195277</v>
      </c>
      <c r="C162" t="s">
        <v>420</v>
      </c>
      <c r="D162" t="s">
        <v>421</v>
      </c>
      <c r="E162" t="s">
        <v>422</v>
      </c>
      <c r="F162" t="s">
        <v>423</v>
      </c>
      <c r="H162" t="s">
        <v>1858</v>
      </c>
      <c r="I162">
        <v>3</v>
      </c>
      <c r="J162" t="s">
        <v>1859</v>
      </c>
      <c r="K162" t="s">
        <v>57</v>
      </c>
      <c r="L162">
        <v>285</v>
      </c>
      <c r="N162" t="s">
        <v>2486</v>
      </c>
      <c r="O162">
        <v>2017</v>
      </c>
      <c r="P162">
        <v>2016</v>
      </c>
      <c r="Q162" s="1">
        <v>45579</v>
      </c>
      <c r="R162" s="1">
        <v>45560</v>
      </c>
      <c r="S162" t="s">
        <v>16</v>
      </c>
    </row>
    <row r="163" spans="1:19" x14ac:dyDescent="0.25">
      <c r="A163">
        <v>162</v>
      </c>
      <c r="B163">
        <v>55469489</v>
      </c>
      <c r="C163" t="s">
        <v>424</v>
      </c>
      <c r="D163" t="s">
        <v>425</v>
      </c>
      <c r="E163" t="s">
        <v>203</v>
      </c>
      <c r="F163" t="s">
        <v>204</v>
      </c>
      <c r="G163" t="s">
        <v>2529</v>
      </c>
      <c r="H163" t="s">
        <v>1860</v>
      </c>
      <c r="I163">
        <v>3</v>
      </c>
      <c r="J163" t="s">
        <v>1898</v>
      </c>
      <c r="K163" t="s">
        <v>112</v>
      </c>
      <c r="L163">
        <v>352</v>
      </c>
      <c r="M163" s="2">
        <v>0.46805555555555556</v>
      </c>
      <c r="N163" t="s">
        <v>2486</v>
      </c>
      <c r="O163">
        <v>2020</v>
      </c>
      <c r="P163">
        <v>2018</v>
      </c>
      <c r="Q163" s="1">
        <v>45575</v>
      </c>
      <c r="R163" s="1">
        <v>45554</v>
      </c>
      <c r="S163" t="s">
        <v>16</v>
      </c>
    </row>
    <row r="164" spans="1:19" x14ac:dyDescent="0.25">
      <c r="A164">
        <v>163</v>
      </c>
      <c r="B164">
        <v>203855568</v>
      </c>
      <c r="C164" t="s">
        <v>426</v>
      </c>
      <c r="D164" t="s">
        <v>17</v>
      </c>
      <c r="E164" t="s">
        <v>121</v>
      </c>
      <c r="F164" t="s">
        <v>122</v>
      </c>
      <c r="G164" t="s">
        <v>2591</v>
      </c>
      <c r="H164" t="s">
        <v>1861</v>
      </c>
      <c r="I164">
        <v>3</v>
      </c>
      <c r="J164" t="s">
        <v>2492</v>
      </c>
      <c r="K164" t="s">
        <v>112</v>
      </c>
      <c r="L164">
        <v>248</v>
      </c>
      <c r="M164" s="2">
        <v>0.26944444444444443</v>
      </c>
      <c r="N164" t="s">
        <v>2486</v>
      </c>
      <c r="O164">
        <v>2023</v>
      </c>
      <c r="P164">
        <v>2022</v>
      </c>
      <c r="Q164" s="1">
        <v>45573</v>
      </c>
      <c r="R164" s="1">
        <v>45573</v>
      </c>
      <c r="S164" t="s">
        <v>16</v>
      </c>
    </row>
    <row r="165" spans="1:19" x14ac:dyDescent="0.25">
      <c r="A165">
        <v>164</v>
      </c>
      <c r="B165">
        <v>10770635</v>
      </c>
      <c r="C165" t="s">
        <v>427</v>
      </c>
      <c r="D165" t="s">
        <v>428</v>
      </c>
      <c r="E165" t="s">
        <v>429</v>
      </c>
      <c r="F165" t="s">
        <v>430</v>
      </c>
      <c r="G165" t="s">
        <v>2592</v>
      </c>
      <c r="H165" t="s">
        <v>1862</v>
      </c>
      <c r="I165">
        <v>2</v>
      </c>
      <c r="J165" t="s">
        <v>2593</v>
      </c>
      <c r="K165" t="s">
        <v>112</v>
      </c>
      <c r="L165">
        <v>477</v>
      </c>
      <c r="M165" s="2">
        <v>0.70625000000000004</v>
      </c>
      <c r="N165" t="s">
        <v>2486</v>
      </c>
      <c r="O165">
        <v>2021</v>
      </c>
      <c r="P165">
        <v>1982</v>
      </c>
      <c r="Q165" s="1">
        <v>45570</v>
      </c>
      <c r="R165" s="1">
        <v>45564</v>
      </c>
      <c r="S165" t="s">
        <v>16</v>
      </c>
    </row>
    <row r="166" spans="1:19" x14ac:dyDescent="0.25">
      <c r="A166">
        <v>165</v>
      </c>
      <c r="B166">
        <v>32148248</v>
      </c>
      <c r="C166" t="s">
        <v>431</v>
      </c>
      <c r="D166" t="s">
        <v>2594</v>
      </c>
      <c r="E166" t="s">
        <v>215</v>
      </c>
      <c r="F166" t="s">
        <v>216</v>
      </c>
      <c r="G166" t="s">
        <v>2587</v>
      </c>
      <c r="H166" t="s">
        <v>1863</v>
      </c>
      <c r="I166">
        <v>3</v>
      </c>
      <c r="J166" t="s">
        <v>2532</v>
      </c>
      <c r="K166" t="s">
        <v>112</v>
      </c>
      <c r="L166">
        <v>320</v>
      </c>
      <c r="M166" s="2">
        <v>0.44513888888888886</v>
      </c>
      <c r="N166" t="s">
        <v>2494</v>
      </c>
      <c r="O166">
        <v>2016</v>
      </c>
      <c r="P166">
        <v>2016</v>
      </c>
      <c r="Q166" s="1">
        <v>45570</v>
      </c>
      <c r="R166" s="1">
        <v>45570</v>
      </c>
      <c r="S166" t="s">
        <v>16</v>
      </c>
    </row>
    <row r="167" spans="1:19" x14ac:dyDescent="0.25">
      <c r="A167">
        <v>166</v>
      </c>
      <c r="B167">
        <v>23253176</v>
      </c>
      <c r="C167" t="s">
        <v>432</v>
      </c>
      <c r="D167" t="s">
        <v>2595</v>
      </c>
      <c r="E167" t="s">
        <v>215</v>
      </c>
      <c r="F167" t="s">
        <v>216</v>
      </c>
      <c r="G167" t="s">
        <v>2587</v>
      </c>
      <c r="H167" t="s">
        <v>1864</v>
      </c>
      <c r="I167">
        <v>3</v>
      </c>
      <c r="J167" t="s">
        <v>2532</v>
      </c>
      <c r="K167" t="s">
        <v>112</v>
      </c>
      <c r="L167">
        <v>344</v>
      </c>
      <c r="M167" s="2">
        <v>0.49027777777777776</v>
      </c>
      <c r="N167" t="s">
        <v>2494</v>
      </c>
      <c r="O167">
        <v>2014</v>
      </c>
      <c r="P167">
        <v>2014</v>
      </c>
      <c r="Q167" s="1">
        <v>45568</v>
      </c>
      <c r="R167" s="1">
        <v>45567</v>
      </c>
      <c r="S167" t="s">
        <v>16</v>
      </c>
    </row>
    <row r="168" spans="1:19" x14ac:dyDescent="0.25">
      <c r="A168">
        <v>167</v>
      </c>
      <c r="B168">
        <v>13206900</v>
      </c>
      <c r="C168" t="s">
        <v>433</v>
      </c>
      <c r="D168" t="s">
        <v>434</v>
      </c>
      <c r="E168" t="s">
        <v>422</v>
      </c>
      <c r="F168" t="s">
        <v>423</v>
      </c>
      <c r="H168" t="s">
        <v>1865</v>
      </c>
      <c r="I168">
        <v>3</v>
      </c>
      <c r="J168" t="s">
        <v>1866</v>
      </c>
      <c r="K168" t="s">
        <v>57</v>
      </c>
      <c r="L168">
        <v>827</v>
      </c>
      <c r="N168" t="s">
        <v>2486</v>
      </c>
      <c r="O168">
        <v>2015</v>
      </c>
      <c r="P168">
        <v>2015</v>
      </c>
      <c r="Q168" s="1">
        <v>45560</v>
      </c>
      <c r="R168" s="1">
        <v>45507</v>
      </c>
      <c r="S168" t="s">
        <v>16</v>
      </c>
    </row>
    <row r="169" spans="1:19" x14ac:dyDescent="0.25">
      <c r="A169">
        <v>168</v>
      </c>
      <c r="B169">
        <v>63123734</v>
      </c>
      <c r="C169" t="s">
        <v>435</v>
      </c>
      <c r="D169" t="s">
        <v>17</v>
      </c>
      <c r="E169" t="s">
        <v>436</v>
      </c>
      <c r="F169" t="s">
        <v>437</v>
      </c>
      <c r="G169" t="s">
        <v>2596</v>
      </c>
      <c r="H169" t="s">
        <v>1867</v>
      </c>
      <c r="I169">
        <v>3</v>
      </c>
      <c r="J169" t="s">
        <v>1868</v>
      </c>
      <c r="K169" t="s">
        <v>112</v>
      </c>
      <c r="L169">
        <v>400</v>
      </c>
      <c r="M169" s="2">
        <v>0.33680555555555558</v>
      </c>
      <c r="N169" t="s">
        <v>2486</v>
      </c>
      <c r="O169">
        <v>2022</v>
      </c>
      <c r="P169">
        <v>2022</v>
      </c>
      <c r="Q169" s="1">
        <v>45559</v>
      </c>
      <c r="R169" s="1">
        <v>45550</v>
      </c>
      <c r="S169" t="s">
        <v>16</v>
      </c>
    </row>
    <row r="170" spans="1:19" x14ac:dyDescent="0.25">
      <c r="A170">
        <v>169</v>
      </c>
      <c r="B170">
        <v>18481413</v>
      </c>
      <c r="C170" t="s">
        <v>438</v>
      </c>
      <c r="D170" t="s">
        <v>2597</v>
      </c>
      <c r="E170" t="s">
        <v>215</v>
      </c>
      <c r="F170" t="s">
        <v>216</v>
      </c>
      <c r="G170" t="s">
        <v>2587</v>
      </c>
      <c r="H170" t="s">
        <v>1869</v>
      </c>
      <c r="I170">
        <v>3</v>
      </c>
      <c r="J170" t="s">
        <v>2532</v>
      </c>
      <c r="K170" t="s">
        <v>112</v>
      </c>
      <c r="L170">
        <v>335</v>
      </c>
      <c r="M170" s="2">
        <v>0.48749999999999999</v>
      </c>
      <c r="N170" t="s">
        <v>2494</v>
      </c>
      <c r="O170">
        <v>2013</v>
      </c>
      <c r="P170">
        <v>2013</v>
      </c>
      <c r="Q170" s="1">
        <v>45553</v>
      </c>
      <c r="R170" s="1">
        <v>45550</v>
      </c>
      <c r="S170" t="s">
        <v>16</v>
      </c>
    </row>
    <row r="171" spans="1:19" x14ac:dyDescent="0.25">
      <c r="A171">
        <v>170</v>
      </c>
      <c r="B171">
        <v>39717764</v>
      </c>
      <c r="C171" t="s">
        <v>439</v>
      </c>
      <c r="D171" t="s">
        <v>440</v>
      </c>
      <c r="E171" t="s">
        <v>441</v>
      </c>
      <c r="F171" t="s">
        <v>442</v>
      </c>
      <c r="H171" t="s">
        <v>1870</v>
      </c>
      <c r="I171">
        <v>3</v>
      </c>
      <c r="J171" t="s">
        <v>1871</v>
      </c>
      <c r="K171" t="s">
        <v>57</v>
      </c>
      <c r="L171">
        <v>384</v>
      </c>
      <c r="N171" t="s">
        <v>2494</v>
      </c>
      <c r="O171">
        <v>2018</v>
      </c>
      <c r="P171">
        <v>2009</v>
      </c>
      <c r="Q171" s="1">
        <v>45551</v>
      </c>
      <c r="R171" s="1">
        <v>45527</v>
      </c>
      <c r="S171" t="s">
        <v>16</v>
      </c>
    </row>
    <row r="172" spans="1:19" x14ac:dyDescent="0.25">
      <c r="A172">
        <v>171</v>
      </c>
      <c r="B172">
        <v>32053009</v>
      </c>
      <c r="C172" t="s">
        <v>443</v>
      </c>
      <c r="D172" t="s">
        <v>444</v>
      </c>
      <c r="E172" t="s">
        <v>445</v>
      </c>
      <c r="F172" t="s">
        <v>446</v>
      </c>
      <c r="H172" t="s">
        <v>1872</v>
      </c>
      <c r="I172">
        <v>2</v>
      </c>
      <c r="J172" t="s">
        <v>1719</v>
      </c>
      <c r="K172" t="s">
        <v>57</v>
      </c>
      <c r="L172">
        <v>608</v>
      </c>
      <c r="N172" t="s">
        <v>2486</v>
      </c>
      <c r="O172">
        <v>2016</v>
      </c>
      <c r="P172">
        <v>2015</v>
      </c>
      <c r="Q172" s="1">
        <v>45550</v>
      </c>
      <c r="R172" s="1">
        <v>45485</v>
      </c>
      <c r="S172" t="s">
        <v>16</v>
      </c>
    </row>
    <row r="173" spans="1:19" x14ac:dyDescent="0.25">
      <c r="A173">
        <v>172</v>
      </c>
      <c r="B173">
        <v>16046955</v>
      </c>
      <c r="C173" t="s">
        <v>447</v>
      </c>
      <c r="D173" t="s">
        <v>2598</v>
      </c>
      <c r="E173" t="s">
        <v>215</v>
      </c>
      <c r="F173" t="s">
        <v>216</v>
      </c>
      <c r="G173" t="s">
        <v>2587</v>
      </c>
      <c r="H173" t="s">
        <v>1873</v>
      </c>
      <c r="I173">
        <v>3</v>
      </c>
      <c r="J173" t="s">
        <v>2532</v>
      </c>
      <c r="K173" t="s">
        <v>112</v>
      </c>
      <c r="L173">
        <v>310</v>
      </c>
      <c r="M173" s="2">
        <v>0.42708333333333331</v>
      </c>
      <c r="N173" t="s">
        <v>2494</v>
      </c>
      <c r="O173">
        <v>2015</v>
      </c>
      <c r="P173">
        <v>2012</v>
      </c>
      <c r="Q173" s="1">
        <v>45550</v>
      </c>
      <c r="R173" s="1">
        <v>45547</v>
      </c>
      <c r="S173" t="s">
        <v>16</v>
      </c>
    </row>
    <row r="174" spans="1:19" x14ac:dyDescent="0.25">
      <c r="A174">
        <v>173</v>
      </c>
      <c r="B174">
        <v>13307094</v>
      </c>
      <c r="C174" t="s">
        <v>448</v>
      </c>
      <c r="D174" t="s">
        <v>2599</v>
      </c>
      <c r="E174" t="s">
        <v>215</v>
      </c>
      <c r="F174" t="s">
        <v>216</v>
      </c>
      <c r="G174" t="s">
        <v>2531</v>
      </c>
      <c r="H174" t="s">
        <v>1874</v>
      </c>
      <c r="I174">
        <v>3</v>
      </c>
      <c r="J174" t="s">
        <v>2532</v>
      </c>
      <c r="K174" t="s">
        <v>112</v>
      </c>
      <c r="L174">
        <v>288</v>
      </c>
      <c r="M174" s="2">
        <v>0.44722222222222224</v>
      </c>
      <c r="N174" t="s">
        <v>2494</v>
      </c>
      <c r="O174">
        <v>2022</v>
      </c>
      <c r="P174">
        <v>2011</v>
      </c>
      <c r="Q174" s="1">
        <v>45547</v>
      </c>
      <c r="R174" s="1">
        <v>45542</v>
      </c>
      <c r="S174" t="s">
        <v>16</v>
      </c>
    </row>
    <row r="175" spans="1:19" x14ac:dyDescent="0.25">
      <c r="A175">
        <v>174</v>
      </c>
      <c r="B175">
        <v>215507550</v>
      </c>
      <c r="C175" t="s">
        <v>449</v>
      </c>
      <c r="D175" t="s">
        <v>17</v>
      </c>
      <c r="E175" t="s">
        <v>450</v>
      </c>
      <c r="F175" t="s">
        <v>451</v>
      </c>
      <c r="G175" t="s">
        <v>2600</v>
      </c>
      <c r="H175" t="s">
        <v>1875</v>
      </c>
      <c r="I175">
        <v>2</v>
      </c>
      <c r="J175" t="s">
        <v>2499</v>
      </c>
      <c r="K175" t="s">
        <v>112</v>
      </c>
      <c r="L175">
        <v>320</v>
      </c>
      <c r="M175" s="2">
        <v>0.28611111111111109</v>
      </c>
      <c r="N175" t="s">
        <v>2494</v>
      </c>
      <c r="O175">
        <v>2024</v>
      </c>
      <c r="P175">
        <v>2023</v>
      </c>
      <c r="Q175" s="1">
        <v>45542</v>
      </c>
      <c r="R175" s="1">
        <v>45472</v>
      </c>
      <c r="S175" t="s">
        <v>16</v>
      </c>
    </row>
    <row r="176" spans="1:19" x14ac:dyDescent="0.25">
      <c r="A176">
        <v>175</v>
      </c>
      <c r="B176">
        <v>11772810</v>
      </c>
      <c r="C176" t="s">
        <v>452</v>
      </c>
      <c r="D176" t="s">
        <v>2601</v>
      </c>
      <c r="E176" t="s">
        <v>215</v>
      </c>
      <c r="F176" t="s">
        <v>216</v>
      </c>
      <c r="G176" t="s">
        <v>2587</v>
      </c>
      <c r="H176" t="s">
        <v>1876</v>
      </c>
      <c r="I176">
        <v>3</v>
      </c>
      <c r="J176" t="s">
        <v>2532</v>
      </c>
      <c r="K176" t="s">
        <v>112</v>
      </c>
      <c r="L176">
        <v>352</v>
      </c>
      <c r="M176" s="2">
        <v>0.52430555555555558</v>
      </c>
      <c r="N176" t="s">
        <v>2494</v>
      </c>
      <c r="O176">
        <v>2017</v>
      </c>
      <c r="P176">
        <v>2011</v>
      </c>
      <c r="Q176" s="1">
        <v>45540</v>
      </c>
      <c r="R176" s="1">
        <v>45540</v>
      </c>
      <c r="S176" t="s">
        <v>16</v>
      </c>
    </row>
    <row r="177" spans="1:19" x14ac:dyDescent="0.25">
      <c r="A177">
        <v>176</v>
      </c>
      <c r="B177">
        <v>15869810</v>
      </c>
      <c r="C177" t="s">
        <v>453</v>
      </c>
      <c r="D177" t="s">
        <v>454</v>
      </c>
      <c r="E177" t="s">
        <v>455</v>
      </c>
      <c r="F177" t="s">
        <v>456</v>
      </c>
      <c r="G177" t="s">
        <v>2602</v>
      </c>
      <c r="H177" t="s">
        <v>1877</v>
      </c>
      <c r="I177">
        <v>3</v>
      </c>
      <c r="J177" t="s">
        <v>2492</v>
      </c>
      <c r="K177" t="s">
        <v>112</v>
      </c>
      <c r="L177">
        <v>512</v>
      </c>
      <c r="M177" s="3">
        <v>1.711111111111111</v>
      </c>
      <c r="N177" t="s">
        <v>2486</v>
      </c>
      <c r="O177">
        <v>2022</v>
      </c>
      <c r="P177">
        <v>1990</v>
      </c>
      <c r="Q177" s="1">
        <v>45535</v>
      </c>
      <c r="R177" s="1">
        <v>45492</v>
      </c>
      <c r="S177" t="s">
        <v>16</v>
      </c>
    </row>
    <row r="178" spans="1:19" x14ac:dyDescent="0.25">
      <c r="A178">
        <v>177</v>
      </c>
      <c r="B178">
        <v>38286254</v>
      </c>
      <c r="C178" t="s">
        <v>457</v>
      </c>
      <c r="D178" t="s">
        <v>458</v>
      </c>
      <c r="E178" t="s">
        <v>459</v>
      </c>
      <c r="F178" t="s">
        <v>460</v>
      </c>
      <c r="H178" t="s">
        <v>1879</v>
      </c>
      <c r="I178">
        <v>3</v>
      </c>
      <c r="J178" t="s">
        <v>1880</v>
      </c>
      <c r="K178" t="s">
        <v>57</v>
      </c>
      <c r="L178">
        <v>283</v>
      </c>
      <c r="N178" t="s">
        <v>2603</v>
      </c>
      <c r="O178">
        <v>2018</v>
      </c>
      <c r="P178">
        <v>2014</v>
      </c>
      <c r="Q178" s="1">
        <v>45527</v>
      </c>
      <c r="R178" s="1">
        <v>45493</v>
      </c>
      <c r="S178" t="s">
        <v>16</v>
      </c>
    </row>
    <row r="179" spans="1:19" x14ac:dyDescent="0.25">
      <c r="A179">
        <v>178</v>
      </c>
      <c r="B179">
        <v>10320691</v>
      </c>
      <c r="C179" t="s">
        <v>461</v>
      </c>
      <c r="D179" t="s">
        <v>2604</v>
      </c>
      <c r="E179" t="s">
        <v>215</v>
      </c>
      <c r="F179" t="s">
        <v>216</v>
      </c>
      <c r="G179" t="s">
        <v>2587</v>
      </c>
      <c r="H179" t="s">
        <v>1881</v>
      </c>
      <c r="I179">
        <v>3</v>
      </c>
      <c r="J179" t="s">
        <v>2532</v>
      </c>
      <c r="K179" t="s">
        <v>112</v>
      </c>
      <c r="L179">
        <v>304</v>
      </c>
      <c r="M179" s="2">
        <v>0.44791666666666669</v>
      </c>
      <c r="N179" t="s">
        <v>2494</v>
      </c>
      <c r="O179">
        <v>2016</v>
      </c>
      <c r="P179">
        <v>2010</v>
      </c>
      <c r="Q179" s="1">
        <v>45521</v>
      </c>
      <c r="R179" s="1">
        <v>45520</v>
      </c>
      <c r="S179" t="s">
        <v>16</v>
      </c>
    </row>
    <row r="180" spans="1:19" x14ac:dyDescent="0.25">
      <c r="A180">
        <v>179</v>
      </c>
      <c r="B180">
        <v>8497650</v>
      </c>
      <c r="C180" t="s">
        <v>462</v>
      </c>
      <c r="D180" t="s">
        <v>2605</v>
      </c>
      <c r="E180" t="s">
        <v>215</v>
      </c>
      <c r="F180" t="s">
        <v>216</v>
      </c>
      <c r="G180" t="s">
        <v>2587</v>
      </c>
      <c r="H180" t="s">
        <v>1882</v>
      </c>
      <c r="I180">
        <v>3</v>
      </c>
      <c r="J180" t="s">
        <v>2532</v>
      </c>
      <c r="K180" t="s">
        <v>112</v>
      </c>
      <c r="L180">
        <v>312</v>
      </c>
      <c r="M180" s="2">
        <v>0.45833333333333331</v>
      </c>
      <c r="N180" t="s">
        <v>2494</v>
      </c>
      <c r="O180">
        <v>2015</v>
      </c>
      <c r="P180">
        <v>2009</v>
      </c>
      <c r="Q180" s="1">
        <v>45520</v>
      </c>
      <c r="R180" s="1">
        <v>45517</v>
      </c>
      <c r="S180" t="s">
        <v>16</v>
      </c>
    </row>
    <row r="181" spans="1:19" x14ac:dyDescent="0.25">
      <c r="A181">
        <v>180</v>
      </c>
      <c r="B181">
        <v>10753010</v>
      </c>
      <c r="C181" t="s">
        <v>463</v>
      </c>
      <c r="D181" t="s">
        <v>2606</v>
      </c>
      <c r="E181" t="s">
        <v>215</v>
      </c>
      <c r="F181" t="s">
        <v>216</v>
      </c>
      <c r="G181" t="s">
        <v>2531</v>
      </c>
      <c r="H181" t="s">
        <v>1883</v>
      </c>
      <c r="I181">
        <v>3</v>
      </c>
      <c r="J181" t="s">
        <v>2532</v>
      </c>
      <c r="K181" t="s">
        <v>112</v>
      </c>
      <c r="L181">
        <v>380</v>
      </c>
      <c r="M181" s="2">
        <v>0.46597222222222223</v>
      </c>
      <c r="N181" t="s">
        <v>2494</v>
      </c>
      <c r="O181">
        <v>2021</v>
      </c>
      <c r="P181">
        <v>2008</v>
      </c>
      <c r="Q181" s="1">
        <v>45514</v>
      </c>
      <c r="R181" s="1">
        <v>45514</v>
      </c>
      <c r="S181" t="s">
        <v>16</v>
      </c>
    </row>
    <row r="182" spans="1:19" x14ac:dyDescent="0.25">
      <c r="A182">
        <v>181</v>
      </c>
      <c r="B182">
        <v>10395407</v>
      </c>
      <c r="C182" t="s">
        <v>464</v>
      </c>
      <c r="D182" t="s">
        <v>2607</v>
      </c>
      <c r="E182" t="s">
        <v>215</v>
      </c>
      <c r="F182" t="s">
        <v>216</v>
      </c>
      <c r="G182" t="s">
        <v>2531</v>
      </c>
      <c r="H182" t="s">
        <v>1884</v>
      </c>
      <c r="I182">
        <v>3</v>
      </c>
      <c r="J182" t="s">
        <v>2532</v>
      </c>
      <c r="K182" t="s">
        <v>112</v>
      </c>
      <c r="L182">
        <v>334</v>
      </c>
      <c r="M182" s="2">
        <v>0.4777777777777778</v>
      </c>
      <c r="N182" t="s">
        <v>2494</v>
      </c>
      <c r="O182">
        <v>2020</v>
      </c>
      <c r="P182">
        <v>2008</v>
      </c>
      <c r="Q182" s="1">
        <v>45513</v>
      </c>
      <c r="R182" s="1">
        <v>45513</v>
      </c>
      <c r="S182" t="s">
        <v>16</v>
      </c>
    </row>
    <row r="183" spans="1:19" x14ac:dyDescent="0.25">
      <c r="A183">
        <v>182</v>
      </c>
      <c r="B183">
        <v>43186534</v>
      </c>
      <c r="C183" t="s">
        <v>465</v>
      </c>
      <c r="D183" t="s">
        <v>466</v>
      </c>
      <c r="E183" t="s">
        <v>467</v>
      </c>
      <c r="F183" t="s">
        <v>468</v>
      </c>
      <c r="H183" t="str">
        <f>"	9781926456294"</f>
        <v xml:space="preserve">	9781926456294</v>
      </c>
      <c r="I183">
        <v>3</v>
      </c>
      <c r="J183" t="s">
        <v>2608</v>
      </c>
      <c r="K183" t="s">
        <v>57</v>
      </c>
      <c r="L183">
        <v>343</v>
      </c>
      <c r="N183" t="s">
        <v>2603</v>
      </c>
      <c r="O183">
        <v>2018</v>
      </c>
      <c r="P183">
        <v>2018</v>
      </c>
      <c r="Q183" s="1">
        <v>45510</v>
      </c>
      <c r="R183" s="1">
        <v>45490</v>
      </c>
      <c r="S183" t="s">
        <v>16</v>
      </c>
    </row>
    <row r="184" spans="1:19" x14ac:dyDescent="0.25">
      <c r="A184">
        <v>183</v>
      </c>
      <c r="B184">
        <v>207694936</v>
      </c>
      <c r="C184" t="s">
        <v>469</v>
      </c>
      <c r="D184" t="s">
        <v>470</v>
      </c>
      <c r="E184" t="s">
        <v>471</v>
      </c>
      <c r="F184" t="s">
        <v>472</v>
      </c>
      <c r="G184" t="s">
        <v>2609</v>
      </c>
      <c r="H184" t="s">
        <v>1885</v>
      </c>
      <c r="I184">
        <v>3</v>
      </c>
      <c r="J184" t="s">
        <v>2492</v>
      </c>
      <c r="K184" t="s">
        <v>112</v>
      </c>
      <c r="L184">
        <v>583</v>
      </c>
      <c r="M184" s="3">
        <v>1.0798611111111112</v>
      </c>
      <c r="N184" t="s">
        <v>2486</v>
      </c>
      <c r="O184">
        <v>2024</v>
      </c>
      <c r="P184">
        <v>2022</v>
      </c>
      <c r="Q184" s="1">
        <v>45510</v>
      </c>
      <c r="R184" s="1">
        <v>45504</v>
      </c>
      <c r="S184" t="s">
        <v>16</v>
      </c>
    </row>
    <row r="185" spans="1:19" x14ac:dyDescent="0.25">
      <c r="A185">
        <v>184</v>
      </c>
      <c r="B185">
        <v>22489107</v>
      </c>
      <c r="C185" t="s">
        <v>473</v>
      </c>
      <c r="D185" t="s">
        <v>474</v>
      </c>
      <c r="E185" t="s">
        <v>422</v>
      </c>
      <c r="F185" t="s">
        <v>423</v>
      </c>
      <c r="H185" t="s">
        <v>1886</v>
      </c>
      <c r="I185">
        <v>3</v>
      </c>
      <c r="J185" t="s">
        <v>1866</v>
      </c>
      <c r="K185" t="s">
        <v>57</v>
      </c>
      <c r="L185">
        <v>272</v>
      </c>
      <c r="N185" t="s">
        <v>2486</v>
      </c>
      <c r="O185">
        <v>2015</v>
      </c>
      <c r="P185">
        <v>2015</v>
      </c>
      <c r="Q185" s="1">
        <v>45507</v>
      </c>
      <c r="R185" s="1">
        <v>45504</v>
      </c>
      <c r="S185" t="s">
        <v>16</v>
      </c>
    </row>
    <row r="186" spans="1:19" x14ac:dyDescent="0.25">
      <c r="A186">
        <v>185</v>
      </c>
      <c r="B186">
        <v>6499374</v>
      </c>
      <c r="C186" t="s">
        <v>475</v>
      </c>
      <c r="D186" t="s">
        <v>476</v>
      </c>
      <c r="E186" t="s">
        <v>174</v>
      </c>
      <c r="F186" t="s">
        <v>175</v>
      </c>
      <c r="G186" t="s">
        <v>2528</v>
      </c>
      <c r="H186" t="s">
        <v>1887</v>
      </c>
      <c r="I186">
        <v>3</v>
      </c>
      <c r="J186" t="s">
        <v>2492</v>
      </c>
      <c r="K186" t="s">
        <v>112</v>
      </c>
      <c r="L186">
        <v>382</v>
      </c>
      <c r="M186" s="2">
        <v>0.5756944444444444</v>
      </c>
      <c r="N186" t="s">
        <v>2486</v>
      </c>
      <c r="O186">
        <v>2018</v>
      </c>
      <c r="P186">
        <v>1989</v>
      </c>
      <c r="Q186" s="1">
        <v>45504</v>
      </c>
      <c r="R186" s="1">
        <v>45498</v>
      </c>
      <c r="S186" t="s">
        <v>16</v>
      </c>
    </row>
    <row r="187" spans="1:19" x14ac:dyDescent="0.25">
      <c r="A187">
        <v>186</v>
      </c>
      <c r="B187">
        <v>39752016</v>
      </c>
      <c r="C187" t="s">
        <v>477</v>
      </c>
      <c r="D187" t="s">
        <v>478</v>
      </c>
      <c r="E187" t="s">
        <v>467</v>
      </c>
      <c r="F187" t="s">
        <v>468</v>
      </c>
      <c r="H187" t="str">
        <f>"9781926456287"</f>
        <v>9781926456287</v>
      </c>
      <c r="I187">
        <v>3</v>
      </c>
      <c r="J187" t="s">
        <v>2608</v>
      </c>
      <c r="K187" t="s">
        <v>57</v>
      </c>
      <c r="L187">
        <v>358</v>
      </c>
      <c r="N187" t="s">
        <v>2603</v>
      </c>
      <c r="O187">
        <v>2017</v>
      </c>
      <c r="P187">
        <v>2018</v>
      </c>
      <c r="Q187" s="1">
        <v>45503</v>
      </c>
      <c r="R187" s="1">
        <v>45478</v>
      </c>
      <c r="S187" t="s">
        <v>16</v>
      </c>
    </row>
    <row r="188" spans="1:19" x14ac:dyDescent="0.25">
      <c r="A188">
        <v>187</v>
      </c>
      <c r="B188">
        <v>13206828</v>
      </c>
      <c r="C188" t="s">
        <v>479</v>
      </c>
      <c r="D188" t="s">
        <v>480</v>
      </c>
      <c r="E188" t="s">
        <v>422</v>
      </c>
      <c r="F188" t="s">
        <v>423</v>
      </c>
      <c r="H188" t="s">
        <v>1888</v>
      </c>
      <c r="I188">
        <v>3</v>
      </c>
      <c r="J188" t="s">
        <v>1866</v>
      </c>
      <c r="K188" t="s">
        <v>57</v>
      </c>
      <c r="L188">
        <v>552</v>
      </c>
      <c r="N188" t="s">
        <v>2486</v>
      </c>
      <c r="O188">
        <v>2014</v>
      </c>
      <c r="P188">
        <v>2014</v>
      </c>
      <c r="Q188" s="1">
        <v>45501</v>
      </c>
      <c r="R188" s="1">
        <v>45491</v>
      </c>
      <c r="S188" t="s">
        <v>16</v>
      </c>
    </row>
    <row r="189" spans="1:19" x14ac:dyDescent="0.25">
      <c r="A189">
        <v>188</v>
      </c>
      <c r="B189">
        <v>55304052</v>
      </c>
      <c r="C189" t="s">
        <v>481</v>
      </c>
      <c r="D189" t="s">
        <v>17</v>
      </c>
      <c r="E189" t="s">
        <v>482</v>
      </c>
      <c r="F189" t="s">
        <v>483</v>
      </c>
      <c r="G189" t="s">
        <v>2610</v>
      </c>
      <c r="H189" t="s">
        <v>1889</v>
      </c>
      <c r="I189">
        <v>3</v>
      </c>
      <c r="J189" t="s">
        <v>2492</v>
      </c>
      <c r="K189" t="s">
        <v>112</v>
      </c>
      <c r="L189">
        <v>400</v>
      </c>
      <c r="M189" s="2">
        <v>0.61597222222222225</v>
      </c>
      <c r="N189" t="s">
        <v>2486</v>
      </c>
      <c r="O189">
        <v>2021</v>
      </c>
      <c r="P189">
        <v>2020</v>
      </c>
      <c r="Q189" s="1">
        <v>45498</v>
      </c>
      <c r="R189" s="1">
        <v>45493</v>
      </c>
      <c r="S189" t="s">
        <v>16</v>
      </c>
    </row>
    <row r="190" spans="1:19" x14ac:dyDescent="0.25">
      <c r="A190">
        <v>189</v>
      </c>
      <c r="B190">
        <v>13206760</v>
      </c>
      <c r="C190" t="s">
        <v>484</v>
      </c>
      <c r="D190" t="s">
        <v>485</v>
      </c>
      <c r="E190" t="s">
        <v>422</v>
      </c>
      <c r="F190" t="s">
        <v>423</v>
      </c>
      <c r="H190" t="s">
        <v>1890</v>
      </c>
      <c r="I190">
        <v>3</v>
      </c>
      <c r="J190" t="s">
        <v>1866</v>
      </c>
      <c r="K190" t="s">
        <v>57</v>
      </c>
      <c r="L190">
        <v>454</v>
      </c>
      <c r="N190" t="s">
        <v>2486</v>
      </c>
      <c r="O190">
        <v>2013</v>
      </c>
      <c r="P190">
        <v>2013</v>
      </c>
      <c r="Q190" s="1">
        <v>45491</v>
      </c>
      <c r="R190" s="1">
        <v>45407</v>
      </c>
      <c r="S190" t="s">
        <v>16</v>
      </c>
    </row>
    <row r="191" spans="1:19" x14ac:dyDescent="0.25">
      <c r="A191">
        <v>190</v>
      </c>
      <c r="B191">
        <v>59431898</v>
      </c>
      <c r="C191" t="s">
        <v>486</v>
      </c>
      <c r="D191" t="s">
        <v>17</v>
      </c>
      <c r="E191" t="s">
        <v>487</v>
      </c>
      <c r="F191" t="s">
        <v>488</v>
      </c>
      <c r="G191" t="s">
        <v>2611</v>
      </c>
      <c r="H191" t="s">
        <v>1891</v>
      </c>
      <c r="I191">
        <v>3</v>
      </c>
      <c r="J191" t="s">
        <v>2532</v>
      </c>
      <c r="K191" t="s">
        <v>112</v>
      </c>
      <c r="L191">
        <v>224</v>
      </c>
      <c r="M191" s="2">
        <v>0.44861111111111113</v>
      </c>
      <c r="N191" t="s">
        <v>2494</v>
      </c>
      <c r="O191">
        <v>2020</v>
      </c>
      <c r="P191">
        <v>2020</v>
      </c>
      <c r="Q191" s="1">
        <v>45491</v>
      </c>
      <c r="R191" s="1">
        <v>45476</v>
      </c>
      <c r="S191" t="s">
        <v>16</v>
      </c>
    </row>
    <row r="192" spans="1:19" x14ac:dyDescent="0.25">
      <c r="A192">
        <v>191</v>
      </c>
      <c r="B192">
        <v>37458994</v>
      </c>
      <c r="C192" t="s">
        <v>489</v>
      </c>
      <c r="D192" t="s">
        <v>17</v>
      </c>
      <c r="E192" t="s">
        <v>418</v>
      </c>
      <c r="F192" t="s">
        <v>419</v>
      </c>
      <c r="G192" t="s">
        <v>2602</v>
      </c>
      <c r="H192" t="s">
        <v>1892</v>
      </c>
      <c r="I192">
        <v>3</v>
      </c>
      <c r="J192" t="s">
        <v>2492</v>
      </c>
      <c r="K192" t="s">
        <v>112</v>
      </c>
      <c r="L192">
        <v>256</v>
      </c>
      <c r="M192" s="2">
        <v>0.26597222222222222</v>
      </c>
      <c r="N192" t="s">
        <v>2486</v>
      </c>
      <c r="O192">
        <v>2018</v>
      </c>
      <c r="P192">
        <v>2017</v>
      </c>
      <c r="Q192" s="1">
        <v>45490</v>
      </c>
      <c r="R192" s="1">
        <v>45487</v>
      </c>
      <c r="S192" t="s">
        <v>16</v>
      </c>
    </row>
    <row r="193" spans="1:19" x14ac:dyDescent="0.25">
      <c r="A193">
        <v>192</v>
      </c>
      <c r="B193">
        <v>55219456</v>
      </c>
      <c r="C193" t="s">
        <v>490</v>
      </c>
      <c r="D193" t="s">
        <v>491</v>
      </c>
      <c r="E193" t="s">
        <v>459</v>
      </c>
      <c r="F193" t="s">
        <v>460</v>
      </c>
      <c r="H193" t="str">
        <f>"9788025226186"</f>
        <v>9788025226186</v>
      </c>
      <c r="I193">
        <v>3</v>
      </c>
      <c r="J193" t="s">
        <v>2612</v>
      </c>
      <c r="K193" t="s">
        <v>2488</v>
      </c>
      <c r="L193">
        <v>268</v>
      </c>
      <c r="N193" t="s">
        <v>2494</v>
      </c>
      <c r="O193">
        <v>2013</v>
      </c>
      <c r="P193">
        <v>2013</v>
      </c>
      <c r="Q193" s="1">
        <v>45484</v>
      </c>
      <c r="R193" s="1">
        <v>45481</v>
      </c>
      <c r="S193" t="s">
        <v>16</v>
      </c>
    </row>
    <row r="194" spans="1:19" x14ac:dyDescent="0.25">
      <c r="A194">
        <v>193</v>
      </c>
      <c r="B194">
        <v>60778179</v>
      </c>
      <c r="C194" t="s">
        <v>492</v>
      </c>
      <c r="D194" t="s">
        <v>17</v>
      </c>
      <c r="E194" t="s">
        <v>493</v>
      </c>
      <c r="F194" t="s">
        <v>494</v>
      </c>
      <c r="G194" t="s">
        <v>2555</v>
      </c>
      <c r="H194" t="s">
        <v>1893</v>
      </c>
      <c r="I194">
        <v>3</v>
      </c>
      <c r="J194" t="s">
        <v>1687</v>
      </c>
      <c r="K194" t="s">
        <v>112</v>
      </c>
      <c r="L194">
        <v>352</v>
      </c>
      <c r="M194" s="2">
        <v>0.4465277777777778</v>
      </c>
      <c r="N194" t="s">
        <v>2486</v>
      </c>
      <c r="O194">
        <v>2019</v>
      </c>
      <c r="P194">
        <v>2018</v>
      </c>
      <c r="Q194" s="1">
        <v>45483</v>
      </c>
      <c r="R194" s="1">
        <v>45478</v>
      </c>
      <c r="S194" t="s">
        <v>16</v>
      </c>
    </row>
    <row r="195" spans="1:19" x14ac:dyDescent="0.25">
      <c r="A195">
        <v>194</v>
      </c>
      <c r="B195">
        <v>8497627</v>
      </c>
      <c r="C195" t="s">
        <v>495</v>
      </c>
      <c r="D195" t="s">
        <v>2613</v>
      </c>
      <c r="E195" t="s">
        <v>215</v>
      </c>
      <c r="F195" t="s">
        <v>216</v>
      </c>
      <c r="G195" t="s">
        <v>2587</v>
      </c>
      <c r="H195" t="s">
        <v>1894</v>
      </c>
      <c r="I195">
        <v>3</v>
      </c>
      <c r="J195" t="s">
        <v>2532</v>
      </c>
      <c r="K195" t="s">
        <v>112</v>
      </c>
      <c r="L195">
        <v>264</v>
      </c>
      <c r="M195" s="2">
        <v>0.46527777777777779</v>
      </c>
      <c r="N195" t="s">
        <v>2494</v>
      </c>
      <c r="O195">
        <v>2017</v>
      </c>
      <c r="P195">
        <v>2007</v>
      </c>
      <c r="Q195" s="1">
        <v>45482</v>
      </c>
      <c r="R195" s="1">
        <v>45481</v>
      </c>
      <c r="S195" t="s">
        <v>16</v>
      </c>
    </row>
    <row r="196" spans="1:19" x14ac:dyDescent="0.25">
      <c r="A196">
        <v>195</v>
      </c>
      <c r="B196">
        <v>13544067</v>
      </c>
      <c r="C196" t="s">
        <v>496</v>
      </c>
      <c r="D196" t="s">
        <v>497</v>
      </c>
      <c r="E196" t="s">
        <v>459</v>
      </c>
      <c r="F196" t="s">
        <v>460</v>
      </c>
      <c r="H196" t="s">
        <v>1895</v>
      </c>
      <c r="I196">
        <v>3</v>
      </c>
      <c r="J196" t="s">
        <v>1859</v>
      </c>
      <c r="K196" t="s">
        <v>2488</v>
      </c>
      <c r="L196">
        <v>312</v>
      </c>
      <c r="N196" t="s">
        <v>2494</v>
      </c>
      <c r="O196">
        <v>2012</v>
      </c>
      <c r="P196">
        <v>2012</v>
      </c>
      <c r="Q196" s="1">
        <v>45481</v>
      </c>
      <c r="R196" s="1">
        <v>45479</v>
      </c>
      <c r="S196" t="s">
        <v>16</v>
      </c>
    </row>
    <row r="197" spans="1:19" x14ac:dyDescent="0.25">
      <c r="A197">
        <v>196</v>
      </c>
      <c r="B197">
        <v>10227357</v>
      </c>
      <c r="C197" t="s">
        <v>498</v>
      </c>
      <c r="D197" t="s">
        <v>2614</v>
      </c>
      <c r="E197" t="s">
        <v>215</v>
      </c>
      <c r="F197" t="s">
        <v>216</v>
      </c>
      <c r="G197" t="s">
        <v>2587</v>
      </c>
      <c r="H197" t="s">
        <v>1896</v>
      </c>
      <c r="I197">
        <v>4</v>
      </c>
      <c r="J197" t="s">
        <v>2532</v>
      </c>
      <c r="K197" t="s">
        <v>112</v>
      </c>
      <c r="L197">
        <v>320</v>
      </c>
      <c r="M197" s="2">
        <v>0.56527777777777777</v>
      </c>
      <c r="N197" t="s">
        <v>2494</v>
      </c>
      <c r="O197">
        <v>2017</v>
      </c>
      <c r="P197">
        <v>2005</v>
      </c>
      <c r="Q197" s="1">
        <v>45480</v>
      </c>
      <c r="R197" s="1">
        <v>45479</v>
      </c>
      <c r="S197" t="s">
        <v>16</v>
      </c>
    </row>
    <row r="198" spans="1:19" x14ac:dyDescent="0.25">
      <c r="A198">
        <v>197</v>
      </c>
      <c r="B198">
        <v>195913987</v>
      </c>
      <c r="C198" t="s">
        <v>499</v>
      </c>
      <c r="D198" t="s">
        <v>17</v>
      </c>
      <c r="E198" t="s">
        <v>500</v>
      </c>
      <c r="F198" t="s">
        <v>501</v>
      </c>
      <c r="H198" t="s">
        <v>1897</v>
      </c>
      <c r="I198">
        <v>3</v>
      </c>
      <c r="J198" t="s">
        <v>1898</v>
      </c>
      <c r="K198" t="s">
        <v>2488</v>
      </c>
      <c r="L198">
        <v>384</v>
      </c>
      <c r="N198" t="s">
        <v>2494</v>
      </c>
      <c r="O198">
        <v>2023</v>
      </c>
      <c r="P198">
        <v>2022</v>
      </c>
      <c r="Q198" s="1">
        <v>45476</v>
      </c>
      <c r="R198" s="1">
        <v>45468</v>
      </c>
      <c r="S198" t="s">
        <v>16</v>
      </c>
    </row>
    <row r="199" spans="1:19" x14ac:dyDescent="0.25">
      <c r="A199">
        <v>198</v>
      </c>
      <c r="B199">
        <v>37803101</v>
      </c>
      <c r="C199" t="s">
        <v>502</v>
      </c>
      <c r="D199" t="s">
        <v>17</v>
      </c>
      <c r="E199" t="s">
        <v>503</v>
      </c>
      <c r="F199" t="s">
        <v>504</v>
      </c>
      <c r="G199" t="s">
        <v>2615</v>
      </c>
      <c r="H199" t="s">
        <v>1899</v>
      </c>
      <c r="I199">
        <v>2</v>
      </c>
      <c r="J199" t="s">
        <v>2492</v>
      </c>
      <c r="K199" t="s">
        <v>112</v>
      </c>
      <c r="L199">
        <v>90</v>
      </c>
      <c r="M199" s="2">
        <v>5.9722222222222225E-2</v>
      </c>
      <c r="N199" t="s">
        <v>2486</v>
      </c>
      <c r="O199">
        <v>2018</v>
      </c>
      <c r="P199">
        <v>2015</v>
      </c>
      <c r="Q199" s="1">
        <v>45476</v>
      </c>
      <c r="R199" s="1">
        <v>45472</v>
      </c>
      <c r="S199" t="s">
        <v>16</v>
      </c>
    </row>
    <row r="200" spans="1:19" x14ac:dyDescent="0.25">
      <c r="A200">
        <v>199</v>
      </c>
      <c r="B200">
        <v>58243582</v>
      </c>
      <c r="C200" t="s">
        <v>505</v>
      </c>
      <c r="D200" t="s">
        <v>2616</v>
      </c>
      <c r="E200" t="s">
        <v>506</v>
      </c>
      <c r="F200" t="s">
        <v>507</v>
      </c>
      <c r="G200" t="s">
        <v>2518</v>
      </c>
      <c r="H200" t="s">
        <v>1900</v>
      </c>
      <c r="I200">
        <v>3</v>
      </c>
      <c r="J200" t="s">
        <v>2532</v>
      </c>
      <c r="K200" t="s">
        <v>112</v>
      </c>
      <c r="L200">
        <v>360</v>
      </c>
      <c r="M200" s="2">
        <v>0.53333333333333333</v>
      </c>
      <c r="N200" t="s">
        <v>2494</v>
      </c>
      <c r="O200">
        <v>2022</v>
      </c>
      <c r="P200">
        <v>2020</v>
      </c>
      <c r="Q200" s="1">
        <v>45476</v>
      </c>
      <c r="R200" s="1">
        <v>45461</v>
      </c>
      <c r="S200" t="s">
        <v>16</v>
      </c>
    </row>
    <row r="201" spans="1:19" x14ac:dyDescent="0.25">
      <c r="A201">
        <v>200</v>
      </c>
      <c r="B201">
        <v>37877383</v>
      </c>
      <c r="C201" t="s">
        <v>508</v>
      </c>
      <c r="D201" t="s">
        <v>17</v>
      </c>
      <c r="E201" t="s">
        <v>509</v>
      </c>
      <c r="F201" t="s">
        <v>510</v>
      </c>
      <c r="G201" t="s">
        <v>2521</v>
      </c>
      <c r="H201" t="s">
        <v>1901</v>
      </c>
      <c r="I201">
        <v>3</v>
      </c>
      <c r="J201" t="s">
        <v>2617</v>
      </c>
      <c r="K201" t="s">
        <v>112</v>
      </c>
      <c r="L201">
        <v>328</v>
      </c>
      <c r="M201" s="2">
        <v>0.43263888888888891</v>
      </c>
      <c r="N201" t="s">
        <v>2486</v>
      </c>
      <c r="O201">
        <v>2023</v>
      </c>
      <c r="P201">
        <v>2014</v>
      </c>
      <c r="Q201" s="1">
        <v>45460</v>
      </c>
      <c r="R201" s="1">
        <v>45456</v>
      </c>
      <c r="S201" t="s">
        <v>16</v>
      </c>
    </row>
    <row r="202" spans="1:19" x14ac:dyDescent="0.25">
      <c r="A202">
        <v>201</v>
      </c>
      <c r="B202">
        <v>63375893</v>
      </c>
      <c r="C202" t="s">
        <v>511</v>
      </c>
      <c r="D202" t="s">
        <v>17</v>
      </c>
      <c r="E202" t="s">
        <v>512</v>
      </c>
      <c r="F202" t="s">
        <v>513</v>
      </c>
      <c r="G202" t="s">
        <v>2618</v>
      </c>
      <c r="H202" t="s">
        <v>1902</v>
      </c>
      <c r="I202">
        <v>3</v>
      </c>
      <c r="J202" t="s">
        <v>2532</v>
      </c>
      <c r="K202" t="s">
        <v>112</v>
      </c>
      <c r="L202">
        <v>368</v>
      </c>
      <c r="M202" s="2">
        <v>0.67083333333333328</v>
      </c>
      <c r="N202" t="s">
        <v>2494</v>
      </c>
      <c r="O202">
        <v>2024</v>
      </c>
      <c r="P202">
        <v>2022</v>
      </c>
      <c r="Q202" s="1">
        <v>45455</v>
      </c>
      <c r="R202" s="1">
        <v>45451</v>
      </c>
      <c r="S202" t="s">
        <v>16</v>
      </c>
    </row>
    <row r="203" spans="1:19" x14ac:dyDescent="0.25">
      <c r="A203">
        <v>202</v>
      </c>
      <c r="B203">
        <v>13596166</v>
      </c>
      <c r="C203" t="s">
        <v>514</v>
      </c>
      <c r="D203" t="s">
        <v>17</v>
      </c>
      <c r="E203" t="s">
        <v>287</v>
      </c>
      <c r="F203" t="s">
        <v>288</v>
      </c>
      <c r="H203" t="s">
        <v>1903</v>
      </c>
      <c r="I203">
        <v>3</v>
      </c>
      <c r="J203" t="s">
        <v>1904</v>
      </c>
      <c r="K203" t="s">
        <v>2488</v>
      </c>
      <c r="L203">
        <v>285</v>
      </c>
      <c r="N203" t="s">
        <v>2494</v>
      </c>
      <c r="O203">
        <v>2013</v>
      </c>
      <c r="P203">
        <v>2013</v>
      </c>
      <c r="Q203" s="1">
        <v>45453</v>
      </c>
      <c r="R203" s="1">
        <v>45439</v>
      </c>
      <c r="S203" t="s">
        <v>16</v>
      </c>
    </row>
    <row r="204" spans="1:19" x14ac:dyDescent="0.25">
      <c r="A204">
        <v>203</v>
      </c>
      <c r="B204">
        <v>50888947</v>
      </c>
      <c r="C204" t="s">
        <v>2619</v>
      </c>
      <c r="D204" t="s">
        <v>515</v>
      </c>
      <c r="E204" t="s">
        <v>516</v>
      </c>
      <c r="F204" t="s">
        <v>517</v>
      </c>
      <c r="H204" t="str">
        <f>"9788056634431"</f>
        <v>9788056634431</v>
      </c>
      <c r="I204">
        <v>3</v>
      </c>
      <c r="J204" t="s">
        <v>1770</v>
      </c>
      <c r="K204" t="s">
        <v>2488</v>
      </c>
      <c r="L204">
        <v>302</v>
      </c>
      <c r="N204" t="s">
        <v>2494</v>
      </c>
      <c r="O204">
        <v>2023</v>
      </c>
      <c r="P204">
        <v>2020</v>
      </c>
      <c r="Q204" s="1">
        <v>45448</v>
      </c>
      <c r="R204" s="1">
        <v>45444</v>
      </c>
      <c r="S204" t="s">
        <v>16</v>
      </c>
    </row>
    <row r="205" spans="1:19" x14ac:dyDescent="0.25">
      <c r="A205">
        <v>204</v>
      </c>
      <c r="B205">
        <v>24763063</v>
      </c>
      <c r="C205" t="s">
        <v>518</v>
      </c>
      <c r="D205" t="s">
        <v>519</v>
      </c>
      <c r="E205" t="s">
        <v>280</v>
      </c>
      <c r="F205" t="s">
        <v>281</v>
      </c>
      <c r="G205" t="s">
        <v>2620</v>
      </c>
      <c r="H205" t="s">
        <v>1906</v>
      </c>
      <c r="I205">
        <v>2</v>
      </c>
      <c r="J205" t="s">
        <v>2492</v>
      </c>
      <c r="K205" t="s">
        <v>112</v>
      </c>
      <c r="L205">
        <v>440</v>
      </c>
      <c r="M205" s="2">
        <v>0.47638888888888886</v>
      </c>
      <c r="N205" t="s">
        <v>2486</v>
      </c>
      <c r="O205">
        <v>2015</v>
      </c>
      <c r="P205">
        <v>1999</v>
      </c>
      <c r="Q205" s="1">
        <v>45446</v>
      </c>
      <c r="R205" s="1">
        <v>45439</v>
      </c>
      <c r="S205" t="s">
        <v>16</v>
      </c>
    </row>
    <row r="206" spans="1:19" x14ac:dyDescent="0.25">
      <c r="A206">
        <v>205</v>
      </c>
      <c r="B206">
        <v>60628432</v>
      </c>
      <c r="C206" t="s">
        <v>520</v>
      </c>
      <c r="D206" t="s">
        <v>521</v>
      </c>
      <c r="E206" t="s">
        <v>522</v>
      </c>
      <c r="F206" t="s">
        <v>523</v>
      </c>
      <c r="G206" t="s">
        <v>2621</v>
      </c>
      <c r="H206" t="s">
        <v>1907</v>
      </c>
      <c r="I206">
        <v>3</v>
      </c>
      <c r="J206" t="s">
        <v>2492</v>
      </c>
      <c r="K206" t="s">
        <v>112</v>
      </c>
      <c r="L206">
        <v>432</v>
      </c>
      <c r="M206" s="2">
        <v>0.5708333333333333</v>
      </c>
      <c r="N206" t="s">
        <v>2486</v>
      </c>
      <c r="O206">
        <v>2023</v>
      </c>
      <c r="P206">
        <v>2018</v>
      </c>
      <c r="Q206" s="1">
        <v>45437</v>
      </c>
      <c r="R206" s="1">
        <v>45435</v>
      </c>
      <c r="S206" t="s">
        <v>16</v>
      </c>
    </row>
    <row r="207" spans="1:19" x14ac:dyDescent="0.25">
      <c r="A207">
        <v>206</v>
      </c>
      <c r="B207">
        <v>61671048</v>
      </c>
      <c r="C207" t="s">
        <v>524</v>
      </c>
      <c r="D207" t="s">
        <v>17</v>
      </c>
      <c r="E207" t="s">
        <v>335</v>
      </c>
      <c r="F207" t="s">
        <v>2563</v>
      </c>
      <c r="G207" t="s">
        <v>2564</v>
      </c>
      <c r="H207" t="s">
        <v>1908</v>
      </c>
      <c r="I207">
        <v>3</v>
      </c>
      <c r="J207" t="s">
        <v>2532</v>
      </c>
      <c r="K207" t="s">
        <v>112</v>
      </c>
      <c r="L207">
        <v>230</v>
      </c>
      <c r="M207" s="2">
        <v>0.21805555555555556</v>
      </c>
      <c r="N207" t="s">
        <v>2494</v>
      </c>
      <c r="O207">
        <v>2022</v>
      </c>
      <c r="P207">
        <v>2022</v>
      </c>
      <c r="Q207" s="1">
        <v>45435</v>
      </c>
      <c r="R207" s="1">
        <v>45432</v>
      </c>
      <c r="S207" t="s">
        <v>16</v>
      </c>
    </row>
    <row r="208" spans="1:19" x14ac:dyDescent="0.25">
      <c r="A208">
        <v>207</v>
      </c>
      <c r="B208">
        <v>18144052</v>
      </c>
      <c r="C208" t="s">
        <v>525</v>
      </c>
      <c r="D208" t="s">
        <v>17</v>
      </c>
      <c r="E208" t="s">
        <v>526</v>
      </c>
      <c r="F208" t="s">
        <v>527</v>
      </c>
      <c r="H208" t="s">
        <v>1909</v>
      </c>
      <c r="I208">
        <v>3</v>
      </c>
      <c r="J208" t="s">
        <v>1910</v>
      </c>
      <c r="K208" t="s">
        <v>2488</v>
      </c>
      <c r="L208">
        <v>611</v>
      </c>
      <c r="N208" t="s">
        <v>2486</v>
      </c>
      <c r="O208">
        <v>2012</v>
      </c>
      <c r="P208">
        <v>2006</v>
      </c>
      <c r="Q208" s="1">
        <v>45432</v>
      </c>
      <c r="R208" s="1">
        <v>45418</v>
      </c>
      <c r="S208" t="s">
        <v>16</v>
      </c>
    </row>
    <row r="209" spans="1:19" x14ac:dyDescent="0.25">
      <c r="A209">
        <v>208</v>
      </c>
      <c r="B209">
        <v>156756628</v>
      </c>
      <c r="C209" t="s">
        <v>528</v>
      </c>
      <c r="D209" t="s">
        <v>529</v>
      </c>
      <c r="E209" t="s">
        <v>530</v>
      </c>
      <c r="F209" t="s">
        <v>531</v>
      </c>
      <c r="H209" t="s">
        <v>1911</v>
      </c>
      <c r="I209">
        <v>5</v>
      </c>
      <c r="J209" t="s">
        <v>1759</v>
      </c>
      <c r="K209" t="s">
        <v>2488</v>
      </c>
      <c r="L209">
        <v>400</v>
      </c>
      <c r="N209" t="s">
        <v>2494</v>
      </c>
      <c r="O209">
        <v>2023</v>
      </c>
      <c r="P209">
        <v>2022</v>
      </c>
      <c r="Q209" s="1">
        <v>45430</v>
      </c>
      <c r="R209" s="1">
        <v>45423</v>
      </c>
      <c r="S209" t="s">
        <v>16</v>
      </c>
    </row>
    <row r="210" spans="1:19" x14ac:dyDescent="0.25">
      <c r="A210">
        <v>209</v>
      </c>
      <c r="B210">
        <v>203417829</v>
      </c>
      <c r="C210" t="s">
        <v>532</v>
      </c>
      <c r="D210" t="s">
        <v>533</v>
      </c>
      <c r="E210" t="s">
        <v>269</v>
      </c>
      <c r="F210" t="s">
        <v>270</v>
      </c>
      <c r="G210" t="s">
        <v>2622</v>
      </c>
      <c r="H210" t="s">
        <v>1912</v>
      </c>
      <c r="I210">
        <v>3</v>
      </c>
      <c r="J210" t="s">
        <v>2545</v>
      </c>
      <c r="K210" t="s">
        <v>112</v>
      </c>
      <c r="L210">
        <v>312</v>
      </c>
      <c r="M210" s="2">
        <v>0.42916666666666664</v>
      </c>
      <c r="N210" t="s">
        <v>2486</v>
      </c>
      <c r="O210">
        <v>2023</v>
      </c>
      <c r="P210">
        <v>2023</v>
      </c>
      <c r="Q210" s="1">
        <v>45430</v>
      </c>
      <c r="R210" s="1">
        <v>45430</v>
      </c>
      <c r="S210" t="s">
        <v>16</v>
      </c>
    </row>
    <row r="211" spans="1:19" x14ac:dyDescent="0.25">
      <c r="A211">
        <v>210</v>
      </c>
      <c r="B211">
        <v>156702380</v>
      </c>
      <c r="C211" t="s">
        <v>534</v>
      </c>
      <c r="D211" t="s">
        <v>535</v>
      </c>
      <c r="E211" t="s">
        <v>536</v>
      </c>
      <c r="F211" t="s">
        <v>537</v>
      </c>
      <c r="H211" t="s">
        <v>1913</v>
      </c>
      <c r="I211">
        <v>3</v>
      </c>
      <c r="J211" t="s">
        <v>1668</v>
      </c>
      <c r="K211" t="s">
        <v>2488</v>
      </c>
      <c r="L211">
        <v>296</v>
      </c>
      <c r="N211" t="s">
        <v>2494</v>
      </c>
      <c r="O211">
        <v>2023</v>
      </c>
      <c r="P211">
        <v>2022</v>
      </c>
      <c r="Q211" s="1">
        <v>45423</v>
      </c>
      <c r="R211" s="1">
        <v>45417</v>
      </c>
      <c r="S211" t="s">
        <v>16</v>
      </c>
    </row>
    <row r="212" spans="1:19" x14ac:dyDescent="0.25">
      <c r="A212">
        <v>211</v>
      </c>
      <c r="B212">
        <v>53479929</v>
      </c>
      <c r="C212" t="s">
        <v>538</v>
      </c>
      <c r="D212" t="s">
        <v>539</v>
      </c>
      <c r="E212" t="s">
        <v>184</v>
      </c>
      <c r="F212" t="s">
        <v>185</v>
      </c>
      <c r="G212" t="s">
        <v>2527</v>
      </c>
      <c r="H212" t="s">
        <v>1914</v>
      </c>
      <c r="I212">
        <v>5</v>
      </c>
      <c r="J212" t="s">
        <v>2492</v>
      </c>
      <c r="K212" t="s">
        <v>112</v>
      </c>
      <c r="L212">
        <v>720</v>
      </c>
      <c r="M212" s="2">
        <v>0.82222222222222219</v>
      </c>
      <c r="N212" t="s">
        <v>2486</v>
      </c>
      <c r="O212">
        <v>2018</v>
      </c>
      <c r="P212">
        <v>2018</v>
      </c>
      <c r="Q212" s="1">
        <v>45428</v>
      </c>
      <c r="R212" s="1">
        <v>45418</v>
      </c>
      <c r="S212" t="s">
        <v>16</v>
      </c>
    </row>
    <row r="213" spans="1:19" x14ac:dyDescent="0.25">
      <c r="A213">
        <v>212</v>
      </c>
      <c r="B213">
        <v>56588018</v>
      </c>
      <c r="C213" t="s">
        <v>540</v>
      </c>
      <c r="D213" t="s">
        <v>17</v>
      </c>
      <c r="E213" t="s">
        <v>541</v>
      </c>
      <c r="F213" t="s">
        <v>542</v>
      </c>
      <c r="H213" t="s">
        <v>1915</v>
      </c>
      <c r="I213">
        <v>4</v>
      </c>
      <c r="J213" t="s">
        <v>1668</v>
      </c>
      <c r="K213" t="s">
        <v>2488</v>
      </c>
      <c r="L213">
        <v>472</v>
      </c>
      <c r="N213" t="s">
        <v>2494</v>
      </c>
      <c r="O213">
        <v>2021</v>
      </c>
      <c r="P213">
        <v>2019</v>
      </c>
      <c r="Q213" s="1">
        <v>45416</v>
      </c>
      <c r="R213" s="1">
        <v>45418</v>
      </c>
      <c r="S213" t="s">
        <v>16</v>
      </c>
    </row>
    <row r="214" spans="1:19" x14ac:dyDescent="0.25">
      <c r="A214">
        <v>213</v>
      </c>
      <c r="B214">
        <v>61163588</v>
      </c>
      <c r="C214" t="s">
        <v>543</v>
      </c>
      <c r="D214" t="s">
        <v>17</v>
      </c>
      <c r="E214" t="s">
        <v>163</v>
      </c>
      <c r="F214" t="s">
        <v>164</v>
      </c>
      <c r="G214" t="s">
        <v>2623</v>
      </c>
      <c r="H214" t="s">
        <v>1917</v>
      </c>
      <c r="I214">
        <v>4</v>
      </c>
      <c r="J214" t="s">
        <v>2532</v>
      </c>
      <c r="K214" t="s">
        <v>112</v>
      </c>
      <c r="L214">
        <v>328</v>
      </c>
      <c r="M214" s="2">
        <v>0.62638888888888888</v>
      </c>
      <c r="N214" t="s">
        <v>2494</v>
      </c>
      <c r="O214">
        <v>2022</v>
      </c>
      <c r="P214">
        <v>2022</v>
      </c>
      <c r="Q214" s="1">
        <v>45416</v>
      </c>
      <c r="R214" s="1">
        <v>45413</v>
      </c>
      <c r="S214" t="s">
        <v>16</v>
      </c>
    </row>
    <row r="215" spans="1:19" x14ac:dyDescent="0.25">
      <c r="A215">
        <v>214</v>
      </c>
      <c r="B215">
        <v>59970454</v>
      </c>
      <c r="C215" t="s">
        <v>544</v>
      </c>
      <c r="D215" t="s">
        <v>17</v>
      </c>
      <c r="E215" t="s">
        <v>2624</v>
      </c>
      <c r="F215" t="s">
        <v>545</v>
      </c>
      <c r="G215" t="s">
        <v>546</v>
      </c>
      <c r="H215" t="s">
        <v>1918</v>
      </c>
      <c r="I215">
        <v>3</v>
      </c>
      <c r="J215" t="s">
        <v>1919</v>
      </c>
      <c r="K215" t="s">
        <v>112</v>
      </c>
      <c r="L215">
        <v>256</v>
      </c>
      <c r="M215" s="2">
        <v>0.49722222222222223</v>
      </c>
      <c r="N215" t="s">
        <v>2486</v>
      </c>
      <c r="O215">
        <v>2021</v>
      </c>
      <c r="P215">
        <v>2010</v>
      </c>
      <c r="Q215" s="1">
        <v>45410</v>
      </c>
      <c r="R215" s="1">
        <v>45355</v>
      </c>
      <c r="S215" t="s">
        <v>16</v>
      </c>
    </row>
    <row r="216" spans="1:19" x14ac:dyDescent="0.25">
      <c r="A216">
        <v>215</v>
      </c>
      <c r="B216">
        <v>29339869</v>
      </c>
      <c r="C216" t="s">
        <v>547</v>
      </c>
      <c r="D216" t="s">
        <v>548</v>
      </c>
      <c r="E216" t="s">
        <v>184</v>
      </c>
      <c r="F216" t="s">
        <v>185</v>
      </c>
      <c r="G216" t="s">
        <v>2625</v>
      </c>
      <c r="H216" t="s">
        <v>1920</v>
      </c>
      <c r="I216">
        <v>3</v>
      </c>
      <c r="J216" t="s">
        <v>2492</v>
      </c>
      <c r="K216" t="s">
        <v>112</v>
      </c>
      <c r="L216">
        <v>400</v>
      </c>
      <c r="M216" s="2">
        <v>0.5131944444444444</v>
      </c>
      <c r="N216" t="s">
        <v>2486</v>
      </c>
      <c r="O216">
        <v>2017</v>
      </c>
      <c r="P216">
        <v>2015</v>
      </c>
      <c r="Q216" s="1">
        <v>45409</v>
      </c>
      <c r="R216" s="1">
        <v>45407</v>
      </c>
      <c r="S216" t="s">
        <v>16</v>
      </c>
    </row>
    <row r="217" spans="1:19" x14ac:dyDescent="0.25">
      <c r="A217">
        <v>216</v>
      </c>
      <c r="B217">
        <v>32307358</v>
      </c>
      <c r="C217" t="s">
        <v>2543</v>
      </c>
      <c r="D217" t="s">
        <v>248</v>
      </c>
      <c r="E217" t="s">
        <v>2626</v>
      </c>
      <c r="F217" t="s">
        <v>126</v>
      </c>
      <c r="H217" t="str">
        <f>"9788055158631"</f>
        <v>9788055158631</v>
      </c>
      <c r="I217">
        <v>5</v>
      </c>
      <c r="J217" t="s">
        <v>1668</v>
      </c>
      <c r="K217" t="s">
        <v>2488</v>
      </c>
      <c r="L217">
        <v>480</v>
      </c>
      <c r="N217" t="s">
        <v>2494</v>
      </c>
      <c r="O217">
        <v>2018</v>
      </c>
      <c r="P217">
        <v>2018</v>
      </c>
      <c r="Q217" s="1">
        <v>45407</v>
      </c>
      <c r="R217" s="1">
        <v>45402</v>
      </c>
      <c r="S217" t="s">
        <v>16</v>
      </c>
    </row>
    <row r="218" spans="1:19" x14ac:dyDescent="0.25">
      <c r="A218">
        <v>217</v>
      </c>
      <c r="B218">
        <v>35382707</v>
      </c>
      <c r="C218" t="s">
        <v>549</v>
      </c>
      <c r="D218" t="s">
        <v>550</v>
      </c>
      <c r="E218" t="s">
        <v>184</v>
      </c>
      <c r="F218" t="s">
        <v>185</v>
      </c>
      <c r="G218" t="s">
        <v>2527</v>
      </c>
      <c r="H218" t="s">
        <v>1921</v>
      </c>
      <c r="I218">
        <v>3</v>
      </c>
      <c r="J218" t="s">
        <v>2492</v>
      </c>
      <c r="K218" t="s">
        <v>112</v>
      </c>
      <c r="L218">
        <v>512</v>
      </c>
      <c r="M218" s="2">
        <v>0.86319444444444449</v>
      </c>
      <c r="N218" t="s">
        <v>2486</v>
      </c>
      <c r="O218">
        <v>2017</v>
      </c>
      <c r="P218">
        <v>2016</v>
      </c>
      <c r="Q218" s="1">
        <v>45403</v>
      </c>
      <c r="R218" s="1">
        <v>45401</v>
      </c>
      <c r="S218" t="s">
        <v>16</v>
      </c>
    </row>
    <row r="219" spans="1:19" x14ac:dyDescent="0.25">
      <c r="A219">
        <v>218</v>
      </c>
      <c r="B219">
        <v>199136685</v>
      </c>
      <c r="C219" t="s">
        <v>551</v>
      </c>
      <c r="D219" t="s">
        <v>2628</v>
      </c>
      <c r="E219" t="s">
        <v>552</v>
      </c>
      <c r="F219" t="s">
        <v>553</v>
      </c>
      <c r="G219" t="s">
        <v>2629</v>
      </c>
      <c r="H219" t="s">
        <v>1922</v>
      </c>
      <c r="I219">
        <v>4</v>
      </c>
      <c r="J219" t="s">
        <v>2545</v>
      </c>
      <c r="K219" t="s">
        <v>112</v>
      </c>
      <c r="L219">
        <v>416</v>
      </c>
      <c r="M219" s="2">
        <v>0.52638888888888891</v>
      </c>
      <c r="N219" t="s">
        <v>2486</v>
      </c>
      <c r="O219">
        <v>2023</v>
      </c>
      <c r="P219">
        <v>2023</v>
      </c>
      <c r="Q219" s="1">
        <v>45402</v>
      </c>
      <c r="R219" s="1">
        <v>45395</v>
      </c>
      <c r="S219" t="s">
        <v>16</v>
      </c>
    </row>
    <row r="220" spans="1:19" x14ac:dyDescent="0.25">
      <c r="A220">
        <v>219</v>
      </c>
      <c r="B220">
        <v>40524050</v>
      </c>
      <c r="C220" t="s">
        <v>554</v>
      </c>
      <c r="D220" t="s">
        <v>555</v>
      </c>
      <c r="E220" t="s">
        <v>556</v>
      </c>
      <c r="F220" t="s">
        <v>557</v>
      </c>
      <c r="G220" t="s">
        <v>2630</v>
      </c>
      <c r="H220" t="s">
        <v>1923</v>
      </c>
      <c r="I220">
        <v>2</v>
      </c>
      <c r="J220" t="s">
        <v>2627</v>
      </c>
      <c r="K220" t="s">
        <v>112</v>
      </c>
      <c r="L220">
        <v>752</v>
      </c>
      <c r="M220" s="3">
        <v>1.1055555555555556</v>
      </c>
      <c r="N220" t="s">
        <v>2486</v>
      </c>
      <c r="O220">
        <v>2019</v>
      </c>
      <c r="P220">
        <v>2010</v>
      </c>
      <c r="Q220" s="1">
        <v>45397</v>
      </c>
      <c r="R220" s="1">
        <v>45388</v>
      </c>
      <c r="S220" t="s">
        <v>16</v>
      </c>
    </row>
    <row r="221" spans="1:19" x14ac:dyDescent="0.25">
      <c r="A221">
        <v>220</v>
      </c>
      <c r="B221">
        <v>157153179</v>
      </c>
      <c r="C221" t="s">
        <v>558</v>
      </c>
      <c r="D221" t="s">
        <v>559</v>
      </c>
      <c r="E221" t="s">
        <v>133</v>
      </c>
      <c r="F221" t="s">
        <v>134</v>
      </c>
      <c r="H221" t="s">
        <v>1924</v>
      </c>
      <c r="I221">
        <v>4</v>
      </c>
      <c r="J221" t="s">
        <v>1668</v>
      </c>
      <c r="K221" t="s">
        <v>2488</v>
      </c>
      <c r="L221">
        <v>416</v>
      </c>
      <c r="N221" t="s">
        <v>2494</v>
      </c>
      <c r="O221">
        <v>2023</v>
      </c>
      <c r="P221">
        <v>2023</v>
      </c>
      <c r="Q221" s="1">
        <v>45392</v>
      </c>
      <c r="R221" s="1">
        <v>45386</v>
      </c>
      <c r="S221" t="s">
        <v>16</v>
      </c>
    </row>
    <row r="222" spans="1:19" x14ac:dyDescent="0.25">
      <c r="A222">
        <v>221</v>
      </c>
      <c r="B222">
        <v>35155766</v>
      </c>
      <c r="C222" t="s">
        <v>560</v>
      </c>
      <c r="D222" t="s">
        <v>561</v>
      </c>
      <c r="E222" t="s">
        <v>556</v>
      </c>
      <c r="F222" t="s">
        <v>557</v>
      </c>
      <c r="G222" t="s">
        <v>2630</v>
      </c>
      <c r="H222" t="s">
        <v>1925</v>
      </c>
      <c r="I222">
        <v>3</v>
      </c>
      <c r="J222" t="s">
        <v>2627</v>
      </c>
      <c r="K222" t="s">
        <v>112</v>
      </c>
      <c r="L222">
        <v>600</v>
      </c>
      <c r="M222" s="2">
        <v>0.91874999999999996</v>
      </c>
      <c r="N222" t="s">
        <v>2486</v>
      </c>
      <c r="O222">
        <v>2018</v>
      </c>
      <c r="P222">
        <v>2008</v>
      </c>
      <c r="Q222" s="1">
        <v>45388</v>
      </c>
      <c r="R222" s="1">
        <v>45379</v>
      </c>
      <c r="S222" t="s">
        <v>16</v>
      </c>
    </row>
    <row r="223" spans="1:19" x14ac:dyDescent="0.25">
      <c r="A223">
        <v>222</v>
      </c>
      <c r="B223">
        <v>58328656</v>
      </c>
      <c r="C223" t="s">
        <v>562</v>
      </c>
      <c r="D223" t="s">
        <v>17</v>
      </c>
      <c r="E223" t="s">
        <v>563</v>
      </c>
      <c r="F223" t="s">
        <v>564</v>
      </c>
      <c r="H223" t="s">
        <v>1926</v>
      </c>
      <c r="I223">
        <v>4</v>
      </c>
      <c r="J223" t="s">
        <v>1927</v>
      </c>
      <c r="K223" t="s">
        <v>57</v>
      </c>
      <c r="L223">
        <v>536</v>
      </c>
      <c r="N223" t="s">
        <v>2486</v>
      </c>
      <c r="O223">
        <v>2021</v>
      </c>
      <c r="P223">
        <v>2020</v>
      </c>
      <c r="Q223" s="1">
        <v>45384</v>
      </c>
      <c r="R223" s="1">
        <v>45378</v>
      </c>
      <c r="S223" t="s">
        <v>16</v>
      </c>
    </row>
    <row r="224" spans="1:19" x14ac:dyDescent="0.25">
      <c r="A224">
        <v>223</v>
      </c>
      <c r="B224">
        <v>33819718</v>
      </c>
      <c r="C224" t="s">
        <v>565</v>
      </c>
      <c r="D224" t="s">
        <v>566</v>
      </c>
      <c r="E224" t="s">
        <v>556</v>
      </c>
      <c r="F224" t="s">
        <v>557</v>
      </c>
      <c r="G224" t="s">
        <v>2630</v>
      </c>
      <c r="H224" t="s">
        <v>1928</v>
      </c>
      <c r="I224">
        <v>3</v>
      </c>
      <c r="J224" t="s">
        <v>2627</v>
      </c>
      <c r="K224" t="s">
        <v>112</v>
      </c>
      <c r="L224">
        <v>447</v>
      </c>
      <c r="M224" s="2">
        <v>0.58958333333333335</v>
      </c>
      <c r="N224" t="s">
        <v>2486</v>
      </c>
      <c r="O224">
        <v>2017</v>
      </c>
      <c r="P224">
        <v>2006</v>
      </c>
      <c r="Q224" s="1">
        <v>45379</v>
      </c>
      <c r="R224" s="1">
        <v>45375</v>
      </c>
      <c r="S224" t="s">
        <v>16</v>
      </c>
    </row>
    <row r="225" spans="1:19" x14ac:dyDescent="0.25">
      <c r="A225">
        <v>224</v>
      </c>
      <c r="B225">
        <v>27137615</v>
      </c>
      <c r="C225" t="s">
        <v>567</v>
      </c>
      <c r="D225" t="s">
        <v>17</v>
      </c>
      <c r="E225" t="s">
        <v>568</v>
      </c>
      <c r="F225" t="s">
        <v>569</v>
      </c>
      <c r="H225" t="s">
        <v>1929</v>
      </c>
      <c r="I225">
        <v>4</v>
      </c>
      <c r="J225" t="s">
        <v>1930</v>
      </c>
      <c r="K225" t="s">
        <v>2488</v>
      </c>
      <c r="L225">
        <v>504</v>
      </c>
      <c r="N225" t="s">
        <v>2494</v>
      </c>
      <c r="O225">
        <v>2015</v>
      </c>
      <c r="P225">
        <v>2015</v>
      </c>
      <c r="Q225" s="1">
        <v>45376</v>
      </c>
      <c r="R225" s="1">
        <v>45371</v>
      </c>
      <c r="S225" t="s">
        <v>16</v>
      </c>
    </row>
    <row r="226" spans="1:19" x14ac:dyDescent="0.25">
      <c r="A226">
        <v>225</v>
      </c>
      <c r="B226">
        <v>18655716</v>
      </c>
      <c r="C226" t="s">
        <v>570</v>
      </c>
      <c r="D226" t="s">
        <v>571</v>
      </c>
      <c r="E226" t="s">
        <v>184</v>
      </c>
      <c r="F226" t="s">
        <v>185</v>
      </c>
      <c r="G226" t="s">
        <v>2527</v>
      </c>
      <c r="H226" t="s">
        <v>1931</v>
      </c>
      <c r="I226">
        <v>3</v>
      </c>
      <c r="J226" t="s">
        <v>2492</v>
      </c>
      <c r="K226" t="s">
        <v>112</v>
      </c>
      <c r="L226">
        <v>495</v>
      </c>
      <c r="M226" s="2">
        <v>0.49513888888888891</v>
      </c>
      <c r="N226" t="s">
        <v>2486</v>
      </c>
      <c r="O226">
        <v>2013</v>
      </c>
      <c r="P226">
        <v>2012</v>
      </c>
      <c r="Q226" s="1">
        <v>45376</v>
      </c>
      <c r="R226" s="1">
        <v>45374</v>
      </c>
      <c r="S226" t="s">
        <v>16</v>
      </c>
    </row>
    <row r="227" spans="1:19" x14ac:dyDescent="0.25">
      <c r="A227">
        <v>226</v>
      </c>
      <c r="B227">
        <v>54965511</v>
      </c>
      <c r="C227" t="s">
        <v>572</v>
      </c>
      <c r="D227" t="s">
        <v>17</v>
      </c>
      <c r="E227" t="s">
        <v>573</v>
      </c>
      <c r="F227" t="s">
        <v>574</v>
      </c>
      <c r="H227" t="s">
        <v>1932</v>
      </c>
      <c r="I227">
        <v>3</v>
      </c>
      <c r="J227" t="s">
        <v>1829</v>
      </c>
      <c r="K227" t="s">
        <v>2488</v>
      </c>
      <c r="L227">
        <v>336</v>
      </c>
      <c r="N227" t="s">
        <v>2494</v>
      </c>
      <c r="O227">
        <v>2020</v>
      </c>
      <c r="P227">
        <v>2017</v>
      </c>
      <c r="Q227" s="1">
        <v>45373</v>
      </c>
      <c r="R227" s="1">
        <v>45364</v>
      </c>
      <c r="S227" t="s">
        <v>16</v>
      </c>
    </row>
    <row r="228" spans="1:19" x14ac:dyDescent="0.25">
      <c r="A228">
        <v>227</v>
      </c>
      <c r="B228">
        <v>9200869</v>
      </c>
      <c r="C228" t="s">
        <v>2631</v>
      </c>
      <c r="D228" t="s">
        <v>575</v>
      </c>
      <c r="E228" t="s">
        <v>184</v>
      </c>
      <c r="F228" t="s">
        <v>185</v>
      </c>
      <c r="G228" t="s">
        <v>2527</v>
      </c>
      <c r="H228" t="s">
        <v>1933</v>
      </c>
      <c r="I228">
        <v>2</v>
      </c>
      <c r="J228" t="s">
        <v>2492</v>
      </c>
      <c r="K228" t="s">
        <v>112</v>
      </c>
      <c r="L228">
        <v>561</v>
      </c>
      <c r="M228" s="2">
        <v>0.48888888888888887</v>
      </c>
      <c r="N228" t="s">
        <v>2486</v>
      </c>
      <c r="O228">
        <v>2015</v>
      </c>
      <c r="P228">
        <v>2010</v>
      </c>
      <c r="Q228" s="1">
        <v>45372</v>
      </c>
      <c r="R228" s="1">
        <v>45371</v>
      </c>
      <c r="S228" t="s">
        <v>16</v>
      </c>
    </row>
    <row r="229" spans="1:19" x14ac:dyDescent="0.25">
      <c r="A229">
        <v>228</v>
      </c>
      <c r="B229">
        <v>52518016</v>
      </c>
      <c r="C229" t="s">
        <v>576</v>
      </c>
      <c r="D229" t="s">
        <v>17</v>
      </c>
      <c r="E229" t="s">
        <v>577</v>
      </c>
      <c r="F229" t="s">
        <v>578</v>
      </c>
      <c r="H229" t="s">
        <v>1934</v>
      </c>
      <c r="I229">
        <v>2</v>
      </c>
      <c r="J229" t="s">
        <v>1723</v>
      </c>
      <c r="K229" t="s">
        <v>57</v>
      </c>
      <c r="L229">
        <v>296</v>
      </c>
      <c r="N229" t="s">
        <v>2486</v>
      </c>
      <c r="O229">
        <v>2019</v>
      </c>
      <c r="P229">
        <v>2018</v>
      </c>
      <c r="Q229" s="1">
        <v>45371</v>
      </c>
      <c r="R229" s="1">
        <v>45365</v>
      </c>
      <c r="S229" t="s">
        <v>16</v>
      </c>
    </row>
    <row r="230" spans="1:19" x14ac:dyDescent="0.25">
      <c r="A230">
        <v>229</v>
      </c>
      <c r="B230">
        <v>10057190</v>
      </c>
      <c r="C230" t="s">
        <v>579</v>
      </c>
      <c r="D230" t="s">
        <v>580</v>
      </c>
      <c r="E230" t="s">
        <v>184</v>
      </c>
      <c r="F230" t="s">
        <v>185</v>
      </c>
      <c r="G230" t="s">
        <v>2527</v>
      </c>
      <c r="H230" t="s">
        <v>1935</v>
      </c>
      <c r="I230">
        <v>3</v>
      </c>
      <c r="J230" t="s">
        <v>2492</v>
      </c>
      <c r="K230" t="s">
        <v>112</v>
      </c>
      <c r="L230">
        <v>534</v>
      </c>
      <c r="M230" s="2">
        <v>0.6875</v>
      </c>
      <c r="N230" t="s">
        <v>2486</v>
      </c>
      <c r="O230">
        <v>2013</v>
      </c>
      <c r="P230">
        <v>2009</v>
      </c>
      <c r="Q230" s="1">
        <v>45365</v>
      </c>
      <c r="R230" s="1">
        <v>45360</v>
      </c>
      <c r="S230" t="s">
        <v>16</v>
      </c>
    </row>
    <row r="231" spans="1:19" x14ac:dyDescent="0.25">
      <c r="A231">
        <v>230</v>
      </c>
      <c r="B231">
        <v>58516913</v>
      </c>
      <c r="C231" t="s">
        <v>581</v>
      </c>
      <c r="D231" t="s">
        <v>17</v>
      </c>
      <c r="E231" t="s">
        <v>582</v>
      </c>
      <c r="F231" t="s">
        <v>583</v>
      </c>
      <c r="H231" t="s">
        <v>1936</v>
      </c>
      <c r="I231">
        <v>3</v>
      </c>
      <c r="J231" t="s">
        <v>1937</v>
      </c>
      <c r="K231" t="s">
        <v>57</v>
      </c>
      <c r="L231">
        <v>264</v>
      </c>
      <c r="N231" t="s">
        <v>2486</v>
      </c>
      <c r="O231">
        <v>2021</v>
      </c>
      <c r="P231">
        <v>1994</v>
      </c>
      <c r="Q231" s="1">
        <v>45359</v>
      </c>
      <c r="R231" s="1">
        <v>45353</v>
      </c>
      <c r="S231" t="s">
        <v>16</v>
      </c>
    </row>
    <row r="232" spans="1:19" x14ac:dyDescent="0.25">
      <c r="A232">
        <v>231</v>
      </c>
      <c r="B232">
        <v>53831127</v>
      </c>
      <c r="C232" t="s">
        <v>584</v>
      </c>
      <c r="D232" t="s">
        <v>2632</v>
      </c>
      <c r="E232" t="s">
        <v>585</v>
      </c>
      <c r="F232" t="s">
        <v>586</v>
      </c>
      <c r="G232" t="s">
        <v>2633</v>
      </c>
      <c r="H232" t="s">
        <v>1938</v>
      </c>
      <c r="I232">
        <v>1</v>
      </c>
      <c r="J232" t="s">
        <v>1939</v>
      </c>
      <c r="K232" t="s">
        <v>112</v>
      </c>
      <c r="L232">
        <v>552</v>
      </c>
      <c r="M232" s="2">
        <v>0.5493055555555556</v>
      </c>
      <c r="N232" t="s">
        <v>2486</v>
      </c>
      <c r="O232">
        <v>2022</v>
      </c>
      <c r="P232">
        <v>2020</v>
      </c>
      <c r="Q232" s="1">
        <v>45353</v>
      </c>
      <c r="R232" s="1">
        <v>45348</v>
      </c>
      <c r="S232" t="s">
        <v>16</v>
      </c>
    </row>
    <row r="233" spans="1:19" x14ac:dyDescent="0.25">
      <c r="A233">
        <v>232</v>
      </c>
      <c r="B233">
        <v>50571356</v>
      </c>
      <c r="C233" t="s">
        <v>587</v>
      </c>
      <c r="D233" t="s">
        <v>17</v>
      </c>
      <c r="E233" t="s">
        <v>588</v>
      </c>
      <c r="F233" t="s">
        <v>589</v>
      </c>
      <c r="G233" t="s">
        <v>2634</v>
      </c>
      <c r="H233" t="s">
        <v>1940</v>
      </c>
      <c r="I233">
        <v>3</v>
      </c>
      <c r="J233" t="s">
        <v>2492</v>
      </c>
      <c r="K233" t="s">
        <v>112</v>
      </c>
      <c r="L233">
        <v>248</v>
      </c>
      <c r="M233" s="2">
        <v>0.30416666666666664</v>
      </c>
      <c r="N233" t="s">
        <v>2486</v>
      </c>
      <c r="O233">
        <v>2020</v>
      </c>
      <c r="P233">
        <v>2018</v>
      </c>
      <c r="Q233" s="1">
        <v>45350</v>
      </c>
      <c r="R233" s="1">
        <v>45345</v>
      </c>
      <c r="S233" t="s">
        <v>16</v>
      </c>
    </row>
    <row r="234" spans="1:19" x14ac:dyDescent="0.25">
      <c r="A234">
        <v>233</v>
      </c>
      <c r="B234">
        <v>63038153</v>
      </c>
      <c r="C234" t="s">
        <v>590</v>
      </c>
      <c r="D234" t="s">
        <v>17</v>
      </c>
      <c r="E234" t="s">
        <v>591</v>
      </c>
      <c r="F234" t="s">
        <v>592</v>
      </c>
      <c r="H234" t="s">
        <v>1941</v>
      </c>
      <c r="I234">
        <v>3</v>
      </c>
      <c r="J234" t="s">
        <v>1668</v>
      </c>
      <c r="K234" t="s">
        <v>2488</v>
      </c>
      <c r="L234">
        <v>256</v>
      </c>
      <c r="N234" t="s">
        <v>2494</v>
      </c>
      <c r="O234">
        <v>2022</v>
      </c>
      <c r="P234">
        <v>2018</v>
      </c>
      <c r="Q234" s="1">
        <v>45350</v>
      </c>
      <c r="R234" s="1">
        <v>45306</v>
      </c>
      <c r="S234" t="s">
        <v>16</v>
      </c>
    </row>
    <row r="235" spans="1:19" x14ac:dyDescent="0.25">
      <c r="A235">
        <v>234</v>
      </c>
      <c r="B235">
        <v>89572639</v>
      </c>
      <c r="C235" t="s">
        <v>593</v>
      </c>
      <c r="D235" t="s">
        <v>17</v>
      </c>
      <c r="E235" t="s">
        <v>329</v>
      </c>
      <c r="F235" t="s">
        <v>330</v>
      </c>
      <c r="G235" t="s">
        <v>2635</v>
      </c>
      <c r="H235" t="s">
        <v>1942</v>
      </c>
      <c r="I235">
        <v>4</v>
      </c>
      <c r="J235" t="s">
        <v>2492</v>
      </c>
      <c r="K235" t="s">
        <v>112</v>
      </c>
      <c r="L235">
        <v>304</v>
      </c>
      <c r="M235" s="2">
        <v>0.36388888888888887</v>
      </c>
      <c r="N235" t="s">
        <v>2486</v>
      </c>
      <c r="O235">
        <v>2023</v>
      </c>
      <c r="P235">
        <v>2023</v>
      </c>
      <c r="Q235" s="1">
        <v>45350</v>
      </c>
      <c r="R235" s="1">
        <v>45346</v>
      </c>
      <c r="S235" t="s">
        <v>16</v>
      </c>
    </row>
    <row r="236" spans="1:19" x14ac:dyDescent="0.25">
      <c r="A236">
        <v>235</v>
      </c>
      <c r="B236">
        <v>54353369</v>
      </c>
      <c r="C236" t="s">
        <v>594</v>
      </c>
      <c r="D236" t="s">
        <v>17</v>
      </c>
      <c r="E236" t="s">
        <v>595</v>
      </c>
      <c r="F236" t="s">
        <v>596</v>
      </c>
      <c r="H236" t="s">
        <v>1943</v>
      </c>
      <c r="I236">
        <v>1</v>
      </c>
      <c r="J236" t="s">
        <v>1944</v>
      </c>
      <c r="K236" t="s">
        <v>2488</v>
      </c>
      <c r="L236">
        <v>192</v>
      </c>
      <c r="N236" t="s">
        <v>2494</v>
      </c>
      <c r="O236">
        <v>2020</v>
      </c>
      <c r="P236">
        <v>2020</v>
      </c>
      <c r="Q236" s="1">
        <v>45348</v>
      </c>
      <c r="R236" s="1">
        <v>45338</v>
      </c>
      <c r="S236" t="s">
        <v>16</v>
      </c>
    </row>
    <row r="237" spans="1:19" x14ac:dyDescent="0.25">
      <c r="A237">
        <v>236</v>
      </c>
      <c r="B237">
        <v>50399402</v>
      </c>
      <c r="C237" t="s">
        <v>597</v>
      </c>
      <c r="D237" t="s">
        <v>598</v>
      </c>
      <c r="E237" t="s">
        <v>599</v>
      </c>
      <c r="F237" t="s">
        <v>600</v>
      </c>
      <c r="G237" t="s">
        <v>2636</v>
      </c>
      <c r="H237" t="s">
        <v>1945</v>
      </c>
      <c r="I237">
        <v>2</v>
      </c>
      <c r="J237" t="s">
        <v>2637</v>
      </c>
      <c r="K237" t="s">
        <v>112</v>
      </c>
      <c r="L237">
        <v>384</v>
      </c>
      <c r="M237" s="2">
        <v>0.61805555555555558</v>
      </c>
      <c r="N237" t="s">
        <v>2486</v>
      </c>
      <c r="O237">
        <v>2022</v>
      </c>
      <c r="P237">
        <v>2020</v>
      </c>
      <c r="Q237" s="1">
        <v>45347</v>
      </c>
      <c r="R237" s="1">
        <v>45340</v>
      </c>
      <c r="S237" t="s">
        <v>16</v>
      </c>
    </row>
    <row r="238" spans="1:19" x14ac:dyDescent="0.25">
      <c r="A238">
        <v>237</v>
      </c>
      <c r="B238">
        <v>62678905</v>
      </c>
      <c r="C238" t="s">
        <v>601</v>
      </c>
      <c r="D238" t="s">
        <v>2638</v>
      </c>
      <c r="E238" t="s">
        <v>602</v>
      </c>
      <c r="F238" t="s">
        <v>603</v>
      </c>
      <c r="G238" t="s">
        <v>2639</v>
      </c>
      <c r="H238" t="s">
        <v>1946</v>
      </c>
      <c r="I238">
        <v>4</v>
      </c>
      <c r="J238" t="s">
        <v>2499</v>
      </c>
      <c r="K238" t="s">
        <v>112</v>
      </c>
      <c r="L238">
        <v>331</v>
      </c>
      <c r="M238" s="2">
        <v>0.49652777777777779</v>
      </c>
      <c r="N238" t="s">
        <v>2486</v>
      </c>
      <c r="O238">
        <v>2022</v>
      </c>
      <c r="P238">
        <v>2022</v>
      </c>
      <c r="Q238" s="1">
        <v>45346</v>
      </c>
      <c r="R238" s="1">
        <v>45344</v>
      </c>
      <c r="S238" t="s">
        <v>16</v>
      </c>
    </row>
    <row r="239" spans="1:19" x14ac:dyDescent="0.25">
      <c r="A239">
        <v>238</v>
      </c>
      <c r="B239">
        <v>37533587</v>
      </c>
      <c r="C239" t="s">
        <v>604</v>
      </c>
      <c r="D239" t="s">
        <v>17</v>
      </c>
      <c r="E239" t="s">
        <v>605</v>
      </c>
      <c r="F239" t="s">
        <v>606</v>
      </c>
      <c r="H239" t="s">
        <v>1947</v>
      </c>
      <c r="I239">
        <v>3</v>
      </c>
      <c r="J239" t="s">
        <v>1809</v>
      </c>
      <c r="K239" t="s">
        <v>2488</v>
      </c>
      <c r="L239">
        <v>204</v>
      </c>
      <c r="N239" t="s">
        <v>2494</v>
      </c>
      <c r="O239">
        <v>2021</v>
      </c>
      <c r="P239">
        <v>2018</v>
      </c>
      <c r="Q239" s="1">
        <v>45344</v>
      </c>
      <c r="R239" s="1">
        <v>45344</v>
      </c>
      <c r="S239" t="s">
        <v>16</v>
      </c>
    </row>
    <row r="240" spans="1:19" x14ac:dyDescent="0.25">
      <c r="A240">
        <v>239</v>
      </c>
      <c r="B240">
        <v>55845655</v>
      </c>
      <c r="C240" t="s">
        <v>607</v>
      </c>
      <c r="D240" t="s">
        <v>17</v>
      </c>
      <c r="E240" t="s">
        <v>608</v>
      </c>
      <c r="F240" t="s">
        <v>609</v>
      </c>
      <c r="G240" t="s">
        <v>2640</v>
      </c>
      <c r="H240" t="s">
        <v>1948</v>
      </c>
      <c r="I240">
        <v>2</v>
      </c>
      <c r="J240" t="s">
        <v>1939</v>
      </c>
      <c r="K240" t="s">
        <v>112</v>
      </c>
      <c r="L240">
        <v>166</v>
      </c>
      <c r="M240" s="2">
        <v>0.38680555555555557</v>
      </c>
      <c r="N240" t="s">
        <v>2486</v>
      </c>
      <c r="O240">
        <v>2021</v>
      </c>
      <c r="P240">
        <v>2020</v>
      </c>
      <c r="Q240" s="1">
        <v>45344</v>
      </c>
      <c r="R240" s="1">
        <v>45337</v>
      </c>
      <c r="S240" t="s">
        <v>16</v>
      </c>
    </row>
    <row r="241" spans="1:19" x14ac:dyDescent="0.25">
      <c r="A241">
        <v>240</v>
      </c>
      <c r="B241">
        <v>23290629</v>
      </c>
      <c r="C241" t="s">
        <v>610</v>
      </c>
      <c r="D241" t="s">
        <v>611</v>
      </c>
      <c r="E241" t="s">
        <v>612</v>
      </c>
      <c r="F241" t="s">
        <v>613</v>
      </c>
      <c r="H241" t="s">
        <v>1949</v>
      </c>
      <c r="I241">
        <v>3</v>
      </c>
      <c r="J241" t="s">
        <v>1950</v>
      </c>
      <c r="K241" t="s">
        <v>2488</v>
      </c>
      <c r="L241">
        <v>272</v>
      </c>
      <c r="N241" t="s">
        <v>2494</v>
      </c>
      <c r="O241">
        <v>2014</v>
      </c>
      <c r="P241">
        <v>2014</v>
      </c>
      <c r="Q241" s="1">
        <v>45344</v>
      </c>
      <c r="R241" s="1">
        <v>45338</v>
      </c>
      <c r="S241" t="s">
        <v>16</v>
      </c>
    </row>
    <row r="242" spans="1:19" x14ac:dyDescent="0.25">
      <c r="A242">
        <v>241</v>
      </c>
      <c r="B242">
        <v>123254125</v>
      </c>
      <c r="C242" t="s">
        <v>614</v>
      </c>
      <c r="D242" t="s">
        <v>615</v>
      </c>
      <c r="E242" t="s">
        <v>616</v>
      </c>
      <c r="F242" t="s">
        <v>617</v>
      </c>
      <c r="H242" t="s">
        <v>1951</v>
      </c>
      <c r="I242">
        <v>3</v>
      </c>
      <c r="J242" t="s">
        <v>1723</v>
      </c>
      <c r="K242" t="s">
        <v>2488</v>
      </c>
      <c r="L242">
        <v>368</v>
      </c>
      <c r="N242" t="s">
        <v>2494</v>
      </c>
      <c r="O242">
        <v>2023</v>
      </c>
      <c r="P242">
        <v>2022</v>
      </c>
      <c r="Q242" s="1">
        <v>45337</v>
      </c>
      <c r="R242" s="1">
        <v>45327</v>
      </c>
      <c r="S242" t="s">
        <v>16</v>
      </c>
    </row>
    <row r="243" spans="1:19" x14ac:dyDescent="0.25">
      <c r="A243">
        <v>242</v>
      </c>
      <c r="B243">
        <v>17935138</v>
      </c>
      <c r="C243" t="s">
        <v>618</v>
      </c>
      <c r="D243" t="s">
        <v>17</v>
      </c>
      <c r="E243" t="s">
        <v>155</v>
      </c>
      <c r="F243" t="s">
        <v>156</v>
      </c>
      <c r="G243" t="s">
        <v>2641</v>
      </c>
      <c r="H243" t="s">
        <v>1952</v>
      </c>
      <c r="I243">
        <v>4</v>
      </c>
      <c r="J243" t="s">
        <v>1687</v>
      </c>
      <c r="K243" t="s">
        <v>112</v>
      </c>
      <c r="L243">
        <v>272</v>
      </c>
      <c r="M243" s="2">
        <v>0.14652777777777778</v>
      </c>
      <c r="N243" t="s">
        <v>2486</v>
      </c>
      <c r="O243">
        <v>2025</v>
      </c>
      <c r="P243">
        <v>2013</v>
      </c>
      <c r="Q243" s="1">
        <v>45335</v>
      </c>
      <c r="R243" s="1">
        <v>45335</v>
      </c>
      <c r="S243" t="s">
        <v>16</v>
      </c>
    </row>
    <row r="244" spans="1:19" x14ac:dyDescent="0.25">
      <c r="A244">
        <v>243</v>
      </c>
      <c r="B244">
        <v>44646576</v>
      </c>
      <c r="C244" t="s">
        <v>619</v>
      </c>
      <c r="D244" t="s">
        <v>620</v>
      </c>
      <c r="E244" t="s">
        <v>621</v>
      </c>
      <c r="F244" t="s">
        <v>622</v>
      </c>
      <c r="G244" t="s">
        <v>2496</v>
      </c>
      <c r="H244" t="s">
        <v>1953</v>
      </c>
      <c r="I244">
        <v>4</v>
      </c>
      <c r="J244" t="s">
        <v>2617</v>
      </c>
      <c r="K244" t="s">
        <v>112</v>
      </c>
      <c r="L244">
        <v>272</v>
      </c>
      <c r="M244" s="2">
        <v>0.3347222222222222</v>
      </c>
      <c r="N244" t="s">
        <v>2486</v>
      </c>
      <c r="O244">
        <v>2023</v>
      </c>
      <c r="P244">
        <v>2014</v>
      </c>
      <c r="Q244" s="1">
        <v>45334</v>
      </c>
      <c r="R244" s="1">
        <v>45328</v>
      </c>
      <c r="S244" t="s">
        <v>16</v>
      </c>
    </row>
    <row r="245" spans="1:19" x14ac:dyDescent="0.25">
      <c r="A245">
        <v>244</v>
      </c>
      <c r="B245">
        <v>199133310</v>
      </c>
      <c r="C245" t="s">
        <v>623</v>
      </c>
      <c r="D245" t="s">
        <v>17</v>
      </c>
      <c r="E245" t="s">
        <v>624</v>
      </c>
      <c r="F245" t="s">
        <v>625</v>
      </c>
      <c r="H245" t="s">
        <v>1954</v>
      </c>
      <c r="I245">
        <v>5</v>
      </c>
      <c r="J245" t="s">
        <v>1668</v>
      </c>
      <c r="K245" t="s">
        <v>2488</v>
      </c>
      <c r="L245">
        <v>648</v>
      </c>
      <c r="N245" t="s">
        <v>2494</v>
      </c>
      <c r="O245">
        <v>2023</v>
      </c>
      <c r="P245">
        <v>2021</v>
      </c>
      <c r="Q245" s="1">
        <v>45333</v>
      </c>
      <c r="R245" s="1">
        <v>45322</v>
      </c>
      <c r="S245" t="s">
        <v>16</v>
      </c>
    </row>
    <row r="246" spans="1:19" x14ac:dyDescent="0.25">
      <c r="A246">
        <v>245</v>
      </c>
      <c r="B246">
        <v>62079699</v>
      </c>
      <c r="C246" t="s">
        <v>626</v>
      </c>
      <c r="D246" t="s">
        <v>17</v>
      </c>
      <c r="E246" t="s">
        <v>106</v>
      </c>
      <c r="F246" t="s">
        <v>107</v>
      </c>
      <c r="G246" t="s">
        <v>2491</v>
      </c>
      <c r="H246" t="s">
        <v>1955</v>
      </c>
      <c r="I246">
        <v>4</v>
      </c>
      <c r="J246" t="s">
        <v>2492</v>
      </c>
      <c r="K246" t="s">
        <v>112</v>
      </c>
      <c r="L246">
        <v>376</v>
      </c>
      <c r="M246" s="2">
        <v>0.41249999999999998</v>
      </c>
      <c r="N246" t="s">
        <v>2486</v>
      </c>
      <c r="O246">
        <v>2022</v>
      </c>
      <c r="P246">
        <v>2021</v>
      </c>
      <c r="Q246" s="1">
        <v>45330</v>
      </c>
      <c r="R246" s="1">
        <v>45322</v>
      </c>
      <c r="S246" t="s">
        <v>16</v>
      </c>
    </row>
    <row r="247" spans="1:19" x14ac:dyDescent="0.25">
      <c r="A247">
        <v>246</v>
      </c>
      <c r="B247">
        <v>62706864</v>
      </c>
      <c r="C247" t="s">
        <v>627</v>
      </c>
      <c r="D247" t="s">
        <v>17</v>
      </c>
      <c r="E247" t="s">
        <v>628</v>
      </c>
      <c r="F247" t="s">
        <v>629</v>
      </c>
      <c r="G247" t="s">
        <v>2564</v>
      </c>
      <c r="H247" t="s">
        <v>1956</v>
      </c>
      <c r="I247">
        <v>4</v>
      </c>
      <c r="J247" t="s">
        <v>2532</v>
      </c>
      <c r="K247" t="s">
        <v>112</v>
      </c>
      <c r="L247">
        <v>224</v>
      </c>
      <c r="M247" s="2">
        <v>0.30416666666666664</v>
      </c>
      <c r="N247" t="s">
        <v>2494</v>
      </c>
      <c r="O247">
        <v>2023</v>
      </c>
      <c r="P247">
        <v>2022</v>
      </c>
      <c r="Q247" s="1">
        <v>45325</v>
      </c>
      <c r="R247" s="1">
        <v>45320</v>
      </c>
      <c r="S247" t="s">
        <v>16</v>
      </c>
    </row>
    <row r="248" spans="1:19" x14ac:dyDescent="0.25">
      <c r="A248">
        <v>247</v>
      </c>
      <c r="B248">
        <v>18186644</v>
      </c>
      <c r="C248" t="s">
        <v>630</v>
      </c>
      <c r="D248" t="s">
        <v>631</v>
      </c>
      <c r="E248" t="s">
        <v>632</v>
      </c>
      <c r="F248" t="s">
        <v>633</v>
      </c>
      <c r="G248" t="s">
        <v>2642</v>
      </c>
      <c r="H248" t="s">
        <v>1957</v>
      </c>
      <c r="I248">
        <v>2</v>
      </c>
      <c r="J248" t="s">
        <v>2492</v>
      </c>
      <c r="K248" t="s">
        <v>112</v>
      </c>
      <c r="L248">
        <v>332</v>
      </c>
      <c r="M248" s="2">
        <v>0.68819444444444444</v>
      </c>
      <c r="N248" t="s">
        <v>2486</v>
      </c>
      <c r="O248">
        <v>2015</v>
      </c>
      <c r="P248">
        <v>2013</v>
      </c>
      <c r="Q248" s="1">
        <v>45318</v>
      </c>
      <c r="R248" s="1">
        <v>45309</v>
      </c>
      <c r="S248" t="s">
        <v>16</v>
      </c>
    </row>
    <row r="249" spans="1:19" x14ac:dyDescent="0.25">
      <c r="A249">
        <v>248</v>
      </c>
      <c r="B249">
        <v>61813107</v>
      </c>
      <c r="C249" t="s">
        <v>2643</v>
      </c>
      <c r="D249" t="s">
        <v>17</v>
      </c>
      <c r="E249" t="s">
        <v>634</v>
      </c>
      <c r="F249" t="s">
        <v>635</v>
      </c>
      <c r="H249" t="s">
        <v>1958</v>
      </c>
      <c r="I249">
        <v>4</v>
      </c>
      <c r="J249" t="s">
        <v>1962</v>
      </c>
      <c r="K249" t="s">
        <v>2488</v>
      </c>
      <c r="L249">
        <v>344</v>
      </c>
      <c r="N249" t="s">
        <v>2486</v>
      </c>
      <c r="O249">
        <v>2023</v>
      </c>
      <c r="P249">
        <v>2023</v>
      </c>
      <c r="Q249" s="1">
        <v>45310</v>
      </c>
      <c r="R249" s="1">
        <v>45272</v>
      </c>
      <c r="S249" t="s">
        <v>16</v>
      </c>
    </row>
    <row r="250" spans="1:19" x14ac:dyDescent="0.25">
      <c r="A250">
        <v>249</v>
      </c>
      <c r="B250">
        <v>36355792</v>
      </c>
      <c r="C250" t="s">
        <v>636</v>
      </c>
      <c r="D250" t="s">
        <v>637</v>
      </c>
      <c r="E250" t="s">
        <v>467</v>
      </c>
      <c r="F250" t="s">
        <v>468</v>
      </c>
      <c r="H250" t="str">
        <f>"9781926456270"</f>
        <v>9781926456270</v>
      </c>
      <c r="I250">
        <v>3</v>
      </c>
      <c r="J250" t="s">
        <v>2608</v>
      </c>
      <c r="K250" t="s">
        <v>57</v>
      </c>
      <c r="L250">
        <v>337</v>
      </c>
      <c r="N250" t="s">
        <v>2603</v>
      </c>
      <c r="O250">
        <v>2017</v>
      </c>
      <c r="P250">
        <v>2017</v>
      </c>
      <c r="Q250" s="1">
        <v>45304</v>
      </c>
      <c r="R250" s="1">
        <v>45274</v>
      </c>
      <c r="S250" t="s">
        <v>16</v>
      </c>
    </row>
    <row r="251" spans="1:19" x14ac:dyDescent="0.25">
      <c r="A251">
        <v>250</v>
      </c>
      <c r="B251">
        <v>17886604</v>
      </c>
      <c r="C251" t="s">
        <v>638</v>
      </c>
      <c r="D251" t="s">
        <v>639</v>
      </c>
      <c r="E251" t="s">
        <v>632</v>
      </c>
      <c r="F251" t="s">
        <v>633</v>
      </c>
      <c r="G251" t="s">
        <v>2644</v>
      </c>
      <c r="H251" t="s">
        <v>1960</v>
      </c>
      <c r="I251">
        <v>3</v>
      </c>
      <c r="J251" t="s">
        <v>2492</v>
      </c>
      <c r="K251" t="s">
        <v>112</v>
      </c>
      <c r="L251">
        <v>324</v>
      </c>
      <c r="M251" s="2">
        <v>0.53749999999999998</v>
      </c>
      <c r="N251" t="s">
        <v>2486</v>
      </c>
      <c r="O251">
        <v>2014</v>
      </c>
      <c r="P251">
        <v>2013</v>
      </c>
      <c r="Q251" s="1">
        <v>45304</v>
      </c>
      <c r="R251" s="1">
        <v>45301</v>
      </c>
      <c r="S251" t="s">
        <v>16</v>
      </c>
    </row>
    <row r="252" spans="1:19" x14ac:dyDescent="0.25">
      <c r="A252">
        <v>251</v>
      </c>
      <c r="B252">
        <v>199814368</v>
      </c>
      <c r="C252" t="s">
        <v>640</v>
      </c>
      <c r="D252" t="s">
        <v>641</v>
      </c>
      <c r="E252" t="s">
        <v>642</v>
      </c>
      <c r="F252" t="s">
        <v>643</v>
      </c>
      <c r="G252" t="s">
        <v>2645</v>
      </c>
      <c r="H252" t="s">
        <v>1961</v>
      </c>
      <c r="I252">
        <v>4</v>
      </c>
      <c r="J252" t="s">
        <v>2617</v>
      </c>
      <c r="K252" t="s">
        <v>112</v>
      </c>
      <c r="L252">
        <v>264</v>
      </c>
      <c r="M252" s="2">
        <v>0.35833333333333334</v>
      </c>
      <c r="N252" t="s">
        <v>2486</v>
      </c>
      <c r="O252">
        <v>2023</v>
      </c>
      <c r="P252">
        <v>2021</v>
      </c>
      <c r="Q252" s="1">
        <v>45298</v>
      </c>
      <c r="R252" s="1">
        <v>45298</v>
      </c>
      <c r="S252" t="s">
        <v>16</v>
      </c>
    </row>
    <row r="253" spans="1:19" x14ac:dyDescent="0.25">
      <c r="A253">
        <v>252</v>
      </c>
      <c r="B253">
        <v>55882657</v>
      </c>
      <c r="C253" t="s">
        <v>644</v>
      </c>
      <c r="D253" t="s">
        <v>17</v>
      </c>
      <c r="E253" t="s">
        <v>645</v>
      </c>
      <c r="F253" t="s">
        <v>646</v>
      </c>
      <c r="G253" t="s">
        <v>2646</v>
      </c>
      <c r="H253" t="s">
        <v>1692</v>
      </c>
      <c r="I253">
        <v>3</v>
      </c>
      <c r="J253" t="s">
        <v>2532</v>
      </c>
      <c r="K253" t="s">
        <v>112</v>
      </c>
      <c r="L253">
        <v>252</v>
      </c>
      <c r="M253" s="2">
        <v>0.34375</v>
      </c>
      <c r="N253" t="s">
        <v>2494</v>
      </c>
      <c r="O253">
        <v>2023</v>
      </c>
      <c r="P253">
        <v>2020</v>
      </c>
      <c r="Q253" s="1">
        <v>45291</v>
      </c>
      <c r="R253" s="1">
        <v>45290</v>
      </c>
      <c r="S253" t="s">
        <v>16</v>
      </c>
    </row>
    <row r="254" spans="1:19" x14ac:dyDescent="0.25">
      <c r="A254">
        <v>253</v>
      </c>
      <c r="B254">
        <v>50255267</v>
      </c>
      <c r="C254" t="s">
        <v>647</v>
      </c>
      <c r="D254" t="s">
        <v>17</v>
      </c>
      <c r="E254" t="s">
        <v>648</v>
      </c>
      <c r="F254" t="s">
        <v>649</v>
      </c>
      <c r="H254" t="s">
        <v>1963</v>
      </c>
      <c r="I254">
        <v>4</v>
      </c>
      <c r="J254" t="s">
        <v>1964</v>
      </c>
      <c r="K254" t="s">
        <v>2488</v>
      </c>
      <c r="L254">
        <v>144</v>
      </c>
      <c r="N254" t="s">
        <v>2494</v>
      </c>
      <c r="O254">
        <v>2018</v>
      </c>
      <c r="P254">
        <v>2018</v>
      </c>
      <c r="Q254" s="1">
        <v>45286</v>
      </c>
      <c r="R254" s="1">
        <v>45286</v>
      </c>
      <c r="S254" t="s">
        <v>16</v>
      </c>
    </row>
    <row r="255" spans="1:19" x14ac:dyDescent="0.25">
      <c r="A255">
        <v>254</v>
      </c>
      <c r="B255">
        <v>45913099</v>
      </c>
      <c r="C255" t="s">
        <v>650</v>
      </c>
      <c r="D255" t="s">
        <v>17</v>
      </c>
      <c r="E255" t="s">
        <v>651</v>
      </c>
      <c r="F255" t="s">
        <v>652</v>
      </c>
      <c r="H255" t="s">
        <v>1965</v>
      </c>
      <c r="I255">
        <v>3</v>
      </c>
      <c r="J255" t="s">
        <v>1668</v>
      </c>
      <c r="K255" t="s">
        <v>2488</v>
      </c>
      <c r="L255">
        <v>280</v>
      </c>
      <c r="N255" t="s">
        <v>2494</v>
      </c>
      <c r="O255">
        <v>2018</v>
      </c>
      <c r="P255">
        <v>2015</v>
      </c>
      <c r="Q255" s="1">
        <v>45286</v>
      </c>
      <c r="R255" s="1">
        <v>45283</v>
      </c>
      <c r="S255" t="s">
        <v>16</v>
      </c>
    </row>
    <row r="256" spans="1:19" x14ac:dyDescent="0.25">
      <c r="A256">
        <v>255</v>
      </c>
      <c r="B256">
        <v>48816301</v>
      </c>
      <c r="C256" t="s">
        <v>653</v>
      </c>
      <c r="D256" t="s">
        <v>17</v>
      </c>
      <c r="E256" t="s">
        <v>654</v>
      </c>
      <c r="F256" t="s">
        <v>655</v>
      </c>
      <c r="G256" t="s">
        <v>2647</v>
      </c>
      <c r="H256" t="s">
        <v>1966</v>
      </c>
      <c r="I256">
        <v>4</v>
      </c>
      <c r="J256" t="s">
        <v>2637</v>
      </c>
      <c r="K256" t="s">
        <v>112</v>
      </c>
      <c r="L256">
        <v>480</v>
      </c>
      <c r="M256" s="2">
        <v>0.49652777777777779</v>
      </c>
      <c r="N256" t="s">
        <v>2486</v>
      </c>
      <c r="O256">
        <v>2021</v>
      </c>
      <c r="P256">
        <v>2018</v>
      </c>
      <c r="Q256" s="1">
        <v>45283</v>
      </c>
      <c r="R256" s="1">
        <v>45280</v>
      </c>
      <c r="S256" t="s">
        <v>16</v>
      </c>
    </row>
    <row r="257" spans="1:19" x14ac:dyDescent="0.25">
      <c r="A257">
        <v>256</v>
      </c>
      <c r="B257">
        <v>45913081</v>
      </c>
      <c r="C257" t="s">
        <v>656</v>
      </c>
      <c r="D257" t="s">
        <v>17</v>
      </c>
      <c r="E257" t="s">
        <v>651</v>
      </c>
      <c r="F257" t="s">
        <v>652</v>
      </c>
      <c r="H257" t="s">
        <v>1967</v>
      </c>
      <c r="I257">
        <v>3</v>
      </c>
      <c r="J257" t="s">
        <v>1668</v>
      </c>
      <c r="K257" t="s">
        <v>2488</v>
      </c>
      <c r="L257">
        <v>272</v>
      </c>
      <c r="N257" t="s">
        <v>2494</v>
      </c>
      <c r="O257">
        <v>2018</v>
      </c>
      <c r="P257">
        <v>2017</v>
      </c>
      <c r="Q257" s="1">
        <v>45280</v>
      </c>
      <c r="R257" s="1">
        <v>45276</v>
      </c>
      <c r="S257" t="s">
        <v>16</v>
      </c>
    </row>
    <row r="258" spans="1:19" x14ac:dyDescent="0.25">
      <c r="A258">
        <v>257</v>
      </c>
      <c r="B258">
        <v>58140664</v>
      </c>
      <c r="C258" t="s">
        <v>657</v>
      </c>
      <c r="D258" t="s">
        <v>17</v>
      </c>
      <c r="E258" t="s">
        <v>658</v>
      </c>
      <c r="F258" t="s">
        <v>659</v>
      </c>
      <c r="H258" t="s">
        <v>1968</v>
      </c>
      <c r="I258">
        <v>3</v>
      </c>
      <c r="J258" t="s">
        <v>1723</v>
      </c>
      <c r="K258" t="s">
        <v>2488</v>
      </c>
      <c r="L258">
        <v>256</v>
      </c>
      <c r="N258" t="s">
        <v>2494</v>
      </c>
      <c r="O258">
        <v>2021</v>
      </c>
      <c r="P258">
        <v>2020</v>
      </c>
      <c r="Q258" s="1">
        <v>45274</v>
      </c>
      <c r="R258" s="1">
        <v>45269</v>
      </c>
      <c r="S258" t="s">
        <v>16</v>
      </c>
    </row>
    <row r="259" spans="1:19" x14ac:dyDescent="0.25">
      <c r="A259">
        <v>258</v>
      </c>
      <c r="B259">
        <v>45989722</v>
      </c>
      <c r="C259" t="s">
        <v>660</v>
      </c>
      <c r="D259" t="s">
        <v>661</v>
      </c>
      <c r="E259" t="s">
        <v>662</v>
      </c>
      <c r="F259" t="s">
        <v>663</v>
      </c>
      <c r="H259" t="str">
        <f>"9788027508167"</f>
        <v>9788027508167</v>
      </c>
      <c r="I259">
        <v>5</v>
      </c>
      <c r="J259" t="s">
        <v>1811</v>
      </c>
      <c r="K259" t="s">
        <v>57</v>
      </c>
      <c r="L259">
        <v>501</v>
      </c>
      <c r="N259" t="s">
        <v>2486</v>
      </c>
      <c r="O259">
        <v>2022</v>
      </c>
      <c r="P259">
        <v>2021</v>
      </c>
      <c r="Q259" s="1">
        <v>45271</v>
      </c>
      <c r="R259" s="1">
        <v>45267</v>
      </c>
      <c r="S259" t="s">
        <v>16</v>
      </c>
    </row>
    <row r="260" spans="1:19" x14ac:dyDescent="0.25">
      <c r="A260">
        <v>259</v>
      </c>
      <c r="B260">
        <v>35170506</v>
      </c>
      <c r="C260" t="s">
        <v>664</v>
      </c>
      <c r="D260" t="s">
        <v>665</v>
      </c>
      <c r="E260" t="s">
        <v>662</v>
      </c>
      <c r="F260" t="s">
        <v>663</v>
      </c>
      <c r="H260" t="s">
        <v>1969</v>
      </c>
      <c r="I260">
        <v>5</v>
      </c>
      <c r="J260" t="s">
        <v>1811</v>
      </c>
      <c r="K260" t="s">
        <v>57</v>
      </c>
      <c r="L260">
        <v>440</v>
      </c>
      <c r="N260" t="s">
        <v>2486</v>
      </c>
      <c r="O260">
        <v>2017</v>
      </c>
      <c r="P260">
        <v>2017</v>
      </c>
      <c r="Q260" s="1">
        <v>45264</v>
      </c>
      <c r="R260" s="1">
        <v>45260</v>
      </c>
      <c r="S260" t="s">
        <v>16</v>
      </c>
    </row>
    <row r="261" spans="1:19" x14ac:dyDescent="0.25">
      <c r="A261">
        <v>260</v>
      </c>
      <c r="B261">
        <v>54450063</v>
      </c>
      <c r="C261" t="s">
        <v>666</v>
      </c>
      <c r="D261" t="s">
        <v>667</v>
      </c>
      <c r="E261" t="s">
        <v>668</v>
      </c>
      <c r="F261" t="s">
        <v>669</v>
      </c>
      <c r="G261" t="s">
        <v>2648</v>
      </c>
      <c r="H261" t="str">
        <f>"9788025348147"</f>
        <v>9788025348147</v>
      </c>
      <c r="I261">
        <v>3</v>
      </c>
      <c r="J261" t="s">
        <v>2545</v>
      </c>
      <c r="K261" t="s">
        <v>112</v>
      </c>
      <c r="L261">
        <v>504</v>
      </c>
      <c r="M261" s="2">
        <v>0.76249999999999996</v>
      </c>
      <c r="N261" t="s">
        <v>2486</v>
      </c>
      <c r="O261">
        <v>2021</v>
      </c>
      <c r="P261">
        <v>2020</v>
      </c>
      <c r="Q261" s="1">
        <v>45264</v>
      </c>
      <c r="R261" s="1">
        <v>45257</v>
      </c>
      <c r="S261" t="s">
        <v>16</v>
      </c>
    </row>
    <row r="262" spans="1:19" x14ac:dyDescent="0.25">
      <c r="A262">
        <v>261</v>
      </c>
      <c r="B262">
        <v>29737249</v>
      </c>
      <c r="C262" t="s">
        <v>670</v>
      </c>
      <c r="D262" t="s">
        <v>671</v>
      </c>
      <c r="E262" t="s">
        <v>662</v>
      </c>
      <c r="F262" t="s">
        <v>663</v>
      </c>
      <c r="H262" t="s">
        <v>1970</v>
      </c>
      <c r="I262">
        <v>5</v>
      </c>
      <c r="J262" t="s">
        <v>1811</v>
      </c>
      <c r="K262" t="s">
        <v>57</v>
      </c>
      <c r="L262">
        <v>374</v>
      </c>
      <c r="N262" t="s">
        <v>2486</v>
      </c>
      <c r="O262">
        <v>2016</v>
      </c>
      <c r="P262">
        <v>2016</v>
      </c>
      <c r="Q262" s="1">
        <v>45257</v>
      </c>
      <c r="R262" s="1">
        <v>45186</v>
      </c>
      <c r="S262" t="s">
        <v>16</v>
      </c>
    </row>
    <row r="263" spans="1:19" x14ac:dyDescent="0.25">
      <c r="A263">
        <v>262</v>
      </c>
      <c r="B263">
        <v>38369252</v>
      </c>
      <c r="C263" t="s">
        <v>672</v>
      </c>
      <c r="D263" t="s">
        <v>673</v>
      </c>
      <c r="E263" t="s">
        <v>536</v>
      </c>
      <c r="F263" t="s">
        <v>537</v>
      </c>
      <c r="G263" t="s">
        <v>2496</v>
      </c>
      <c r="H263" t="s">
        <v>1971</v>
      </c>
      <c r="I263">
        <v>4</v>
      </c>
      <c r="J263" t="s">
        <v>2499</v>
      </c>
      <c r="K263" t="s">
        <v>112</v>
      </c>
      <c r="L263">
        <v>320</v>
      </c>
      <c r="M263" s="2">
        <v>0.45902777777777776</v>
      </c>
      <c r="N263" t="s">
        <v>2486</v>
      </c>
      <c r="O263">
        <v>2022</v>
      </c>
      <c r="P263">
        <v>2016</v>
      </c>
      <c r="Q263" s="1">
        <v>45255</v>
      </c>
      <c r="R263" s="1">
        <v>44930</v>
      </c>
      <c r="S263" t="s">
        <v>16</v>
      </c>
    </row>
    <row r="264" spans="1:19" x14ac:dyDescent="0.25">
      <c r="A264">
        <v>263</v>
      </c>
      <c r="B264">
        <v>58302426</v>
      </c>
      <c r="C264" t="s">
        <v>674</v>
      </c>
      <c r="D264" t="s">
        <v>17</v>
      </c>
      <c r="E264" t="s">
        <v>675</v>
      </c>
      <c r="F264" t="s">
        <v>676</v>
      </c>
      <c r="H264" t="s">
        <v>1972</v>
      </c>
      <c r="I264">
        <v>1</v>
      </c>
      <c r="J264" t="s">
        <v>1668</v>
      </c>
      <c r="K264" t="s">
        <v>2488</v>
      </c>
      <c r="L264">
        <v>256</v>
      </c>
      <c r="N264" t="s">
        <v>2494</v>
      </c>
      <c r="O264">
        <v>2021</v>
      </c>
      <c r="P264">
        <v>2017</v>
      </c>
      <c r="Q264" s="1">
        <v>45254</v>
      </c>
      <c r="R264" s="1">
        <v>45250</v>
      </c>
      <c r="S264" t="s">
        <v>16</v>
      </c>
    </row>
    <row r="265" spans="1:19" x14ac:dyDescent="0.25">
      <c r="A265">
        <v>264</v>
      </c>
      <c r="B265">
        <v>134744448</v>
      </c>
      <c r="C265" t="s">
        <v>677</v>
      </c>
      <c r="D265" t="s">
        <v>17</v>
      </c>
      <c r="E265" t="s">
        <v>678</v>
      </c>
      <c r="F265" t="s">
        <v>679</v>
      </c>
      <c r="H265" t="s">
        <v>1973</v>
      </c>
      <c r="I265">
        <v>5</v>
      </c>
      <c r="J265" t="s">
        <v>1974</v>
      </c>
      <c r="K265" t="s">
        <v>2488</v>
      </c>
      <c r="L265">
        <v>366</v>
      </c>
      <c r="N265" t="s">
        <v>2494</v>
      </c>
      <c r="O265">
        <v>2023</v>
      </c>
      <c r="P265">
        <v>2022</v>
      </c>
      <c r="Q265" s="1">
        <v>45249</v>
      </c>
      <c r="R265" s="1">
        <v>45248</v>
      </c>
      <c r="S265" t="s">
        <v>16</v>
      </c>
    </row>
    <row r="266" spans="1:19" x14ac:dyDescent="0.25">
      <c r="A266">
        <v>265</v>
      </c>
      <c r="B266">
        <v>63038379</v>
      </c>
      <c r="C266" t="s">
        <v>680</v>
      </c>
      <c r="D266" t="s">
        <v>2649</v>
      </c>
      <c r="E266" t="s">
        <v>681</v>
      </c>
      <c r="F266" t="s">
        <v>682</v>
      </c>
      <c r="G266" t="s">
        <v>2650</v>
      </c>
      <c r="H266" t="s">
        <v>1975</v>
      </c>
      <c r="I266">
        <v>3</v>
      </c>
      <c r="J266" t="s">
        <v>2532</v>
      </c>
      <c r="K266" t="s">
        <v>112</v>
      </c>
      <c r="L266">
        <v>328</v>
      </c>
      <c r="M266" s="2">
        <v>0.42222222222222222</v>
      </c>
      <c r="N266" t="s">
        <v>2494</v>
      </c>
      <c r="O266">
        <v>2023</v>
      </c>
      <c r="P266">
        <v>2020</v>
      </c>
      <c r="Q266" s="1">
        <v>45244</v>
      </c>
      <c r="R266" s="1">
        <v>45240</v>
      </c>
      <c r="S266" t="s">
        <v>16</v>
      </c>
    </row>
    <row r="267" spans="1:19" x14ac:dyDescent="0.25">
      <c r="A267">
        <v>266</v>
      </c>
      <c r="B267">
        <v>52960533</v>
      </c>
      <c r="C267" t="s">
        <v>683</v>
      </c>
      <c r="D267" t="s">
        <v>17</v>
      </c>
      <c r="E267" t="s">
        <v>684</v>
      </c>
      <c r="F267" t="s">
        <v>685</v>
      </c>
      <c r="H267" t="s">
        <v>1976</v>
      </c>
      <c r="I267">
        <v>4</v>
      </c>
      <c r="J267" t="s">
        <v>1673</v>
      </c>
      <c r="K267" t="s">
        <v>2488</v>
      </c>
      <c r="L267">
        <v>400</v>
      </c>
      <c r="N267" t="s">
        <v>2494</v>
      </c>
      <c r="O267">
        <v>2019</v>
      </c>
      <c r="P267">
        <v>2017</v>
      </c>
      <c r="Q267" s="1">
        <v>45244</v>
      </c>
      <c r="R267" s="1">
        <v>45235</v>
      </c>
      <c r="S267" t="s">
        <v>16</v>
      </c>
    </row>
    <row r="268" spans="1:19" x14ac:dyDescent="0.25">
      <c r="A268">
        <v>267</v>
      </c>
      <c r="B268">
        <v>60464188</v>
      </c>
      <c r="C268" t="s">
        <v>686</v>
      </c>
      <c r="D268" t="s">
        <v>2651</v>
      </c>
      <c r="E268" t="s">
        <v>681</v>
      </c>
      <c r="F268" t="s">
        <v>682</v>
      </c>
      <c r="G268" t="s">
        <v>2650</v>
      </c>
      <c r="H268" t="s">
        <v>1977</v>
      </c>
      <c r="I268">
        <v>4</v>
      </c>
      <c r="J268" t="s">
        <v>2532</v>
      </c>
      <c r="K268" t="s">
        <v>112</v>
      </c>
      <c r="L268">
        <v>304</v>
      </c>
      <c r="M268" s="2">
        <v>0.38124999999999998</v>
      </c>
      <c r="N268" t="s">
        <v>2494</v>
      </c>
      <c r="O268">
        <v>2022</v>
      </c>
      <c r="P268">
        <v>2019</v>
      </c>
      <c r="Q268" s="1">
        <v>45237</v>
      </c>
      <c r="R268" s="1">
        <v>45234</v>
      </c>
      <c r="S268" t="s">
        <v>16</v>
      </c>
    </row>
    <row r="269" spans="1:19" x14ac:dyDescent="0.25">
      <c r="A269">
        <v>268</v>
      </c>
      <c r="B269">
        <v>75634325</v>
      </c>
      <c r="C269" t="s">
        <v>687</v>
      </c>
      <c r="D269" t="s">
        <v>17</v>
      </c>
      <c r="E269" t="s">
        <v>18</v>
      </c>
      <c r="F269" t="s">
        <v>19</v>
      </c>
      <c r="H269" t="s">
        <v>1978</v>
      </c>
      <c r="I269">
        <v>4</v>
      </c>
      <c r="J269" t="s">
        <v>1979</v>
      </c>
      <c r="K269" t="s">
        <v>2488</v>
      </c>
      <c r="L269">
        <v>230</v>
      </c>
      <c r="N269" t="s">
        <v>2494</v>
      </c>
      <c r="O269">
        <v>2022</v>
      </c>
      <c r="P269">
        <v>2022</v>
      </c>
      <c r="Q269" s="1">
        <v>45234</v>
      </c>
      <c r="R269" s="1">
        <v>45215</v>
      </c>
      <c r="S269" t="s">
        <v>16</v>
      </c>
    </row>
    <row r="270" spans="1:19" x14ac:dyDescent="0.25">
      <c r="A270">
        <v>269</v>
      </c>
      <c r="B270">
        <v>235869</v>
      </c>
      <c r="C270" t="s">
        <v>2652</v>
      </c>
      <c r="D270" t="s">
        <v>17</v>
      </c>
      <c r="E270" t="s">
        <v>688</v>
      </c>
      <c r="F270" t="s">
        <v>689</v>
      </c>
      <c r="H270" t="s">
        <v>1980</v>
      </c>
      <c r="I270">
        <v>4</v>
      </c>
      <c r="J270" t="s">
        <v>1780</v>
      </c>
      <c r="K270" t="s">
        <v>2488</v>
      </c>
      <c r="L270">
        <v>284</v>
      </c>
      <c r="N270" t="s">
        <v>2494</v>
      </c>
      <c r="O270">
        <v>2022</v>
      </c>
      <c r="P270">
        <v>1995</v>
      </c>
      <c r="Q270" s="1">
        <v>45233</v>
      </c>
      <c r="R270" s="1">
        <v>45179</v>
      </c>
      <c r="S270" t="s">
        <v>16</v>
      </c>
    </row>
    <row r="271" spans="1:19" x14ac:dyDescent="0.25">
      <c r="A271">
        <v>270</v>
      </c>
      <c r="B271">
        <v>7878203</v>
      </c>
      <c r="C271" t="s">
        <v>690</v>
      </c>
      <c r="D271" t="s">
        <v>17</v>
      </c>
      <c r="E271" t="s">
        <v>691</v>
      </c>
      <c r="F271" t="s">
        <v>692</v>
      </c>
      <c r="H271" t="s">
        <v>1981</v>
      </c>
      <c r="I271">
        <v>2</v>
      </c>
      <c r="J271" t="s">
        <v>1982</v>
      </c>
      <c r="K271" t="s">
        <v>57</v>
      </c>
      <c r="L271">
        <v>399</v>
      </c>
      <c r="N271" t="s">
        <v>2486</v>
      </c>
      <c r="O271">
        <v>2003</v>
      </c>
      <c r="P271">
        <v>2003</v>
      </c>
      <c r="Q271" s="1">
        <v>45232</v>
      </c>
      <c r="R271" s="1">
        <v>45214</v>
      </c>
      <c r="S271" t="s">
        <v>16</v>
      </c>
    </row>
    <row r="272" spans="1:19" x14ac:dyDescent="0.25">
      <c r="A272">
        <v>271</v>
      </c>
      <c r="B272">
        <v>60849800</v>
      </c>
      <c r="C272" t="s">
        <v>693</v>
      </c>
      <c r="D272" t="s">
        <v>694</v>
      </c>
      <c r="E272" t="s">
        <v>197</v>
      </c>
      <c r="F272" t="s">
        <v>198</v>
      </c>
      <c r="G272" t="s">
        <v>2653</v>
      </c>
      <c r="H272" t="s">
        <v>1983</v>
      </c>
      <c r="I272">
        <v>3</v>
      </c>
      <c r="J272" t="s">
        <v>2532</v>
      </c>
      <c r="K272" t="s">
        <v>112</v>
      </c>
      <c r="L272">
        <v>392</v>
      </c>
      <c r="M272" s="2">
        <v>0.55000000000000004</v>
      </c>
      <c r="N272" t="s">
        <v>2494</v>
      </c>
      <c r="O272">
        <v>2022</v>
      </c>
      <c r="P272">
        <v>2021</v>
      </c>
      <c r="Q272" s="1">
        <v>45231</v>
      </c>
      <c r="R272" s="1">
        <v>45226</v>
      </c>
      <c r="S272" t="s">
        <v>16</v>
      </c>
    </row>
    <row r="273" spans="1:19" x14ac:dyDescent="0.25">
      <c r="A273">
        <v>272</v>
      </c>
      <c r="B273">
        <v>63204852</v>
      </c>
      <c r="C273" t="s">
        <v>695</v>
      </c>
      <c r="D273" t="s">
        <v>17</v>
      </c>
      <c r="E273" t="s">
        <v>568</v>
      </c>
      <c r="F273" t="s">
        <v>569</v>
      </c>
      <c r="H273" t="s">
        <v>1984</v>
      </c>
      <c r="I273">
        <v>5</v>
      </c>
      <c r="J273" t="s">
        <v>1930</v>
      </c>
      <c r="K273" t="s">
        <v>2488</v>
      </c>
      <c r="L273">
        <v>224</v>
      </c>
      <c r="N273" t="s">
        <v>2494</v>
      </c>
      <c r="O273">
        <v>2022</v>
      </c>
      <c r="P273">
        <v>2022</v>
      </c>
      <c r="Q273" s="1">
        <v>45231</v>
      </c>
      <c r="R273" s="1">
        <v>45228</v>
      </c>
      <c r="S273" t="s">
        <v>16</v>
      </c>
    </row>
    <row r="274" spans="1:19" x14ac:dyDescent="0.25">
      <c r="A274">
        <v>273</v>
      </c>
      <c r="B274">
        <v>60671570</v>
      </c>
      <c r="C274" t="s">
        <v>696</v>
      </c>
      <c r="D274" t="s">
        <v>17</v>
      </c>
      <c r="E274" t="s">
        <v>573</v>
      </c>
      <c r="F274" t="s">
        <v>574</v>
      </c>
      <c r="H274" t="s">
        <v>1985</v>
      </c>
      <c r="I274">
        <v>5</v>
      </c>
      <c r="J274" t="s">
        <v>1829</v>
      </c>
      <c r="K274" t="s">
        <v>2488</v>
      </c>
      <c r="L274">
        <v>424</v>
      </c>
      <c r="N274" t="s">
        <v>2494</v>
      </c>
      <c r="O274">
        <v>2022</v>
      </c>
      <c r="P274">
        <v>2020</v>
      </c>
      <c r="Q274" s="1">
        <v>45226</v>
      </c>
      <c r="R274" s="1">
        <v>45213</v>
      </c>
      <c r="S274" t="s">
        <v>16</v>
      </c>
    </row>
    <row r="275" spans="1:19" x14ac:dyDescent="0.25">
      <c r="A275">
        <v>274</v>
      </c>
      <c r="B275">
        <v>58187216</v>
      </c>
      <c r="C275" t="s">
        <v>697</v>
      </c>
      <c r="D275" t="s">
        <v>698</v>
      </c>
      <c r="E275" t="s">
        <v>197</v>
      </c>
      <c r="F275" t="s">
        <v>198</v>
      </c>
      <c r="G275" t="s">
        <v>2654</v>
      </c>
      <c r="H275" t="s">
        <v>1986</v>
      </c>
      <c r="I275">
        <v>3</v>
      </c>
      <c r="J275" t="s">
        <v>2532</v>
      </c>
      <c r="K275" t="s">
        <v>112</v>
      </c>
      <c r="L275">
        <v>392</v>
      </c>
      <c r="M275" s="2">
        <v>0.47986111111111113</v>
      </c>
      <c r="N275" t="s">
        <v>2494</v>
      </c>
      <c r="O275">
        <v>2021</v>
      </c>
      <c r="P275">
        <v>2020</v>
      </c>
      <c r="Q275" s="1">
        <v>45220</v>
      </c>
      <c r="R275" s="1">
        <v>45214</v>
      </c>
      <c r="S275" t="s">
        <v>16</v>
      </c>
    </row>
    <row r="276" spans="1:19" x14ac:dyDescent="0.25">
      <c r="A276">
        <v>275</v>
      </c>
      <c r="B276">
        <v>48611215</v>
      </c>
      <c r="C276" t="s">
        <v>699</v>
      </c>
      <c r="D276" t="s">
        <v>17</v>
      </c>
      <c r="E276" t="s">
        <v>700</v>
      </c>
      <c r="F276" t="s">
        <v>701</v>
      </c>
      <c r="H276" t="s">
        <v>1987</v>
      </c>
      <c r="I276">
        <v>3</v>
      </c>
      <c r="J276" t="s">
        <v>1730</v>
      </c>
      <c r="K276" t="s">
        <v>57</v>
      </c>
      <c r="L276">
        <v>280</v>
      </c>
      <c r="N276" t="s">
        <v>2486</v>
      </c>
      <c r="O276">
        <v>2019</v>
      </c>
      <c r="P276">
        <v>2014</v>
      </c>
      <c r="Q276" s="1">
        <v>45213</v>
      </c>
      <c r="R276" s="1">
        <v>45209</v>
      </c>
      <c r="S276" t="s">
        <v>16</v>
      </c>
    </row>
    <row r="277" spans="1:19" x14ac:dyDescent="0.25">
      <c r="A277">
        <v>276</v>
      </c>
      <c r="B277">
        <v>63375691</v>
      </c>
      <c r="C277" t="s">
        <v>702</v>
      </c>
      <c r="D277" t="s">
        <v>703</v>
      </c>
      <c r="E277" t="s">
        <v>359</v>
      </c>
      <c r="F277" t="s">
        <v>360</v>
      </c>
      <c r="G277" t="s">
        <v>2655</v>
      </c>
      <c r="H277" t="s">
        <v>1988</v>
      </c>
      <c r="I277">
        <v>4</v>
      </c>
      <c r="J277" t="s">
        <v>2532</v>
      </c>
      <c r="K277" t="s">
        <v>112</v>
      </c>
      <c r="L277">
        <v>520</v>
      </c>
      <c r="M277" s="2">
        <v>0.73333333333333328</v>
      </c>
      <c r="N277" t="s">
        <v>2494</v>
      </c>
      <c r="O277">
        <v>2023</v>
      </c>
      <c r="P277">
        <v>2022</v>
      </c>
      <c r="Q277" s="1">
        <v>45213</v>
      </c>
      <c r="R277" s="1">
        <v>45206</v>
      </c>
      <c r="S277" t="s">
        <v>16</v>
      </c>
    </row>
    <row r="278" spans="1:19" x14ac:dyDescent="0.25">
      <c r="A278">
        <v>277</v>
      </c>
      <c r="B278">
        <v>56486546</v>
      </c>
      <c r="C278" t="s">
        <v>704</v>
      </c>
      <c r="D278" t="s">
        <v>17</v>
      </c>
      <c r="E278" t="s">
        <v>705</v>
      </c>
      <c r="F278" t="s">
        <v>706</v>
      </c>
      <c r="H278" t="s">
        <v>1989</v>
      </c>
      <c r="I278">
        <v>3</v>
      </c>
      <c r="J278" t="s">
        <v>1990</v>
      </c>
      <c r="K278" t="s">
        <v>2488</v>
      </c>
      <c r="L278">
        <v>424</v>
      </c>
      <c r="N278" t="s">
        <v>2494</v>
      </c>
      <c r="O278">
        <v>2020</v>
      </c>
      <c r="P278">
        <v>2018</v>
      </c>
      <c r="Q278" s="1">
        <v>45210</v>
      </c>
      <c r="R278" s="1">
        <v>45197</v>
      </c>
      <c r="S278" t="s">
        <v>16</v>
      </c>
    </row>
    <row r="279" spans="1:19" x14ac:dyDescent="0.25">
      <c r="A279">
        <v>278</v>
      </c>
      <c r="B279">
        <v>78983</v>
      </c>
      <c r="C279" t="s">
        <v>707</v>
      </c>
      <c r="D279" t="s">
        <v>708</v>
      </c>
      <c r="E279" t="s">
        <v>90</v>
      </c>
      <c r="F279" t="s">
        <v>91</v>
      </c>
      <c r="G279" t="s">
        <v>2656</v>
      </c>
      <c r="H279" t="s">
        <v>1991</v>
      </c>
      <c r="I279">
        <v>5</v>
      </c>
      <c r="J279" t="s">
        <v>2657</v>
      </c>
      <c r="K279" t="s">
        <v>112</v>
      </c>
      <c r="L279">
        <v>592</v>
      </c>
      <c r="M279" s="2">
        <v>0.8618055555555556</v>
      </c>
      <c r="N279" t="s">
        <v>2486</v>
      </c>
      <c r="O279">
        <v>2021</v>
      </c>
      <c r="P279">
        <v>1979</v>
      </c>
      <c r="Q279" s="1">
        <v>45197</v>
      </c>
      <c r="R279" s="1">
        <v>45192</v>
      </c>
      <c r="S279" t="s">
        <v>16</v>
      </c>
    </row>
    <row r="280" spans="1:19" x14ac:dyDescent="0.25">
      <c r="A280">
        <v>279</v>
      </c>
      <c r="B280">
        <v>56916132</v>
      </c>
      <c r="C280" t="s">
        <v>709</v>
      </c>
      <c r="D280" t="s">
        <v>17</v>
      </c>
      <c r="E280" t="s">
        <v>710</v>
      </c>
      <c r="F280" t="s">
        <v>711</v>
      </c>
      <c r="H280" t="s">
        <v>1992</v>
      </c>
      <c r="I280">
        <v>4</v>
      </c>
      <c r="J280" t="s">
        <v>1811</v>
      </c>
      <c r="K280" t="s">
        <v>57</v>
      </c>
      <c r="L280">
        <v>381</v>
      </c>
      <c r="N280" t="s">
        <v>2486</v>
      </c>
      <c r="O280">
        <v>2021</v>
      </c>
      <c r="P280">
        <v>2019</v>
      </c>
      <c r="Q280" s="1">
        <v>45185</v>
      </c>
      <c r="R280" s="1">
        <v>45179</v>
      </c>
      <c r="S280" t="s">
        <v>16</v>
      </c>
    </row>
    <row r="281" spans="1:19" x14ac:dyDescent="0.25">
      <c r="A281">
        <v>280</v>
      </c>
      <c r="B281">
        <v>12311577</v>
      </c>
      <c r="C281" t="s">
        <v>712</v>
      </c>
      <c r="D281" t="s">
        <v>17</v>
      </c>
      <c r="E281" t="s">
        <v>713</v>
      </c>
      <c r="F281" t="s">
        <v>714</v>
      </c>
      <c r="G281" t="s">
        <v>2618</v>
      </c>
      <c r="H281" t="str">
        <f>"9788055627977"</f>
        <v>9788055627977</v>
      </c>
      <c r="I281">
        <v>1</v>
      </c>
      <c r="J281" t="s">
        <v>2532</v>
      </c>
      <c r="K281" t="s">
        <v>112</v>
      </c>
      <c r="L281">
        <v>312</v>
      </c>
      <c r="M281" s="2">
        <v>0.75208333333333333</v>
      </c>
      <c r="N281" t="s">
        <v>2494</v>
      </c>
      <c r="O281">
        <v>2022</v>
      </c>
      <c r="P281">
        <v>1967</v>
      </c>
      <c r="Q281" s="1">
        <v>45184</v>
      </c>
      <c r="R281" s="1">
        <v>45179</v>
      </c>
      <c r="S281" t="s">
        <v>16</v>
      </c>
    </row>
    <row r="282" spans="1:19" x14ac:dyDescent="0.25">
      <c r="A282">
        <v>281</v>
      </c>
      <c r="B282">
        <v>57513427</v>
      </c>
      <c r="C282" t="s">
        <v>715</v>
      </c>
      <c r="D282" t="s">
        <v>17</v>
      </c>
      <c r="E282" t="s">
        <v>716</v>
      </c>
      <c r="F282" t="s">
        <v>717</v>
      </c>
      <c r="H282" t="s">
        <v>1993</v>
      </c>
      <c r="I282">
        <v>2</v>
      </c>
      <c r="J282" t="s">
        <v>1770</v>
      </c>
      <c r="K282" t="s">
        <v>2488</v>
      </c>
      <c r="L282">
        <v>392</v>
      </c>
      <c r="N282" t="s">
        <v>2494</v>
      </c>
      <c r="O282">
        <v>2021</v>
      </c>
      <c r="P282">
        <v>2021</v>
      </c>
      <c r="Q282" s="1">
        <v>45178</v>
      </c>
      <c r="R282" s="1">
        <v>45169</v>
      </c>
      <c r="S282" t="s">
        <v>16</v>
      </c>
    </row>
    <row r="283" spans="1:19" x14ac:dyDescent="0.25">
      <c r="A283">
        <v>282</v>
      </c>
      <c r="B283">
        <v>123540575</v>
      </c>
      <c r="C283" t="s">
        <v>718</v>
      </c>
      <c r="D283" t="s">
        <v>17</v>
      </c>
      <c r="E283" t="s">
        <v>332</v>
      </c>
      <c r="F283" t="s">
        <v>333</v>
      </c>
      <c r="G283" t="s">
        <v>2655</v>
      </c>
      <c r="H283" t="s">
        <v>1994</v>
      </c>
      <c r="I283">
        <v>3</v>
      </c>
      <c r="J283" t="s">
        <v>2532</v>
      </c>
      <c r="K283" t="s">
        <v>112</v>
      </c>
      <c r="L283">
        <v>296</v>
      </c>
      <c r="M283" s="2">
        <v>0.37638888888888888</v>
      </c>
      <c r="N283" t="s">
        <v>2486</v>
      </c>
      <c r="O283">
        <v>2023</v>
      </c>
      <c r="P283">
        <v>2022</v>
      </c>
      <c r="Q283" s="1">
        <v>45177</v>
      </c>
      <c r="R283" s="1">
        <v>45176</v>
      </c>
      <c r="S283" t="s">
        <v>16</v>
      </c>
    </row>
    <row r="284" spans="1:19" x14ac:dyDescent="0.25">
      <c r="A284">
        <v>283</v>
      </c>
      <c r="B284">
        <v>36381037</v>
      </c>
      <c r="C284" t="s">
        <v>719</v>
      </c>
      <c r="D284" t="s">
        <v>720</v>
      </c>
      <c r="E284" t="s">
        <v>422</v>
      </c>
      <c r="F284" t="s">
        <v>423</v>
      </c>
      <c r="H284" t="str">
        <f>"9788081720574"</f>
        <v>9788081720574</v>
      </c>
      <c r="I284">
        <v>5</v>
      </c>
      <c r="J284" t="s">
        <v>1780</v>
      </c>
      <c r="K284" t="s">
        <v>57</v>
      </c>
      <c r="L284">
        <v>400</v>
      </c>
      <c r="N284" t="s">
        <v>2486</v>
      </c>
      <c r="O284">
        <v>2020</v>
      </c>
      <c r="P284">
        <v>2012</v>
      </c>
      <c r="Q284" s="1">
        <v>45172</v>
      </c>
      <c r="R284" s="1">
        <v>45163</v>
      </c>
      <c r="S284" t="s">
        <v>16</v>
      </c>
    </row>
    <row r="285" spans="1:19" x14ac:dyDescent="0.25">
      <c r="A285">
        <v>284</v>
      </c>
      <c r="B285">
        <v>13557241</v>
      </c>
      <c r="C285" t="s">
        <v>721</v>
      </c>
      <c r="D285" t="s">
        <v>17</v>
      </c>
      <c r="E285" t="s">
        <v>722</v>
      </c>
      <c r="F285" t="s">
        <v>723</v>
      </c>
      <c r="G285" t="s">
        <v>2515</v>
      </c>
      <c r="H285" t="str">
        <f>"9788071933557"</f>
        <v>9788071933557</v>
      </c>
      <c r="I285">
        <v>4</v>
      </c>
      <c r="J285" t="s">
        <v>2658</v>
      </c>
      <c r="K285" t="s">
        <v>112</v>
      </c>
      <c r="L285">
        <v>255</v>
      </c>
      <c r="M285" s="2">
        <v>0.36319444444444443</v>
      </c>
      <c r="N285" t="s">
        <v>2486</v>
      </c>
      <c r="O285">
        <v>2017</v>
      </c>
      <c r="P285">
        <v>1957</v>
      </c>
      <c r="Q285" s="1">
        <v>45170</v>
      </c>
      <c r="R285" s="1">
        <v>45161</v>
      </c>
      <c r="S285" t="s">
        <v>16</v>
      </c>
    </row>
    <row r="286" spans="1:19" x14ac:dyDescent="0.25">
      <c r="A286">
        <v>285</v>
      </c>
      <c r="B286">
        <v>53379341</v>
      </c>
      <c r="C286" t="s">
        <v>724</v>
      </c>
      <c r="D286" t="s">
        <v>17</v>
      </c>
      <c r="E286" t="s">
        <v>163</v>
      </c>
      <c r="F286" t="s">
        <v>164</v>
      </c>
      <c r="H286" t="s">
        <v>1995</v>
      </c>
      <c r="I286">
        <v>4</v>
      </c>
      <c r="J286" t="s">
        <v>1723</v>
      </c>
      <c r="K286" t="s">
        <v>2488</v>
      </c>
      <c r="L286">
        <v>424</v>
      </c>
      <c r="N286" t="s">
        <v>2494</v>
      </c>
      <c r="O286">
        <v>2023</v>
      </c>
      <c r="P286">
        <v>2019</v>
      </c>
      <c r="Q286" s="1">
        <v>45167</v>
      </c>
      <c r="R286" s="1">
        <v>45165</v>
      </c>
      <c r="S286" t="s">
        <v>16</v>
      </c>
    </row>
    <row r="287" spans="1:19" x14ac:dyDescent="0.25">
      <c r="A287">
        <v>286</v>
      </c>
      <c r="B287">
        <v>55663549</v>
      </c>
      <c r="C287" t="s">
        <v>725</v>
      </c>
      <c r="D287" t="s">
        <v>17</v>
      </c>
      <c r="E287" t="s">
        <v>726</v>
      </c>
      <c r="F287" t="s">
        <v>727</v>
      </c>
      <c r="G287" t="s">
        <v>2659</v>
      </c>
      <c r="H287" t="s">
        <v>1996</v>
      </c>
      <c r="I287">
        <v>5</v>
      </c>
      <c r="J287" t="s">
        <v>2660</v>
      </c>
      <c r="K287" t="s">
        <v>112</v>
      </c>
      <c r="L287">
        <v>247</v>
      </c>
      <c r="M287" s="2">
        <v>0.43263888888888891</v>
      </c>
      <c r="N287" t="s">
        <v>2486</v>
      </c>
      <c r="O287">
        <v>2021</v>
      </c>
      <c r="P287">
        <v>2020</v>
      </c>
      <c r="Q287" s="1">
        <v>45164</v>
      </c>
      <c r="R287" s="1">
        <v>45162</v>
      </c>
      <c r="S287" t="s">
        <v>16</v>
      </c>
    </row>
    <row r="288" spans="1:19" x14ac:dyDescent="0.25">
      <c r="A288">
        <v>287</v>
      </c>
      <c r="B288">
        <v>56528347</v>
      </c>
      <c r="C288" t="s">
        <v>728</v>
      </c>
      <c r="D288" t="s">
        <v>729</v>
      </c>
      <c r="E288" t="s">
        <v>730</v>
      </c>
      <c r="F288" t="s">
        <v>731</v>
      </c>
      <c r="H288" t="s">
        <v>1997</v>
      </c>
      <c r="I288">
        <v>5</v>
      </c>
      <c r="J288" t="s">
        <v>1668</v>
      </c>
      <c r="K288" t="s">
        <v>2488</v>
      </c>
      <c r="L288">
        <v>336</v>
      </c>
      <c r="N288" t="s">
        <v>2494</v>
      </c>
      <c r="O288">
        <v>2021</v>
      </c>
      <c r="P288">
        <v>2010</v>
      </c>
      <c r="Q288" s="1">
        <v>45163</v>
      </c>
      <c r="R288" s="1">
        <v>45158</v>
      </c>
      <c r="S288" t="s">
        <v>16</v>
      </c>
    </row>
    <row r="289" spans="1:19" x14ac:dyDescent="0.25">
      <c r="A289">
        <v>288</v>
      </c>
      <c r="B289">
        <v>48711897</v>
      </c>
      <c r="C289" t="s">
        <v>732</v>
      </c>
      <c r="D289" t="s">
        <v>17</v>
      </c>
      <c r="E289" t="s">
        <v>733</v>
      </c>
      <c r="F289" t="s">
        <v>734</v>
      </c>
      <c r="H289" t="s">
        <v>1998</v>
      </c>
      <c r="I289">
        <v>2</v>
      </c>
      <c r="J289" t="s">
        <v>1759</v>
      </c>
      <c r="K289" t="s">
        <v>2488</v>
      </c>
      <c r="L289">
        <v>64</v>
      </c>
      <c r="N289" t="s">
        <v>2494</v>
      </c>
      <c r="O289">
        <v>2010</v>
      </c>
      <c r="P289">
        <v>2010</v>
      </c>
      <c r="Q289" s="1">
        <v>45160</v>
      </c>
      <c r="R289" s="1">
        <v>45160</v>
      </c>
      <c r="S289" t="s">
        <v>16</v>
      </c>
    </row>
    <row r="290" spans="1:19" x14ac:dyDescent="0.25">
      <c r="A290">
        <v>289</v>
      </c>
      <c r="B290">
        <v>12086369</v>
      </c>
      <c r="C290" t="s">
        <v>735</v>
      </c>
      <c r="D290" t="s">
        <v>17</v>
      </c>
      <c r="E290" t="s">
        <v>736</v>
      </c>
      <c r="F290" t="s">
        <v>737</v>
      </c>
      <c r="G290" t="s">
        <v>2661</v>
      </c>
      <c r="H290" t="s">
        <v>1999</v>
      </c>
      <c r="I290">
        <v>5</v>
      </c>
      <c r="J290" t="s">
        <v>2492</v>
      </c>
      <c r="K290" t="s">
        <v>112</v>
      </c>
      <c r="L290">
        <v>320</v>
      </c>
      <c r="M290" s="2">
        <v>0.46875</v>
      </c>
      <c r="N290" t="s">
        <v>2486</v>
      </c>
      <c r="O290">
        <v>2023</v>
      </c>
      <c r="P290">
        <v>1980</v>
      </c>
      <c r="Q290" s="1">
        <v>45160</v>
      </c>
      <c r="R290" s="1">
        <v>45151</v>
      </c>
      <c r="S290" t="s">
        <v>16</v>
      </c>
    </row>
    <row r="291" spans="1:19" x14ac:dyDescent="0.25">
      <c r="A291">
        <v>290</v>
      </c>
      <c r="B291">
        <v>62079451</v>
      </c>
      <c r="C291" t="s">
        <v>738</v>
      </c>
      <c r="D291" t="s">
        <v>739</v>
      </c>
      <c r="E291" t="s">
        <v>133</v>
      </c>
      <c r="F291" t="s">
        <v>134</v>
      </c>
      <c r="H291" t="s">
        <v>2000</v>
      </c>
      <c r="I291">
        <v>5</v>
      </c>
      <c r="J291" t="s">
        <v>1668</v>
      </c>
      <c r="K291" t="s">
        <v>2488</v>
      </c>
      <c r="L291">
        <v>376</v>
      </c>
      <c r="N291" t="s">
        <v>2494</v>
      </c>
      <c r="O291">
        <v>2022</v>
      </c>
      <c r="P291">
        <v>2022</v>
      </c>
      <c r="Q291" s="1">
        <v>45159</v>
      </c>
      <c r="R291" s="1">
        <v>45156</v>
      </c>
      <c r="S291" t="s">
        <v>16</v>
      </c>
    </row>
    <row r="292" spans="1:19" x14ac:dyDescent="0.25">
      <c r="A292">
        <v>291</v>
      </c>
      <c r="B292">
        <v>58410441</v>
      </c>
      <c r="C292" t="s">
        <v>740</v>
      </c>
      <c r="D292" t="s">
        <v>17</v>
      </c>
      <c r="E292" t="s">
        <v>741</v>
      </c>
      <c r="F292" t="s">
        <v>742</v>
      </c>
      <c r="H292" t="s">
        <v>2001</v>
      </c>
      <c r="I292">
        <v>4</v>
      </c>
      <c r="J292" t="s">
        <v>1697</v>
      </c>
      <c r="K292" t="s">
        <v>2488</v>
      </c>
      <c r="L292">
        <v>352</v>
      </c>
      <c r="N292" t="s">
        <v>2494</v>
      </c>
      <c r="O292">
        <v>2021</v>
      </c>
      <c r="P292">
        <v>2021</v>
      </c>
      <c r="Q292" s="1">
        <v>45155</v>
      </c>
      <c r="R292" s="1">
        <v>45153</v>
      </c>
      <c r="S292" t="s">
        <v>16</v>
      </c>
    </row>
    <row r="293" spans="1:19" x14ac:dyDescent="0.25">
      <c r="A293">
        <v>292</v>
      </c>
      <c r="B293">
        <v>61353440</v>
      </c>
      <c r="C293" t="s">
        <v>743</v>
      </c>
      <c r="D293" t="s">
        <v>17</v>
      </c>
      <c r="E293" t="s">
        <v>744</v>
      </c>
      <c r="F293" t="s">
        <v>745</v>
      </c>
      <c r="H293" t="s">
        <v>2002</v>
      </c>
      <c r="I293">
        <v>4</v>
      </c>
      <c r="J293" t="s">
        <v>1822</v>
      </c>
      <c r="K293" t="s">
        <v>2488</v>
      </c>
      <c r="L293">
        <v>248</v>
      </c>
      <c r="N293" t="s">
        <v>2494</v>
      </c>
      <c r="O293">
        <v>2022</v>
      </c>
      <c r="P293">
        <v>2013</v>
      </c>
      <c r="Q293" s="1">
        <v>45152</v>
      </c>
      <c r="R293" s="1">
        <v>45152</v>
      </c>
      <c r="S293" t="s">
        <v>16</v>
      </c>
    </row>
    <row r="294" spans="1:19" x14ac:dyDescent="0.25">
      <c r="A294">
        <v>293</v>
      </c>
      <c r="B294">
        <v>61231235</v>
      </c>
      <c r="C294" t="s">
        <v>746</v>
      </c>
      <c r="D294" t="s">
        <v>17</v>
      </c>
      <c r="E294" t="s">
        <v>747</v>
      </c>
      <c r="F294" t="s">
        <v>748</v>
      </c>
      <c r="H294" t="s">
        <v>2003</v>
      </c>
      <c r="I294">
        <v>2</v>
      </c>
      <c r="J294" t="s">
        <v>1809</v>
      </c>
      <c r="K294" t="s">
        <v>2488</v>
      </c>
      <c r="L294">
        <v>128</v>
      </c>
      <c r="N294" t="s">
        <v>2494</v>
      </c>
      <c r="O294">
        <v>2022</v>
      </c>
      <c r="P294">
        <v>2018</v>
      </c>
      <c r="Q294" s="1">
        <v>45152</v>
      </c>
      <c r="R294" s="1">
        <v>45152</v>
      </c>
      <c r="S294" t="s">
        <v>16</v>
      </c>
    </row>
    <row r="295" spans="1:19" x14ac:dyDescent="0.25">
      <c r="A295">
        <v>294</v>
      </c>
      <c r="B295">
        <v>53356462</v>
      </c>
      <c r="C295" t="s">
        <v>749</v>
      </c>
      <c r="D295" t="s">
        <v>17</v>
      </c>
      <c r="E295" t="s">
        <v>750</v>
      </c>
      <c r="F295" t="s">
        <v>751</v>
      </c>
      <c r="H295" t="s">
        <v>2004</v>
      </c>
      <c r="I295">
        <v>5</v>
      </c>
      <c r="J295" t="s">
        <v>1712</v>
      </c>
      <c r="K295" t="s">
        <v>2488</v>
      </c>
      <c r="L295">
        <v>304</v>
      </c>
      <c r="N295" t="s">
        <v>2486</v>
      </c>
      <c r="O295">
        <v>2020</v>
      </c>
      <c r="P295">
        <v>2019</v>
      </c>
      <c r="Q295" s="1">
        <v>45151</v>
      </c>
      <c r="R295" s="1">
        <v>45143</v>
      </c>
      <c r="S295" t="s">
        <v>16</v>
      </c>
    </row>
    <row r="296" spans="1:19" x14ac:dyDescent="0.25">
      <c r="A296">
        <v>295</v>
      </c>
      <c r="B296">
        <v>33952851</v>
      </c>
      <c r="C296" t="s">
        <v>752</v>
      </c>
      <c r="D296" t="s">
        <v>17</v>
      </c>
      <c r="E296" t="s">
        <v>359</v>
      </c>
      <c r="F296" t="s">
        <v>360</v>
      </c>
      <c r="G296" t="s">
        <v>2662</v>
      </c>
      <c r="H296" t="s">
        <v>2005</v>
      </c>
      <c r="I296">
        <v>3</v>
      </c>
      <c r="J296" t="s">
        <v>2663</v>
      </c>
      <c r="K296" t="s">
        <v>112</v>
      </c>
      <c r="L296">
        <v>512</v>
      </c>
      <c r="M296" s="2">
        <v>0.72847222222222219</v>
      </c>
      <c r="N296" t="s">
        <v>2486</v>
      </c>
      <c r="O296">
        <v>2018</v>
      </c>
      <c r="P296">
        <v>2018</v>
      </c>
      <c r="Q296" s="1">
        <v>45151</v>
      </c>
      <c r="R296" s="1">
        <v>45146</v>
      </c>
      <c r="S296" t="s">
        <v>16</v>
      </c>
    </row>
    <row r="297" spans="1:19" x14ac:dyDescent="0.25">
      <c r="A297">
        <v>296</v>
      </c>
      <c r="B297">
        <v>21459917</v>
      </c>
      <c r="C297" t="s">
        <v>753</v>
      </c>
      <c r="D297" t="s">
        <v>17</v>
      </c>
      <c r="E297" t="s">
        <v>754</v>
      </c>
      <c r="F297" t="s">
        <v>755</v>
      </c>
      <c r="H297" t="s">
        <v>2006</v>
      </c>
      <c r="I297">
        <v>3</v>
      </c>
      <c r="J297" t="s">
        <v>2007</v>
      </c>
      <c r="K297" t="s">
        <v>57</v>
      </c>
      <c r="L297">
        <v>120</v>
      </c>
      <c r="N297" t="s">
        <v>2486</v>
      </c>
      <c r="O297">
        <v>2012</v>
      </c>
      <c r="P297">
        <v>2012</v>
      </c>
      <c r="Q297" s="1">
        <v>45146</v>
      </c>
      <c r="R297" s="1">
        <v>45144</v>
      </c>
      <c r="S297" t="s">
        <v>16</v>
      </c>
    </row>
    <row r="298" spans="1:19" x14ac:dyDescent="0.25">
      <c r="A298">
        <v>297</v>
      </c>
      <c r="B298">
        <v>1768257</v>
      </c>
      <c r="C298" t="s">
        <v>756</v>
      </c>
      <c r="D298" t="s">
        <v>17</v>
      </c>
      <c r="E298" t="s">
        <v>757</v>
      </c>
      <c r="F298" t="s">
        <v>758</v>
      </c>
      <c r="H298" t="s">
        <v>2008</v>
      </c>
      <c r="I298">
        <v>3</v>
      </c>
      <c r="J298" t="s">
        <v>1691</v>
      </c>
      <c r="K298" t="s">
        <v>57</v>
      </c>
      <c r="L298">
        <v>635</v>
      </c>
      <c r="N298" t="s">
        <v>2486</v>
      </c>
      <c r="O298">
        <v>2013</v>
      </c>
      <c r="P298">
        <v>1972</v>
      </c>
      <c r="Q298" s="1">
        <v>45143</v>
      </c>
      <c r="R298" s="1">
        <v>45139</v>
      </c>
      <c r="S298" t="s">
        <v>16</v>
      </c>
    </row>
    <row r="299" spans="1:19" x14ac:dyDescent="0.25">
      <c r="A299">
        <v>298</v>
      </c>
      <c r="B299">
        <v>50313206</v>
      </c>
      <c r="C299" t="s">
        <v>759</v>
      </c>
      <c r="D299" t="s">
        <v>2664</v>
      </c>
      <c r="E299" t="s">
        <v>760</v>
      </c>
      <c r="F299" t="s">
        <v>761</v>
      </c>
      <c r="G299" t="s">
        <v>2592</v>
      </c>
      <c r="H299" t="s">
        <v>2009</v>
      </c>
      <c r="I299">
        <v>5</v>
      </c>
      <c r="J299" t="s">
        <v>2593</v>
      </c>
      <c r="K299" t="s">
        <v>112</v>
      </c>
      <c r="L299">
        <v>445</v>
      </c>
      <c r="M299" s="2">
        <v>0.44861111111111113</v>
      </c>
      <c r="N299" t="s">
        <v>2486</v>
      </c>
      <c r="O299">
        <v>2022</v>
      </c>
      <c r="P299">
        <v>2019</v>
      </c>
      <c r="Q299" s="1">
        <v>45141</v>
      </c>
      <c r="R299" s="1">
        <v>45135</v>
      </c>
      <c r="S299" t="s">
        <v>16</v>
      </c>
    </row>
    <row r="300" spans="1:19" x14ac:dyDescent="0.25">
      <c r="A300">
        <v>299</v>
      </c>
      <c r="B300">
        <v>60719810</v>
      </c>
      <c r="C300" t="s">
        <v>762</v>
      </c>
      <c r="D300" t="s">
        <v>17</v>
      </c>
      <c r="E300" t="s">
        <v>763</v>
      </c>
      <c r="F300" t="s">
        <v>764</v>
      </c>
      <c r="H300" t="s">
        <v>2010</v>
      </c>
      <c r="I300">
        <v>5</v>
      </c>
      <c r="J300" t="s">
        <v>2011</v>
      </c>
      <c r="K300" t="s">
        <v>2488</v>
      </c>
      <c r="L300">
        <v>423</v>
      </c>
      <c r="N300" t="s">
        <v>2486</v>
      </c>
      <c r="O300">
        <v>2021</v>
      </c>
      <c r="P300">
        <v>2015</v>
      </c>
      <c r="Q300" s="1">
        <v>45140</v>
      </c>
      <c r="R300" s="1">
        <v>45136</v>
      </c>
      <c r="S300" t="s">
        <v>16</v>
      </c>
    </row>
    <row r="301" spans="1:19" x14ac:dyDescent="0.25">
      <c r="A301">
        <v>300</v>
      </c>
      <c r="B301">
        <v>34600858</v>
      </c>
      <c r="C301" t="s">
        <v>765</v>
      </c>
      <c r="D301" t="s">
        <v>17</v>
      </c>
      <c r="E301" t="s">
        <v>250</v>
      </c>
      <c r="F301" t="s">
        <v>251</v>
      </c>
      <c r="H301" t="s">
        <v>2012</v>
      </c>
      <c r="I301">
        <v>3</v>
      </c>
      <c r="J301" t="s">
        <v>1668</v>
      </c>
      <c r="K301" t="s">
        <v>2488</v>
      </c>
      <c r="L301">
        <v>256</v>
      </c>
      <c r="N301" t="s">
        <v>2494</v>
      </c>
      <c r="O301">
        <v>2017</v>
      </c>
      <c r="P301">
        <v>2010</v>
      </c>
      <c r="Q301" s="1">
        <v>44649</v>
      </c>
      <c r="R301" s="1">
        <v>44646</v>
      </c>
      <c r="S301" t="s">
        <v>16</v>
      </c>
    </row>
    <row r="302" spans="1:19" x14ac:dyDescent="0.25">
      <c r="A302">
        <v>301</v>
      </c>
      <c r="B302">
        <v>34773258</v>
      </c>
      <c r="C302" t="s">
        <v>766</v>
      </c>
      <c r="D302" t="s">
        <v>17</v>
      </c>
      <c r="E302" t="s">
        <v>767</v>
      </c>
      <c r="F302" t="s">
        <v>768</v>
      </c>
      <c r="H302" t="s">
        <v>2013</v>
      </c>
      <c r="I302">
        <v>4</v>
      </c>
      <c r="J302" t="s">
        <v>2014</v>
      </c>
      <c r="K302" t="s">
        <v>2488</v>
      </c>
      <c r="L302">
        <v>320</v>
      </c>
      <c r="N302" t="s">
        <v>2494</v>
      </c>
      <c r="O302">
        <v>2017</v>
      </c>
      <c r="P302">
        <v>1997</v>
      </c>
      <c r="Q302" s="1">
        <v>45135</v>
      </c>
      <c r="R302" s="1">
        <v>45093</v>
      </c>
      <c r="S302" t="s">
        <v>16</v>
      </c>
    </row>
    <row r="303" spans="1:19" x14ac:dyDescent="0.25">
      <c r="A303">
        <v>302</v>
      </c>
      <c r="B303">
        <v>40523782</v>
      </c>
      <c r="C303" t="s">
        <v>769</v>
      </c>
      <c r="D303" t="s">
        <v>17</v>
      </c>
      <c r="E303" t="s">
        <v>770</v>
      </c>
      <c r="F303" t="s">
        <v>771</v>
      </c>
      <c r="G303" t="s">
        <v>2665</v>
      </c>
      <c r="H303" t="s">
        <v>2015</v>
      </c>
      <c r="I303">
        <v>3</v>
      </c>
      <c r="J303" t="s">
        <v>2492</v>
      </c>
      <c r="K303" t="s">
        <v>112</v>
      </c>
      <c r="L303">
        <v>450</v>
      </c>
      <c r="M303" s="2">
        <v>0.62569444444444444</v>
      </c>
      <c r="N303" t="s">
        <v>2486</v>
      </c>
      <c r="O303">
        <v>2023</v>
      </c>
      <c r="P303">
        <v>2015</v>
      </c>
      <c r="Q303" s="1">
        <v>45133</v>
      </c>
      <c r="R303" s="1">
        <v>45127</v>
      </c>
      <c r="S303" t="s">
        <v>16</v>
      </c>
    </row>
    <row r="304" spans="1:19" x14ac:dyDescent="0.25">
      <c r="A304">
        <v>303</v>
      </c>
      <c r="B304">
        <v>55770695</v>
      </c>
      <c r="C304" t="s">
        <v>772</v>
      </c>
      <c r="D304" t="s">
        <v>2666</v>
      </c>
      <c r="E304" t="s">
        <v>35</v>
      </c>
      <c r="F304" t="s">
        <v>36</v>
      </c>
      <c r="G304" t="s">
        <v>2667</v>
      </c>
      <c r="H304" t="s">
        <v>2016</v>
      </c>
      <c r="I304">
        <v>3</v>
      </c>
      <c r="J304" t="s">
        <v>1759</v>
      </c>
      <c r="K304" t="s">
        <v>112</v>
      </c>
      <c r="L304">
        <v>312</v>
      </c>
      <c r="M304" s="2">
        <v>0.3659722222222222</v>
      </c>
      <c r="N304" t="s">
        <v>2494</v>
      </c>
      <c r="O304">
        <v>2021</v>
      </c>
      <c r="P304">
        <v>2020</v>
      </c>
      <c r="Q304" s="1">
        <v>45017</v>
      </c>
      <c r="R304" s="1">
        <v>45013</v>
      </c>
      <c r="S304" t="s">
        <v>16</v>
      </c>
    </row>
    <row r="305" spans="1:19" x14ac:dyDescent="0.25">
      <c r="A305">
        <v>304</v>
      </c>
      <c r="B305">
        <v>61477665</v>
      </c>
      <c r="C305" t="s">
        <v>773</v>
      </c>
      <c r="D305" t="s">
        <v>17</v>
      </c>
      <c r="E305" t="s">
        <v>774</v>
      </c>
      <c r="F305" t="s">
        <v>775</v>
      </c>
      <c r="H305" t="s">
        <v>2017</v>
      </c>
      <c r="I305">
        <v>3</v>
      </c>
      <c r="J305" t="s">
        <v>1723</v>
      </c>
      <c r="K305" t="s">
        <v>2488</v>
      </c>
      <c r="L305">
        <v>592</v>
      </c>
      <c r="N305" t="s">
        <v>2494</v>
      </c>
      <c r="O305">
        <v>2022</v>
      </c>
      <c r="P305">
        <v>2014</v>
      </c>
      <c r="Q305" s="1">
        <v>45126</v>
      </c>
      <c r="R305" s="1">
        <v>45060</v>
      </c>
      <c r="S305" t="s">
        <v>16</v>
      </c>
    </row>
    <row r="306" spans="1:19" x14ac:dyDescent="0.25">
      <c r="A306">
        <v>305</v>
      </c>
      <c r="B306">
        <v>53479542</v>
      </c>
      <c r="C306" t="s">
        <v>776</v>
      </c>
      <c r="D306" t="s">
        <v>2670</v>
      </c>
      <c r="E306" t="s">
        <v>777</v>
      </c>
      <c r="F306" t="s">
        <v>778</v>
      </c>
      <c r="G306" t="s">
        <v>2490</v>
      </c>
      <c r="H306" t="s">
        <v>2018</v>
      </c>
      <c r="I306">
        <v>2</v>
      </c>
      <c r="J306" t="s">
        <v>2492</v>
      </c>
      <c r="K306" t="s">
        <v>112</v>
      </c>
      <c r="L306">
        <v>296</v>
      </c>
      <c r="M306" s="2">
        <v>0.42291666666666666</v>
      </c>
      <c r="N306" t="s">
        <v>2486</v>
      </c>
      <c r="O306">
        <v>2022</v>
      </c>
      <c r="P306">
        <v>1952</v>
      </c>
      <c r="Q306" s="1">
        <v>45125</v>
      </c>
      <c r="R306" s="1">
        <v>45117</v>
      </c>
      <c r="S306" t="s">
        <v>16</v>
      </c>
    </row>
    <row r="307" spans="1:19" x14ac:dyDescent="0.25">
      <c r="A307">
        <v>306</v>
      </c>
      <c r="B307">
        <v>39676903</v>
      </c>
      <c r="C307" t="s">
        <v>779</v>
      </c>
      <c r="D307" t="s">
        <v>2668</v>
      </c>
      <c r="E307" t="s">
        <v>302</v>
      </c>
      <c r="F307" t="s">
        <v>303</v>
      </c>
      <c r="H307" t="s">
        <v>2019</v>
      </c>
      <c r="I307">
        <v>5</v>
      </c>
      <c r="J307" t="s">
        <v>1723</v>
      </c>
      <c r="K307" t="s">
        <v>57</v>
      </c>
      <c r="L307">
        <v>780</v>
      </c>
      <c r="N307" t="s">
        <v>2486</v>
      </c>
      <c r="O307">
        <v>2018</v>
      </c>
      <c r="P307">
        <v>2017</v>
      </c>
      <c r="Q307" s="1">
        <v>45117</v>
      </c>
      <c r="R307" s="1">
        <v>45106</v>
      </c>
      <c r="S307" t="s">
        <v>16</v>
      </c>
    </row>
    <row r="308" spans="1:19" x14ac:dyDescent="0.25">
      <c r="A308">
        <v>307</v>
      </c>
      <c r="B308">
        <v>52087101</v>
      </c>
      <c r="C308" t="s">
        <v>780</v>
      </c>
      <c r="D308" t="s">
        <v>2669</v>
      </c>
      <c r="E308" t="s">
        <v>777</v>
      </c>
      <c r="F308" t="s">
        <v>778</v>
      </c>
      <c r="G308" t="s">
        <v>2490</v>
      </c>
      <c r="H308" t="s">
        <v>2020</v>
      </c>
      <c r="I308">
        <v>2</v>
      </c>
      <c r="J308" t="s">
        <v>2492</v>
      </c>
      <c r="K308" t="s">
        <v>112</v>
      </c>
      <c r="L308">
        <v>288</v>
      </c>
      <c r="M308" s="2">
        <v>0.38194444444444442</v>
      </c>
      <c r="N308" t="s">
        <v>2486</v>
      </c>
      <c r="O308">
        <v>2021</v>
      </c>
      <c r="P308">
        <v>1951</v>
      </c>
      <c r="Q308" s="1">
        <v>43975</v>
      </c>
      <c r="R308" s="1">
        <v>43975</v>
      </c>
      <c r="S308" t="s">
        <v>16</v>
      </c>
    </row>
    <row r="309" spans="1:19" x14ac:dyDescent="0.25">
      <c r="A309">
        <v>308</v>
      </c>
      <c r="B309">
        <v>43473549</v>
      </c>
      <c r="C309" t="s">
        <v>781</v>
      </c>
      <c r="D309" t="s">
        <v>17</v>
      </c>
      <c r="E309" t="s">
        <v>782</v>
      </c>
      <c r="F309" t="s">
        <v>783</v>
      </c>
      <c r="G309" t="s">
        <v>2555</v>
      </c>
      <c r="H309" t="str">
        <f>"9788075550569"</f>
        <v>9788075550569</v>
      </c>
      <c r="I309">
        <v>2</v>
      </c>
      <c r="J309" t="s">
        <v>2021</v>
      </c>
      <c r="K309" t="s">
        <v>112</v>
      </c>
      <c r="L309">
        <v>352</v>
      </c>
      <c r="M309" s="2">
        <v>0.36458333333333331</v>
      </c>
      <c r="N309" t="s">
        <v>2486</v>
      </c>
      <c r="O309">
        <v>2018</v>
      </c>
      <c r="P309">
        <v>2018</v>
      </c>
      <c r="Q309" s="1">
        <v>45114</v>
      </c>
      <c r="R309" s="1">
        <v>45106</v>
      </c>
      <c r="S309" t="s">
        <v>16</v>
      </c>
    </row>
    <row r="310" spans="1:19" x14ac:dyDescent="0.25">
      <c r="A310">
        <v>309</v>
      </c>
      <c r="B310">
        <v>62636063</v>
      </c>
      <c r="C310" t="s">
        <v>784</v>
      </c>
      <c r="D310" t="s">
        <v>17</v>
      </c>
      <c r="E310" t="s">
        <v>785</v>
      </c>
      <c r="F310" t="s">
        <v>786</v>
      </c>
      <c r="H310" t="s">
        <v>2022</v>
      </c>
      <c r="I310">
        <v>3</v>
      </c>
      <c r="J310" t="s">
        <v>1668</v>
      </c>
      <c r="K310" t="s">
        <v>2488</v>
      </c>
      <c r="L310">
        <v>336</v>
      </c>
      <c r="N310" t="s">
        <v>2494</v>
      </c>
      <c r="O310">
        <v>2022</v>
      </c>
      <c r="P310">
        <v>2022</v>
      </c>
      <c r="Q310" s="1">
        <v>45106</v>
      </c>
      <c r="R310" s="1">
        <v>45092</v>
      </c>
      <c r="S310" t="s">
        <v>16</v>
      </c>
    </row>
    <row r="311" spans="1:19" x14ac:dyDescent="0.25">
      <c r="A311">
        <v>310</v>
      </c>
      <c r="B311">
        <v>10320612</v>
      </c>
      <c r="C311" t="s">
        <v>787</v>
      </c>
      <c r="D311" t="s">
        <v>2671</v>
      </c>
      <c r="E311" t="s">
        <v>215</v>
      </c>
      <c r="F311" t="s">
        <v>216</v>
      </c>
      <c r="G311" t="s">
        <v>2531</v>
      </c>
      <c r="H311" t="s">
        <v>2023</v>
      </c>
      <c r="I311">
        <v>3</v>
      </c>
      <c r="J311" t="s">
        <v>2532</v>
      </c>
      <c r="K311" t="s">
        <v>112</v>
      </c>
      <c r="L311">
        <v>328</v>
      </c>
      <c r="M311" s="2">
        <v>0.50763888888888886</v>
      </c>
      <c r="N311" t="s">
        <v>2494</v>
      </c>
      <c r="O311">
        <v>2024</v>
      </c>
      <c r="P311">
        <v>2010</v>
      </c>
      <c r="Q311" s="1">
        <v>45104</v>
      </c>
      <c r="R311" s="1">
        <v>45097</v>
      </c>
      <c r="S311" t="s">
        <v>16</v>
      </c>
    </row>
    <row r="312" spans="1:19" x14ac:dyDescent="0.25">
      <c r="A312">
        <v>311</v>
      </c>
      <c r="B312">
        <v>30967365</v>
      </c>
      <c r="C312" t="s">
        <v>788</v>
      </c>
      <c r="D312" t="s">
        <v>17</v>
      </c>
      <c r="E312" t="s">
        <v>789</v>
      </c>
      <c r="F312" t="s">
        <v>790</v>
      </c>
      <c r="H312" t="s">
        <v>2024</v>
      </c>
      <c r="I312">
        <v>3</v>
      </c>
      <c r="J312" t="s">
        <v>2025</v>
      </c>
      <c r="K312" t="s">
        <v>57</v>
      </c>
      <c r="L312">
        <v>259</v>
      </c>
      <c r="N312" t="s">
        <v>2494</v>
      </c>
      <c r="O312">
        <v>2015</v>
      </c>
      <c r="P312">
        <v>2009</v>
      </c>
      <c r="Q312" s="1">
        <v>45101</v>
      </c>
      <c r="R312" s="1">
        <v>45097</v>
      </c>
      <c r="S312" t="s">
        <v>16</v>
      </c>
    </row>
    <row r="313" spans="1:19" x14ac:dyDescent="0.25">
      <c r="A313">
        <v>312</v>
      </c>
      <c r="B313">
        <v>26164740</v>
      </c>
      <c r="C313" t="s">
        <v>791</v>
      </c>
      <c r="D313" t="s">
        <v>17</v>
      </c>
      <c r="E313" t="s">
        <v>224</v>
      </c>
      <c r="F313" t="s">
        <v>225</v>
      </c>
      <c r="H313" t="s">
        <v>2026</v>
      </c>
      <c r="I313">
        <v>4</v>
      </c>
      <c r="J313" t="s">
        <v>1759</v>
      </c>
      <c r="K313" t="s">
        <v>2488</v>
      </c>
      <c r="L313">
        <v>320</v>
      </c>
      <c r="N313" t="s">
        <v>2494</v>
      </c>
      <c r="O313">
        <v>2015</v>
      </c>
      <c r="P313">
        <v>2015</v>
      </c>
      <c r="Q313" s="1">
        <v>45095</v>
      </c>
      <c r="R313" s="1">
        <v>45094</v>
      </c>
      <c r="S313" t="s">
        <v>16</v>
      </c>
    </row>
    <row r="314" spans="1:19" x14ac:dyDescent="0.25">
      <c r="A314">
        <v>313</v>
      </c>
      <c r="B314">
        <v>55362662</v>
      </c>
      <c r="C314" t="s">
        <v>792</v>
      </c>
      <c r="D314" t="s">
        <v>17</v>
      </c>
      <c r="E314" t="s">
        <v>793</v>
      </c>
      <c r="F314" t="s">
        <v>794</v>
      </c>
      <c r="H314" t="s">
        <v>2027</v>
      </c>
      <c r="I314">
        <v>5</v>
      </c>
      <c r="J314" t="s">
        <v>1668</v>
      </c>
      <c r="K314" t="s">
        <v>2488</v>
      </c>
      <c r="L314">
        <v>512</v>
      </c>
      <c r="N314" t="s">
        <v>2494</v>
      </c>
      <c r="O314">
        <v>2020</v>
      </c>
      <c r="P314">
        <v>2019</v>
      </c>
      <c r="Q314" s="1">
        <v>45093</v>
      </c>
      <c r="R314" s="1">
        <v>45087</v>
      </c>
      <c r="S314" t="s">
        <v>16</v>
      </c>
    </row>
    <row r="315" spans="1:19" x14ac:dyDescent="0.25">
      <c r="A315">
        <v>314</v>
      </c>
      <c r="B315">
        <v>35819389</v>
      </c>
      <c r="C315" t="s">
        <v>795</v>
      </c>
      <c r="D315" t="s">
        <v>796</v>
      </c>
      <c r="E315" t="s">
        <v>608</v>
      </c>
      <c r="F315" t="s">
        <v>609</v>
      </c>
      <c r="G315" t="s">
        <v>2555</v>
      </c>
      <c r="H315" t="s">
        <v>2028</v>
      </c>
      <c r="I315">
        <v>2</v>
      </c>
      <c r="J315" t="s">
        <v>1939</v>
      </c>
      <c r="K315" t="s">
        <v>112</v>
      </c>
      <c r="L315">
        <v>304</v>
      </c>
      <c r="M315" s="2">
        <v>0.34652777777777777</v>
      </c>
      <c r="N315" t="s">
        <v>2486</v>
      </c>
      <c r="O315">
        <v>2018</v>
      </c>
      <c r="P315">
        <v>2017</v>
      </c>
      <c r="Q315" s="1">
        <v>45093</v>
      </c>
      <c r="R315" s="1">
        <v>45087</v>
      </c>
      <c r="S315" t="s">
        <v>16</v>
      </c>
    </row>
    <row r="316" spans="1:19" x14ac:dyDescent="0.25">
      <c r="A316">
        <v>315</v>
      </c>
      <c r="B316">
        <v>28457648</v>
      </c>
      <c r="C316" t="s">
        <v>797</v>
      </c>
      <c r="D316" t="s">
        <v>17</v>
      </c>
      <c r="E316" t="s">
        <v>798</v>
      </c>
      <c r="F316" t="s">
        <v>799</v>
      </c>
      <c r="H316" t="s">
        <v>2029</v>
      </c>
      <c r="I316">
        <v>4</v>
      </c>
      <c r="J316" t="s">
        <v>1730</v>
      </c>
      <c r="K316" t="s">
        <v>57</v>
      </c>
      <c r="L316">
        <v>295</v>
      </c>
      <c r="N316" t="s">
        <v>2494</v>
      </c>
      <c r="O316">
        <v>2015</v>
      </c>
      <c r="P316">
        <v>2014</v>
      </c>
      <c r="Q316" s="1">
        <v>45088</v>
      </c>
      <c r="R316" s="1">
        <v>45078</v>
      </c>
      <c r="S316" t="s">
        <v>16</v>
      </c>
    </row>
    <row r="317" spans="1:19" x14ac:dyDescent="0.25">
      <c r="A317">
        <v>316</v>
      </c>
      <c r="B317">
        <v>8497652</v>
      </c>
      <c r="C317" t="s">
        <v>800</v>
      </c>
      <c r="D317" t="s">
        <v>2672</v>
      </c>
      <c r="E317" t="s">
        <v>215</v>
      </c>
      <c r="F317" t="s">
        <v>216</v>
      </c>
      <c r="G317" t="s">
        <v>2531</v>
      </c>
      <c r="H317" t="str">
        <f>"9788080857868"</f>
        <v>9788080857868</v>
      </c>
      <c r="I317">
        <v>3</v>
      </c>
      <c r="J317" t="s">
        <v>2532</v>
      </c>
      <c r="K317" t="s">
        <v>112</v>
      </c>
      <c r="L317">
        <v>288</v>
      </c>
      <c r="M317" s="2">
        <v>0.47083333333333333</v>
      </c>
      <c r="N317" t="s">
        <v>2494</v>
      </c>
      <c r="O317">
        <v>2024</v>
      </c>
      <c r="P317">
        <v>2009</v>
      </c>
      <c r="Q317" s="1">
        <v>45087</v>
      </c>
      <c r="R317" s="1">
        <v>45086</v>
      </c>
      <c r="S317" t="s">
        <v>16</v>
      </c>
    </row>
    <row r="318" spans="1:19" x14ac:dyDescent="0.25">
      <c r="A318">
        <v>317</v>
      </c>
      <c r="B318">
        <v>36674219</v>
      </c>
      <c r="C318" t="s">
        <v>2673</v>
      </c>
      <c r="D318" t="s">
        <v>802</v>
      </c>
      <c r="E318" t="s">
        <v>803</v>
      </c>
      <c r="F318" t="s">
        <v>804</v>
      </c>
      <c r="H318" t="s">
        <v>2030</v>
      </c>
      <c r="I318">
        <v>3</v>
      </c>
      <c r="J318" t="s">
        <v>1685</v>
      </c>
      <c r="K318" t="s">
        <v>2488</v>
      </c>
      <c r="L318">
        <v>386</v>
      </c>
      <c r="N318" t="s">
        <v>2486</v>
      </c>
      <c r="O318">
        <v>2018</v>
      </c>
      <c r="P318">
        <v>2018</v>
      </c>
      <c r="Q318" s="1">
        <v>45085</v>
      </c>
      <c r="R318" s="1">
        <v>45083</v>
      </c>
      <c r="S318" t="s">
        <v>16</v>
      </c>
    </row>
    <row r="319" spans="1:19" x14ac:dyDescent="0.25">
      <c r="A319">
        <v>318</v>
      </c>
      <c r="B319">
        <v>53242434</v>
      </c>
      <c r="C319" t="s">
        <v>805</v>
      </c>
      <c r="D319" t="s">
        <v>17</v>
      </c>
      <c r="E319" t="s">
        <v>806</v>
      </c>
      <c r="F319" t="s">
        <v>807</v>
      </c>
      <c r="G319" t="s">
        <v>2496</v>
      </c>
      <c r="H319" t="s">
        <v>2031</v>
      </c>
      <c r="I319">
        <v>2</v>
      </c>
      <c r="J319" t="s">
        <v>2590</v>
      </c>
      <c r="K319" t="s">
        <v>112</v>
      </c>
      <c r="L319">
        <v>464</v>
      </c>
      <c r="M319" s="2">
        <v>0.76875000000000004</v>
      </c>
      <c r="N319" t="s">
        <v>2486</v>
      </c>
      <c r="O319">
        <v>2021</v>
      </c>
      <c r="P319">
        <v>2019</v>
      </c>
      <c r="Q319" s="1">
        <v>45083</v>
      </c>
      <c r="R319" s="1">
        <v>45079</v>
      </c>
      <c r="S319" t="s">
        <v>16</v>
      </c>
    </row>
    <row r="320" spans="1:19" x14ac:dyDescent="0.25">
      <c r="A320">
        <v>319</v>
      </c>
      <c r="B320">
        <v>57106040</v>
      </c>
      <c r="C320" t="s">
        <v>2674</v>
      </c>
      <c r="D320" t="s">
        <v>17</v>
      </c>
      <c r="E320" t="s">
        <v>808</v>
      </c>
      <c r="F320" t="s">
        <v>809</v>
      </c>
      <c r="H320" t="str">
        <f>"9788082071293"</f>
        <v>9788082071293</v>
      </c>
      <c r="I320">
        <v>4</v>
      </c>
      <c r="J320" t="s">
        <v>1829</v>
      </c>
      <c r="K320" t="s">
        <v>2488</v>
      </c>
      <c r="L320">
        <v>366</v>
      </c>
      <c r="N320" t="s">
        <v>2494</v>
      </c>
      <c r="O320">
        <v>2021</v>
      </c>
      <c r="P320">
        <v>2020</v>
      </c>
      <c r="Q320" s="1">
        <v>45079</v>
      </c>
      <c r="R320" s="1">
        <v>45076</v>
      </c>
      <c r="S320" t="s">
        <v>16</v>
      </c>
    </row>
    <row r="321" spans="1:19" x14ac:dyDescent="0.25">
      <c r="A321">
        <v>320</v>
      </c>
      <c r="B321">
        <v>63278853</v>
      </c>
      <c r="C321" t="s">
        <v>810</v>
      </c>
      <c r="D321" t="s">
        <v>17</v>
      </c>
      <c r="E321" t="s">
        <v>70</v>
      </c>
      <c r="F321" t="s">
        <v>71</v>
      </c>
      <c r="H321" t="s">
        <v>2032</v>
      </c>
      <c r="I321">
        <v>3</v>
      </c>
      <c r="J321" t="s">
        <v>2033</v>
      </c>
      <c r="K321" t="s">
        <v>57</v>
      </c>
      <c r="L321">
        <v>376</v>
      </c>
      <c r="N321" t="s">
        <v>2486</v>
      </c>
      <c r="O321">
        <v>2022</v>
      </c>
      <c r="P321">
        <v>2022</v>
      </c>
      <c r="Q321" s="1">
        <v>45078</v>
      </c>
      <c r="R321" s="1">
        <v>45072</v>
      </c>
      <c r="S321" t="s">
        <v>16</v>
      </c>
    </row>
    <row r="322" spans="1:19" x14ac:dyDescent="0.25">
      <c r="A322">
        <v>321</v>
      </c>
      <c r="B322">
        <v>13618118</v>
      </c>
      <c r="C322" t="s">
        <v>811</v>
      </c>
      <c r="D322" t="s">
        <v>17</v>
      </c>
      <c r="E322" t="s">
        <v>785</v>
      </c>
      <c r="F322" t="s">
        <v>786</v>
      </c>
      <c r="H322" t="s">
        <v>2034</v>
      </c>
      <c r="I322">
        <v>3</v>
      </c>
      <c r="J322" t="s">
        <v>1673</v>
      </c>
      <c r="K322" t="s">
        <v>57</v>
      </c>
      <c r="L322">
        <v>295</v>
      </c>
      <c r="N322" t="s">
        <v>2494</v>
      </c>
      <c r="O322">
        <v>2011</v>
      </c>
      <c r="P322">
        <v>2011</v>
      </c>
      <c r="Q322" s="1">
        <v>45067</v>
      </c>
      <c r="R322" s="1">
        <v>45061</v>
      </c>
      <c r="S322" t="s">
        <v>16</v>
      </c>
    </row>
    <row r="323" spans="1:19" x14ac:dyDescent="0.25">
      <c r="A323">
        <v>322</v>
      </c>
      <c r="B323">
        <v>15716872</v>
      </c>
      <c r="C323" t="s">
        <v>812</v>
      </c>
      <c r="D323" t="s">
        <v>2675</v>
      </c>
      <c r="E323" t="s">
        <v>215</v>
      </c>
      <c r="F323" t="s">
        <v>216</v>
      </c>
      <c r="G323" t="s">
        <v>2531</v>
      </c>
      <c r="H323" t="s">
        <v>2035</v>
      </c>
      <c r="I323">
        <v>3</v>
      </c>
      <c r="J323" t="s">
        <v>2532</v>
      </c>
      <c r="K323" t="s">
        <v>112</v>
      </c>
      <c r="L323">
        <v>311</v>
      </c>
      <c r="M323" s="2">
        <v>0.55208333333333337</v>
      </c>
      <c r="N323" t="s">
        <v>2494</v>
      </c>
      <c r="O323">
        <v>2022</v>
      </c>
      <c r="P323">
        <v>2012</v>
      </c>
      <c r="Q323" s="1">
        <v>45064</v>
      </c>
      <c r="R323" s="1">
        <v>45052</v>
      </c>
      <c r="S323" t="s">
        <v>16</v>
      </c>
    </row>
    <row r="324" spans="1:19" x14ac:dyDescent="0.25">
      <c r="A324">
        <v>323</v>
      </c>
      <c r="B324">
        <v>60698677</v>
      </c>
      <c r="C324" t="s">
        <v>815</v>
      </c>
      <c r="D324" t="s">
        <v>17</v>
      </c>
      <c r="E324" t="s">
        <v>816</v>
      </c>
      <c r="F324" t="s">
        <v>817</v>
      </c>
      <c r="H324" t="s">
        <v>2036</v>
      </c>
      <c r="I324">
        <v>4</v>
      </c>
      <c r="J324" t="s">
        <v>2037</v>
      </c>
      <c r="K324" t="s">
        <v>57</v>
      </c>
      <c r="L324">
        <v>194</v>
      </c>
      <c r="N324" t="s">
        <v>2603</v>
      </c>
      <c r="O324">
        <v>2022</v>
      </c>
      <c r="P324">
        <v>2022</v>
      </c>
      <c r="Q324" s="1">
        <v>45055</v>
      </c>
      <c r="R324" s="1">
        <v>44992</v>
      </c>
      <c r="S324" t="s">
        <v>16</v>
      </c>
    </row>
    <row r="325" spans="1:19" x14ac:dyDescent="0.25">
      <c r="A325">
        <v>324</v>
      </c>
      <c r="B325">
        <v>58847516</v>
      </c>
      <c r="C325" t="s">
        <v>818</v>
      </c>
      <c r="D325" t="s">
        <v>17</v>
      </c>
      <c r="E325" t="s">
        <v>819</v>
      </c>
      <c r="F325" t="s">
        <v>820</v>
      </c>
      <c r="H325" t="s">
        <v>2038</v>
      </c>
      <c r="I325">
        <v>4</v>
      </c>
      <c r="J325" t="s">
        <v>1668</v>
      </c>
      <c r="K325" t="s">
        <v>2488</v>
      </c>
      <c r="L325">
        <v>304</v>
      </c>
      <c r="N325" t="s">
        <v>2494</v>
      </c>
      <c r="O325">
        <v>2021</v>
      </c>
      <c r="P325">
        <v>2021</v>
      </c>
      <c r="Q325" s="1">
        <v>45055</v>
      </c>
      <c r="R325" s="1">
        <v>45052</v>
      </c>
      <c r="S325" t="s">
        <v>16</v>
      </c>
    </row>
    <row r="326" spans="1:19" x14ac:dyDescent="0.25">
      <c r="A326">
        <v>325</v>
      </c>
      <c r="B326">
        <v>36300922</v>
      </c>
      <c r="C326" t="s">
        <v>821</v>
      </c>
      <c r="D326" t="s">
        <v>17</v>
      </c>
      <c r="E326" t="s">
        <v>822</v>
      </c>
      <c r="F326" t="s">
        <v>823</v>
      </c>
      <c r="H326" t="s">
        <v>2039</v>
      </c>
      <c r="I326">
        <v>2</v>
      </c>
      <c r="J326" t="s">
        <v>1668</v>
      </c>
      <c r="K326" t="s">
        <v>2488</v>
      </c>
      <c r="L326">
        <v>408</v>
      </c>
      <c r="N326" t="s">
        <v>2494</v>
      </c>
      <c r="O326">
        <v>2017</v>
      </c>
      <c r="P326">
        <v>2015</v>
      </c>
      <c r="Q326" s="1">
        <v>45051</v>
      </c>
      <c r="R326" s="1">
        <v>44997</v>
      </c>
      <c r="S326" t="s">
        <v>16</v>
      </c>
    </row>
    <row r="327" spans="1:19" x14ac:dyDescent="0.25">
      <c r="A327">
        <v>326</v>
      </c>
      <c r="B327">
        <v>30251752</v>
      </c>
      <c r="C327" t="s">
        <v>824</v>
      </c>
      <c r="D327" t="s">
        <v>17</v>
      </c>
      <c r="E327" t="s">
        <v>825</v>
      </c>
      <c r="F327" t="s">
        <v>826</v>
      </c>
      <c r="G327" t="s">
        <v>2676</v>
      </c>
      <c r="H327" t="str">
        <f>"9788075550026"</f>
        <v>9788075550026</v>
      </c>
      <c r="I327">
        <v>4</v>
      </c>
      <c r="J327" t="s">
        <v>1687</v>
      </c>
      <c r="K327" t="s">
        <v>112</v>
      </c>
      <c r="L327">
        <v>280</v>
      </c>
      <c r="M327" s="2">
        <v>0.38124999999999998</v>
      </c>
      <c r="N327" t="s">
        <v>2486</v>
      </c>
      <c r="O327">
        <v>2017</v>
      </c>
      <c r="P327">
        <v>2016</v>
      </c>
      <c r="Q327" s="1">
        <v>45051</v>
      </c>
      <c r="R327" s="1">
        <v>45046</v>
      </c>
      <c r="S327" t="s">
        <v>16</v>
      </c>
    </row>
    <row r="328" spans="1:19" x14ac:dyDescent="0.25">
      <c r="A328">
        <v>327</v>
      </c>
      <c r="B328">
        <v>55872911</v>
      </c>
      <c r="C328" t="s">
        <v>827</v>
      </c>
      <c r="D328" t="s">
        <v>17</v>
      </c>
      <c r="E328" t="s">
        <v>70</v>
      </c>
      <c r="F328" t="s">
        <v>71</v>
      </c>
      <c r="H328" t="str">
        <f>"9788055175584"</f>
        <v>9788055175584</v>
      </c>
      <c r="I328">
        <v>3</v>
      </c>
      <c r="J328" t="s">
        <v>1668</v>
      </c>
      <c r="K328" t="s">
        <v>2488</v>
      </c>
      <c r="L328">
        <v>360</v>
      </c>
      <c r="N328" t="s">
        <v>2494</v>
      </c>
      <c r="O328">
        <v>2020</v>
      </c>
      <c r="P328">
        <v>2020</v>
      </c>
      <c r="Q328" s="1">
        <v>45049</v>
      </c>
      <c r="R328" s="1">
        <v>45044</v>
      </c>
      <c r="S328" t="s">
        <v>16</v>
      </c>
    </row>
    <row r="329" spans="1:19" x14ac:dyDescent="0.25">
      <c r="A329">
        <v>328</v>
      </c>
      <c r="B329">
        <v>29950392</v>
      </c>
      <c r="C329" t="s">
        <v>828</v>
      </c>
      <c r="D329" t="s">
        <v>2677</v>
      </c>
      <c r="E329" t="s">
        <v>215</v>
      </c>
      <c r="F329" t="s">
        <v>216</v>
      </c>
      <c r="G329" t="s">
        <v>2587</v>
      </c>
      <c r="H329" t="s">
        <v>2040</v>
      </c>
      <c r="I329">
        <v>3</v>
      </c>
      <c r="J329" t="s">
        <v>2532</v>
      </c>
      <c r="K329" t="s">
        <v>112</v>
      </c>
      <c r="L329">
        <v>304</v>
      </c>
      <c r="M329" s="2">
        <v>0.40833333333333333</v>
      </c>
      <c r="N329" t="s">
        <v>2494</v>
      </c>
      <c r="O329">
        <v>2016</v>
      </c>
      <c r="P329">
        <v>2016</v>
      </c>
      <c r="Q329" s="1">
        <v>45046</v>
      </c>
      <c r="R329" s="1">
        <v>45043</v>
      </c>
      <c r="S329" t="s">
        <v>16</v>
      </c>
    </row>
    <row r="330" spans="1:19" x14ac:dyDescent="0.25">
      <c r="A330">
        <v>329</v>
      </c>
      <c r="B330">
        <v>18599593</v>
      </c>
      <c r="C330" t="s">
        <v>829</v>
      </c>
      <c r="D330" t="s">
        <v>17</v>
      </c>
      <c r="E330" t="s">
        <v>830</v>
      </c>
      <c r="F330" t="s">
        <v>831</v>
      </c>
      <c r="H330" t="s">
        <v>2041</v>
      </c>
      <c r="I330">
        <v>4</v>
      </c>
      <c r="J330" t="s">
        <v>1723</v>
      </c>
      <c r="K330" t="s">
        <v>2488</v>
      </c>
      <c r="L330">
        <v>408</v>
      </c>
      <c r="N330" t="s">
        <v>2494</v>
      </c>
      <c r="O330">
        <v>2013</v>
      </c>
      <c r="P330">
        <v>2012</v>
      </c>
      <c r="Q330" s="1">
        <v>45043</v>
      </c>
      <c r="R330" s="1">
        <v>45040</v>
      </c>
      <c r="S330" t="s">
        <v>16</v>
      </c>
    </row>
    <row r="331" spans="1:19" x14ac:dyDescent="0.25">
      <c r="A331">
        <v>330</v>
      </c>
      <c r="B331">
        <v>26804549</v>
      </c>
      <c r="C331" t="s">
        <v>832</v>
      </c>
      <c r="D331" t="s">
        <v>2678</v>
      </c>
      <c r="E331" t="s">
        <v>215</v>
      </c>
      <c r="F331" t="s">
        <v>216</v>
      </c>
      <c r="G331" t="s">
        <v>2531</v>
      </c>
      <c r="H331" t="s">
        <v>2042</v>
      </c>
      <c r="I331">
        <v>3</v>
      </c>
      <c r="J331" t="s">
        <v>2532</v>
      </c>
      <c r="K331" t="s">
        <v>112</v>
      </c>
      <c r="L331">
        <v>304</v>
      </c>
      <c r="M331" s="2">
        <v>0.43819444444444444</v>
      </c>
      <c r="N331" t="s">
        <v>2494</v>
      </c>
      <c r="O331">
        <v>2015</v>
      </c>
      <c r="P331">
        <v>2015</v>
      </c>
      <c r="Q331" s="1">
        <v>45042</v>
      </c>
      <c r="R331" s="1">
        <v>45040</v>
      </c>
      <c r="S331" t="s">
        <v>16</v>
      </c>
    </row>
    <row r="332" spans="1:19" x14ac:dyDescent="0.25">
      <c r="A332">
        <v>331</v>
      </c>
      <c r="B332">
        <v>17564785</v>
      </c>
      <c r="C332" t="s">
        <v>833</v>
      </c>
      <c r="D332" t="s">
        <v>2679</v>
      </c>
      <c r="E332" t="s">
        <v>215</v>
      </c>
      <c r="F332" t="s">
        <v>216</v>
      </c>
      <c r="G332" t="s">
        <v>2531</v>
      </c>
      <c r="H332" t="s">
        <v>2043</v>
      </c>
      <c r="I332">
        <v>3</v>
      </c>
      <c r="J332" t="s">
        <v>2532</v>
      </c>
      <c r="K332" t="s">
        <v>112</v>
      </c>
      <c r="L332">
        <v>311</v>
      </c>
      <c r="M332" s="2">
        <v>0.48055555555555557</v>
      </c>
      <c r="N332" t="s">
        <v>2494</v>
      </c>
      <c r="O332">
        <v>2023</v>
      </c>
      <c r="P332">
        <v>2013</v>
      </c>
      <c r="Q332" s="1">
        <v>45040</v>
      </c>
      <c r="R332" s="1">
        <v>45023</v>
      </c>
      <c r="S332" t="s">
        <v>16</v>
      </c>
    </row>
    <row r="333" spans="1:19" x14ac:dyDescent="0.25">
      <c r="A333">
        <v>332</v>
      </c>
      <c r="B333">
        <v>53078860</v>
      </c>
      <c r="C333" t="s">
        <v>834</v>
      </c>
      <c r="D333" t="s">
        <v>835</v>
      </c>
      <c r="E333" t="s">
        <v>530</v>
      </c>
      <c r="F333" t="s">
        <v>531</v>
      </c>
      <c r="H333" t="s">
        <v>2044</v>
      </c>
      <c r="I333">
        <v>5</v>
      </c>
      <c r="J333" t="s">
        <v>1759</v>
      </c>
      <c r="K333" t="s">
        <v>2488</v>
      </c>
      <c r="L333">
        <v>528</v>
      </c>
      <c r="N333" t="s">
        <v>2494</v>
      </c>
      <c r="O333">
        <v>2020</v>
      </c>
      <c r="P333">
        <v>2019</v>
      </c>
      <c r="Q333" s="1">
        <v>45039</v>
      </c>
      <c r="R333" s="1">
        <v>45035</v>
      </c>
      <c r="S333" t="s">
        <v>16</v>
      </c>
    </row>
    <row r="334" spans="1:19" x14ac:dyDescent="0.25">
      <c r="A334">
        <v>333</v>
      </c>
      <c r="B334">
        <v>60054880</v>
      </c>
      <c r="C334" t="s">
        <v>836</v>
      </c>
      <c r="D334" t="s">
        <v>17</v>
      </c>
      <c r="E334" t="s">
        <v>837</v>
      </c>
      <c r="F334" t="s">
        <v>838</v>
      </c>
      <c r="G334" t="s">
        <v>2630</v>
      </c>
      <c r="H334" t="s">
        <v>2045</v>
      </c>
      <c r="I334">
        <v>4</v>
      </c>
      <c r="J334" t="s">
        <v>1919</v>
      </c>
      <c r="K334" t="s">
        <v>112</v>
      </c>
      <c r="L334">
        <v>352</v>
      </c>
      <c r="M334" s="2">
        <v>0.57708333333333328</v>
      </c>
      <c r="N334" t="s">
        <v>2486</v>
      </c>
      <c r="O334">
        <v>2023</v>
      </c>
      <c r="P334">
        <v>2019</v>
      </c>
      <c r="Q334" s="1">
        <v>45036</v>
      </c>
      <c r="R334" s="1">
        <v>45023</v>
      </c>
      <c r="S334" t="s">
        <v>16</v>
      </c>
    </row>
    <row r="335" spans="1:19" x14ac:dyDescent="0.25">
      <c r="A335">
        <v>334</v>
      </c>
      <c r="B335">
        <v>45286241</v>
      </c>
      <c r="C335" t="s">
        <v>839</v>
      </c>
      <c r="D335" t="s">
        <v>840</v>
      </c>
      <c r="E335" t="s">
        <v>530</v>
      </c>
      <c r="F335" t="s">
        <v>531</v>
      </c>
      <c r="H335" t="s">
        <v>2046</v>
      </c>
      <c r="I335">
        <v>4</v>
      </c>
      <c r="J335" t="s">
        <v>2047</v>
      </c>
      <c r="K335" t="s">
        <v>2488</v>
      </c>
      <c r="L335">
        <v>440</v>
      </c>
      <c r="N335" t="s">
        <v>2494</v>
      </c>
      <c r="O335">
        <v>2019</v>
      </c>
      <c r="P335">
        <v>2018</v>
      </c>
      <c r="Q335" s="1">
        <v>45034</v>
      </c>
      <c r="R335" s="1">
        <v>45017</v>
      </c>
      <c r="S335" t="s">
        <v>16</v>
      </c>
    </row>
    <row r="336" spans="1:19" x14ac:dyDescent="0.25">
      <c r="A336">
        <v>335</v>
      </c>
      <c r="B336">
        <v>11279216</v>
      </c>
      <c r="C336" t="s">
        <v>841</v>
      </c>
      <c r="D336" t="s">
        <v>842</v>
      </c>
      <c r="E336" t="s">
        <v>843</v>
      </c>
      <c r="F336" t="s">
        <v>844</v>
      </c>
      <c r="H336" t="str">
        <f>"9788073031039"</f>
        <v>9788073031039</v>
      </c>
      <c r="I336">
        <v>2</v>
      </c>
      <c r="J336" t="s">
        <v>1668</v>
      </c>
      <c r="K336" t="s">
        <v>2488</v>
      </c>
      <c r="L336">
        <v>401</v>
      </c>
      <c r="N336" t="s">
        <v>2494</v>
      </c>
      <c r="O336">
        <v>2002</v>
      </c>
      <c r="P336">
        <v>1998</v>
      </c>
      <c r="Q336" s="1">
        <v>45033</v>
      </c>
      <c r="R336" s="1">
        <v>45030</v>
      </c>
      <c r="S336" t="s">
        <v>16</v>
      </c>
    </row>
    <row r="337" spans="1:19" x14ac:dyDescent="0.25">
      <c r="A337">
        <v>336</v>
      </c>
      <c r="B337">
        <v>33022148</v>
      </c>
      <c r="C337" t="s">
        <v>845</v>
      </c>
      <c r="D337" t="s">
        <v>846</v>
      </c>
      <c r="E337" t="s">
        <v>608</v>
      </c>
      <c r="F337" t="s">
        <v>609</v>
      </c>
      <c r="G337" t="s">
        <v>2555</v>
      </c>
      <c r="H337" t="s">
        <v>2048</v>
      </c>
      <c r="I337">
        <v>2</v>
      </c>
      <c r="J337" t="s">
        <v>1939</v>
      </c>
      <c r="K337" t="s">
        <v>112</v>
      </c>
      <c r="L337">
        <v>320</v>
      </c>
      <c r="M337" s="2">
        <v>0.35833333333333334</v>
      </c>
      <c r="N337" t="s">
        <v>2486</v>
      </c>
      <c r="O337">
        <v>2018</v>
      </c>
      <c r="P337">
        <v>2016</v>
      </c>
      <c r="Q337" s="1">
        <v>45032</v>
      </c>
      <c r="R337" s="1">
        <v>45029</v>
      </c>
      <c r="S337" t="s">
        <v>16</v>
      </c>
    </row>
    <row r="338" spans="1:19" x14ac:dyDescent="0.25">
      <c r="A338">
        <v>337</v>
      </c>
      <c r="B338">
        <v>19545736</v>
      </c>
      <c r="C338" t="s">
        <v>847</v>
      </c>
      <c r="D338" t="s">
        <v>848</v>
      </c>
      <c r="E338" t="s">
        <v>849</v>
      </c>
      <c r="F338" t="s">
        <v>850</v>
      </c>
      <c r="G338" t="s">
        <v>2680</v>
      </c>
      <c r="H338" t="s">
        <v>2049</v>
      </c>
      <c r="I338">
        <v>3</v>
      </c>
      <c r="J338" t="s">
        <v>2658</v>
      </c>
      <c r="K338" t="s">
        <v>112</v>
      </c>
      <c r="L338">
        <v>280</v>
      </c>
      <c r="M338" s="2">
        <v>0.37013888888888891</v>
      </c>
      <c r="N338" t="s">
        <v>2486</v>
      </c>
      <c r="O338">
        <v>2023</v>
      </c>
      <c r="P338">
        <v>2014</v>
      </c>
      <c r="Q338" s="1">
        <v>45016</v>
      </c>
      <c r="R338" s="1">
        <v>45012</v>
      </c>
      <c r="S338" t="s">
        <v>16</v>
      </c>
    </row>
    <row r="339" spans="1:19" x14ac:dyDescent="0.25">
      <c r="A339">
        <v>338</v>
      </c>
      <c r="B339">
        <v>52693589</v>
      </c>
      <c r="C339" t="s">
        <v>851</v>
      </c>
      <c r="D339" t="s">
        <v>17</v>
      </c>
      <c r="E339" t="s">
        <v>35</v>
      </c>
      <c r="F339" t="s">
        <v>36</v>
      </c>
      <c r="G339" t="s">
        <v>2667</v>
      </c>
      <c r="H339" t="s">
        <v>2050</v>
      </c>
      <c r="I339">
        <v>3</v>
      </c>
      <c r="J339" t="s">
        <v>1759</v>
      </c>
      <c r="K339" t="s">
        <v>112</v>
      </c>
      <c r="L339">
        <v>328</v>
      </c>
      <c r="M339" s="2">
        <v>0.45763888888888887</v>
      </c>
      <c r="N339" t="s">
        <v>2494</v>
      </c>
      <c r="O339">
        <v>2021</v>
      </c>
      <c r="P339">
        <v>2019</v>
      </c>
      <c r="Q339" s="1">
        <v>45015</v>
      </c>
      <c r="R339" s="1">
        <v>44982</v>
      </c>
      <c r="S339" t="s">
        <v>16</v>
      </c>
    </row>
    <row r="340" spans="1:19" x14ac:dyDescent="0.25">
      <c r="A340">
        <v>339</v>
      </c>
      <c r="B340">
        <v>39204543</v>
      </c>
      <c r="C340" t="s">
        <v>852</v>
      </c>
      <c r="D340" t="s">
        <v>853</v>
      </c>
      <c r="E340" t="s">
        <v>530</v>
      </c>
      <c r="F340" t="s">
        <v>531</v>
      </c>
      <c r="H340" t="s">
        <v>2051</v>
      </c>
      <c r="I340">
        <v>4</v>
      </c>
      <c r="J340" t="s">
        <v>2047</v>
      </c>
      <c r="K340" t="s">
        <v>2488</v>
      </c>
      <c r="L340">
        <v>384</v>
      </c>
      <c r="N340" t="s">
        <v>2494</v>
      </c>
      <c r="O340">
        <v>2018</v>
      </c>
      <c r="P340">
        <v>2016</v>
      </c>
      <c r="Q340" s="1">
        <v>45015</v>
      </c>
      <c r="R340" s="1">
        <v>45005</v>
      </c>
      <c r="S340" t="s">
        <v>16</v>
      </c>
    </row>
    <row r="341" spans="1:19" x14ac:dyDescent="0.25">
      <c r="A341">
        <v>340</v>
      </c>
      <c r="B341">
        <v>52078702</v>
      </c>
      <c r="C341" t="s">
        <v>854</v>
      </c>
      <c r="D341" t="s">
        <v>17</v>
      </c>
      <c r="E341" t="s">
        <v>290</v>
      </c>
      <c r="F341" t="s">
        <v>291</v>
      </c>
      <c r="G341" t="s">
        <v>2681</v>
      </c>
      <c r="H341" t="s">
        <v>2052</v>
      </c>
      <c r="I341">
        <v>3</v>
      </c>
      <c r="J341" t="s">
        <v>2682</v>
      </c>
      <c r="K341" t="s">
        <v>112</v>
      </c>
      <c r="L341">
        <v>223</v>
      </c>
      <c r="M341" s="2">
        <v>0.37291666666666667</v>
      </c>
      <c r="N341" t="s">
        <v>2486</v>
      </c>
      <c r="O341">
        <v>2020</v>
      </c>
      <c r="P341">
        <v>2020</v>
      </c>
      <c r="Q341" s="1">
        <v>44696</v>
      </c>
      <c r="R341" s="1">
        <v>45011</v>
      </c>
      <c r="S341" t="s">
        <v>16</v>
      </c>
    </row>
    <row r="342" spans="1:19" x14ac:dyDescent="0.25">
      <c r="A342">
        <v>341</v>
      </c>
      <c r="B342">
        <v>26122202</v>
      </c>
      <c r="C342" t="s">
        <v>855</v>
      </c>
      <c r="D342" t="s">
        <v>17</v>
      </c>
      <c r="E342" t="s">
        <v>856</v>
      </c>
      <c r="F342" t="s">
        <v>857</v>
      </c>
      <c r="H342" t="s">
        <v>2053</v>
      </c>
      <c r="I342">
        <v>4</v>
      </c>
      <c r="J342" t="s">
        <v>2054</v>
      </c>
      <c r="K342" t="s">
        <v>57</v>
      </c>
      <c r="L342">
        <v>312</v>
      </c>
      <c r="N342" t="s">
        <v>2486</v>
      </c>
      <c r="O342">
        <v>2015</v>
      </c>
      <c r="P342">
        <v>1988</v>
      </c>
      <c r="Q342" s="1">
        <v>45011</v>
      </c>
      <c r="R342" s="1">
        <v>44932</v>
      </c>
      <c r="S342" t="s">
        <v>16</v>
      </c>
    </row>
    <row r="343" spans="1:19" x14ac:dyDescent="0.25">
      <c r="A343">
        <v>342</v>
      </c>
      <c r="B343">
        <v>37796866</v>
      </c>
      <c r="C343" t="s">
        <v>858</v>
      </c>
      <c r="D343" t="s">
        <v>17</v>
      </c>
      <c r="E343" t="s">
        <v>859</v>
      </c>
      <c r="F343" t="s">
        <v>860</v>
      </c>
      <c r="H343" t="s">
        <v>2055</v>
      </c>
      <c r="I343">
        <v>4</v>
      </c>
      <c r="J343" t="s">
        <v>2056</v>
      </c>
      <c r="K343" t="s">
        <v>57</v>
      </c>
      <c r="L343">
        <v>336</v>
      </c>
      <c r="N343" t="s">
        <v>2486</v>
      </c>
      <c r="O343">
        <v>2018</v>
      </c>
      <c r="P343">
        <v>2018</v>
      </c>
      <c r="Q343" s="1">
        <v>45009</v>
      </c>
      <c r="R343" s="1">
        <v>45003</v>
      </c>
      <c r="S343" t="s">
        <v>16</v>
      </c>
    </row>
    <row r="344" spans="1:19" x14ac:dyDescent="0.25">
      <c r="A344">
        <v>343</v>
      </c>
      <c r="B344">
        <v>34998833</v>
      </c>
      <c r="C344" t="s">
        <v>861</v>
      </c>
      <c r="D344" t="s">
        <v>17</v>
      </c>
      <c r="E344" t="s">
        <v>224</v>
      </c>
      <c r="F344" t="s">
        <v>225</v>
      </c>
      <c r="G344" t="s">
        <v>2683</v>
      </c>
      <c r="H344" t="s">
        <v>2057</v>
      </c>
      <c r="I344">
        <v>3</v>
      </c>
      <c r="J344" t="s">
        <v>2492</v>
      </c>
      <c r="K344" t="s">
        <v>112</v>
      </c>
      <c r="L344">
        <v>414</v>
      </c>
      <c r="M344" s="2">
        <v>0.40138888888888891</v>
      </c>
      <c r="N344" t="s">
        <v>2486</v>
      </c>
      <c r="O344">
        <v>2017</v>
      </c>
      <c r="P344">
        <v>2017</v>
      </c>
      <c r="Q344" s="1">
        <v>45008</v>
      </c>
      <c r="R344" s="1">
        <v>45006</v>
      </c>
      <c r="S344" t="s">
        <v>16</v>
      </c>
    </row>
    <row r="345" spans="1:19" x14ac:dyDescent="0.25">
      <c r="A345">
        <v>344</v>
      </c>
      <c r="B345">
        <v>60566173</v>
      </c>
      <c r="C345" t="s">
        <v>862</v>
      </c>
      <c r="D345" t="s">
        <v>17</v>
      </c>
      <c r="E345" t="s">
        <v>302</v>
      </c>
      <c r="F345" t="s">
        <v>303</v>
      </c>
      <c r="H345" t="s">
        <v>2058</v>
      </c>
      <c r="I345">
        <v>3</v>
      </c>
      <c r="J345" t="s">
        <v>1723</v>
      </c>
      <c r="K345" t="s">
        <v>2488</v>
      </c>
      <c r="L345">
        <v>744</v>
      </c>
      <c r="N345" t="s">
        <v>2494</v>
      </c>
      <c r="O345">
        <v>2022</v>
      </c>
      <c r="P345">
        <v>2021</v>
      </c>
      <c r="Q345" s="1">
        <v>45006</v>
      </c>
      <c r="R345" s="1">
        <v>45002</v>
      </c>
      <c r="S345" t="s">
        <v>16</v>
      </c>
    </row>
    <row r="346" spans="1:19" x14ac:dyDescent="0.25">
      <c r="A346">
        <v>345</v>
      </c>
      <c r="B346">
        <v>52144720</v>
      </c>
      <c r="C346" t="s">
        <v>863</v>
      </c>
      <c r="D346" t="s">
        <v>17</v>
      </c>
      <c r="E346" t="s">
        <v>864</v>
      </c>
      <c r="F346" t="s">
        <v>865</v>
      </c>
      <c r="G346" t="s">
        <v>2684</v>
      </c>
      <c r="H346" t="s">
        <v>2059</v>
      </c>
      <c r="I346">
        <v>3</v>
      </c>
      <c r="J346" t="s">
        <v>1675</v>
      </c>
      <c r="K346" t="s">
        <v>112</v>
      </c>
      <c r="L346">
        <v>376</v>
      </c>
      <c r="M346" s="2">
        <v>0.50486111111111109</v>
      </c>
      <c r="N346" t="s">
        <v>2486</v>
      </c>
      <c r="O346">
        <v>2018</v>
      </c>
      <c r="P346">
        <v>2018</v>
      </c>
      <c r="Q346" s="1">
        <v>45005</v>
      </c>
      <c r="R346" s="1">
        <v>45000</v>
      </c>
      <c r="S346" t="s">
        <v>16</v>
      </c>
    </row>
    <row r="347" spans="1:19" x14ac:dyDescent="0.25">
      <c r="A347">
        <v>346</v>
      </c>
      <c r="B347">
        <v>31790529</v>
      </c>
      <c r="C347" t="s">
        <v>2685</v>
      </c>
      <c r="D347" t="s">
        <v>17</v>
      </c>
      <c r="E347" t="s">
        <v>170</v>
      </c>
      <c r="F347" t="s">
        <v>171</v>
      </c>
      <c r="H347" t="s">
        <v>2060</v>
      </c>
      <c r="I347">
        <v>3</v>
      </c>
      <c r="J347" t="s">
        <v>2686</v>
      </c>
      <c r="K347" t="s">
        <v>57</v>
      </c>
      <c r="L347">
        <v>648</v>
      </c>
      <c r="N347" t="s">
        <v>2486</v>
      </c>
      <c r="O347">
        <v>2019</v>
      </c>
      <c r="P347">
        <v>2016</v>
      </c>
      <c r="Q347" s="1">
        <v>45004</v>
      </c>
      <c r="R347" s="1">
        <v>45000</v>
      </c>
      <c r="S347" t="s">
        <v>16</v>
      </c>
    </row>
    <row r="348" spans="1:19" x14ac:dyDescent="0.25">
      <c r="A348">
        <v>347</v>
      </c>
      <c r="B348">
        <v>40596733</v>
      </c>
      <c r="C348" t="s">
        <v>866</v>
      </c>
      <c r="D348" t="s">
        <v>17</v>
      </c>
      <c r="E348" t="s">
        <v>867</v>
      </c>
      <c r="F348" t="s">
        <v>868</v>
      </c>
      <c r="H348" t="s">
        <v>2061</v>
      </c>
      <c r="I348">
        <v>2</v>
      </c>
      <c r="J348" t="s">
        <v>2687</v>
      </c>
      <c r="K348" t="s">
        <v>2488</v>
      </c>
      <c r="L348">
        <v>336</v>
      </c>
      <c r="N348" t="s">
        <v>2494</v>
      </c>
      <c r="O348">
        <v>2018</v>
      </c>
      <c r="P348">
        <v>2016</v>
      </c>
      <c r="Q348" s="1">
        <v>44998</v>
      </c>
      <c r="R348" s="1">
        <v>44993</v>
      </c>
      <c r="S348" t="s">
        <v>16</v>
      </c>
    </row>
    <row r="349" spans="1:19" x14ac:dyDescent="0.25">
      <c r="A349">
        <v>348</v>
      </c>
      <c r="B349">
        <v>43166193</v>
      </c>
      <c r="C349" t="s">
        <v>873</v>
      </c>
      <c r="D349" t="s">
        <v>17</v>
      </c>
      <c r="E349" t="s">
        <v>869</v>
      </c>
      <c r="F349" t="s">
        <v>870</v>
      </c>
      <c r="H349" t="s">
        <v>2062</v>
      </c>
      <c r="I349">
        <v>5</v>
      </c>
      <c r="J349" t="s">
        <v>1770</v>
      </c>
      <c r="K349" t="s">
        <v>2488</v>
      </c>
      <c r="L349">
        <v>144</v>
      </c>
      <c r="N349" t="s">
        <v>2494</v>
      </c>
      <c r="O349">
        <v>2018</v>
      </c>
      <c r="P349">
        <v>2017</v>
      </c>
      <c r="Q349" s="1">
        <v>44992</v>
      </c>
      <c r="R349" s="1">
        <v>44992</v>
      </c>
      <c r="S349" t="s">
        <v>16</v>
      </c>
    </row>
    <row r="350" spans="1:19" x14ac:dyDescent="0.25">
      <c r="A350">
        <v>349</v>
      </c>
      <c r="B350">
        <v>18220067</v>
      </c>
      <c r="C350" t="s">
        <v>874</v>
      </c>
      <c r="D350" t="s">
        <v>17</v>
      </c>
      <c r="E350" t="s">
        <v>875</v>
      </c>
      <c r="F350" t="s">
        <v>876</v>
      </c>
      <c r="H350" t="s">
        <v>2063</v>
      </c>
      <c r="I350">
        <v>1</v>
      </c>
      <c r="J350" t="s">
        <v>2687</v>
      </c>
      <c r="K350" t="s">
        <v>2488</v>
      </c>
      <c r="L350">
        <v>224</v>
      </c>
      <c r="N350" t="s">
        <v>2494</v>
      </c>
      <c r="O350">
        <v>2019</v>
      </c>
      <c r="P350">
        <v>1965</v>
      </c>
      <c r="Q350" s="1">
        <v>44992</v>
      </c>
      <c r="R350" s="1">
        <v>44987</v>
      </c>
      <c r="S350" t="s">
        <v>16</v>
      </c>
    </row>
    <row r="351" spans="1:19" x14ac:dyDescent="0.25">
      <c r="A351">
        <v>350</v>
      </c>
      <c r="B351">
        <v>52748829</v>
      </c>
      <c r="C351" t="s">
        <v>877</v>
      </c>
      <c r="D351" t="s">
        <v>17</v>
      </c>
      <c r="E351" t="s">
        <v>616</v>
      </c>
      <c r="F351" t="s">
        <v>617</v>
      </c>
      <c r="H351" t="s">
        <v>2064</v>
      </c>
      <c r="I351">
        <v>3</v>
      </c>
      <c r="J351" t="s">
        <v>1723</v>
      </c>
      <c r="K351" t="s">
        <v>2488</v>
      </c>
      <c r="L351">
        <v>304</v>
      </c>
      <c r="N351" t="s">
        <v>2494</v>
      </c>
      <c r="O351">
        <v>2019</v>
      </c>
      <c r="P351">
        <v>2017</v>
      </c>
      <c r="Q351" s="1">
        <v>44991</v>
      </c>
      <c r="R351" s="1">
        <v>44985</v>
      </c>
      <c r="S351" t="s">
        <v>16</v>
      </c>
    </row>
    <row r="352" spans="1:19" x14ac:dyDescent="0.25">
      <c r="A352">
        <v>351</v>
      </c>
      <c r="B352">
        <v>31946632</v>
      </c>
      <c r="C352" t="s">
        <v>878</v>
      </c>
      <c r="D352" t="s">
        <v>879</v>
      </c>
      <c r="E352" t="s">
        <v>302</v>
      </c>
      <c r="F352" t="s">
        <v>303</v>
      </c>
      <c r="H352" t="s">
        <v>2065</v>
      </c>
      <c r="I352">
        <v>4</v>
      </c>
      <c r="J352" t="s">
        <v>1723</v>
      </c>
      <c r="K352" t="s">
        <v>57</v>
      </c>
      <c r="L352">
        <v>1022</v>
      </c>
      <c r="N352" t="s">
        <v>2486</v>
      </c>
      <c r="O352">
        <v>2011</v>
      </c>
      <c r="P352">
        <v>2007</v>
      </c>
      <c r="Q352" s="1">
        <v>44991</v>
      </c>
      <c r="R352" s="1">
        <v>44936</v>
      </c>
      <c r="S352" t="s">
        <v>16</v>
      </c>
    </row>
    <row r="353" spans="1:19" x14ac:dyDescent="0.25">
      <c r="A353">
        <v>352</v>
      </c>
      <c r="B353">
        <v>43687455</v>
      </c>
      <c r="C353" t="s">
        <v>880</v>
      </c>
      <c r="D353" t="s">
        <v>17</v>
      </c>
      <c r="E353" t="s">
        <v>881</v>
      </c>
      <c r="F353" t="s">
        <v>882</v>
      </c>
      <c r="H353" t="s">
        <v>2066</v>
      </c>
      <c r="I353">
        <v>3</v>
      </c>
      <c r="J353" t="s">
        <v>1668</v>
      </c>
      <c r="K353" t="s">
        <v>2488</v>
      </c>
      <c r="L353">
        <v>392</v>
      </c>
      <c r="N353" t="s">
        <v>2494</v>
      </c>
      <c r="O353">
        <v>2019</v>
      </c>
      <c r="P353">
        <v>2018</v>
      </c>
      <c r="Q353" s="1">
        <v>44989</v>
      </c>
      <c r="R353" s="1">
        <v>44987</v>
      </c>
      <c r="S353" t="s">
        <v>16</v>
      </c>
    </row>
    <row r="354" spans="1:19" x14ac:dyDescent="0.25">
      <c r="A354">
        <v>353</v>
      </c>
      <c r="B354">
        <v>12275939</v>
      </c>
      <c r="C354" t="s">
        <v>883</v>
      </c>
      <c r="D354" t="s">
        <v>2688</v>
      </c>
      <c r="E354" t="s">
        <v>215</v>
      </c>
      <c r="F354" t="s">
        <v>216</v>
      </c>
      <c r="G354" t="s">
        <v>2531</v>
      </c>
      <c r="H354" t="s">
        <v>2067</v>
      </c>
      <c r="I354">
        <v>3</v>
      </c>
      <c r="J354" t="s">
        <v>2532</v>
      </c>
      <c r="K354" t="s">
        <v>112</v>
      </c>
      <c r="L354">
        <v>400</v>
      </c>
      <c r="M354" s="2">
        <v>0.67222222222222228</v>
      </c>
      <c r="N354" t="s">
        <v>2494</v>
      </c>
      <c r="O354">
        <v>2023</v>
      </c>
      <c r="P354">
        <v>2007</v>
      </c>
      <c r="Q354" s="1">
        <v>44985</v>
      </c>
      <c r="R354" s="1">
        <v>44979</v>
      </c>
      <c r="S354" t="s">
        <v>16</v>
      </c>
    </row>
    <row r="355" spans="1:19" x14ac:dyDescent="0.25">
      <c r="A355">
        <v>354</v>
      </c>
      <c r="B355">
        <v>61682979</v>
      </c>
      <c r="C355" t="s">
        <v>884</v>
      </c>
      <c r="D355" t="s">
        <v>17</v>
      </c>
      <c r="E355" t="s">
        <v>616</v>
      </c>
      <c r="F355" t="s">
        <v>617</v>
      </c>
      <c r="H355" t="s">
        <v>2068</v>
      </c>
      <c r="I355">
        <v>4</v>
      </c>
      <c r="J355" t="s">
        <v>1723</v>
      </c>
      <c r="K355" t="s">
        <v>2488</v>
      </c>
      <c r="L355">
        <v>400</v>
      </c>
      <c r="N355" t="s">
        <v>2494</v>
      </c>
      <c r="O355">
        <v>2022</v>
      </c>
      <c r="P355">
        <v>2021</v>
      </c>
      <c r="Q355" s="1">
        <v>44985</v>
      </c>
      <c r="R355" s="1">
        <v>44981</v>
      </c>
      <c r="S355" t="s">
        <v>16</v>
      </c>
    </row>
    <row r="356" spans="1:19" x14ac:dyDescent="0.25">
      <c r="A356">
        <v>355</v>
      </c>
      <c r="B356">
        <v>53244120</v>
      </c>
      <c r="C356" t="s">
        <v>885</v>
      </c>
      <c r="D356" t="s">
        <v>17</v>
      </c>
      <c r="E356" t="s">
        <v>886</v>
      </c>
      <c r="F356" t="s">
        <v>887</v>
      </c>
      <c r="H356" t="s">
        <v>2069</v>
      </c>
      <c r="I356">
        <v>4</v>
      </c>
      <c r="J356" t="s">
        <v>1673</v>
      </c>
      <c r="K356" t="s">
        <v>2488</v>
      </c>
      <c r="L356">
        <v>424</v>
      </c>
      <c r="N356" t="s">
        <v>2494</v>
      </c>
      <c r="O356">
        <v>2020</v>
      </c>
      <c r="P356">
        <v>2019</v>
      </c>
      <c r="Q356" s="1">
        <v>44981</v>
      </c>
      <c r="R356" s="1">
        <v>44977</v>
      </c>
      <c r="S356" t="s">
        <v>16</v>
      </c>
    </row>
    <row r="357" spans="1:19" x14ac:dyDescent="0.25">
      <c r="A357">
        <v>356</v>
      </c>
      <c r="B357">
        <v>33359969</v>
      </c>
      <c r="C357" t="s">
        <v>888</v>
      </c>
      <c r="D357" t="s">
        <v>17</v>
      </c>
      <c r="E357" t="s">
        <v>889</v>
      </c>
      <c r="F357" t="s">
        <v>890</v>
      </c>
      <c r="G357" t="s">
        <v>2689</v>
      </c>
      <c r="H357" t="s">
        <v>2070</v>
      </c>
      <c r="I357">
        <v>4</v>
      </c>
      <c r="J357" t="s">
        <v>2690</v>
      </c>
      <c r="K357" t="s">
        <v>112</v>
      </c>
      <c r="L357">
        <v>296</v>
      </c>
      <c r="N357" t="s">
        <v>2486</v>
      </c>
      <c r="O357">
        <v>2017</v>
      </c>
      <c r="P357">
        <v>2012</v>
      </c>
      <c r="Q357" s="1">
        <v>44975</v>
      </c>
      <c r="R357" s="1">
        <v>44970</v>
      </c>
      <c r="S357" t="s">
        <v>16</v>
      </c>
    </row>
    <row r="358" spans="1:19" x14ac:dyDescent="0.25">
      <c r="A358">
        <v>357</v>
      </c>
      <c r="B358">
        <v>19085317</v>
      </c>
      <c r="C358" t="s">
        <v>891</v>
      </c>
      <c r="D358" t="s">
        <v>17</v>
      </c>
      <c r="E358" t="s">
        <v>892</v>
      </c>
      <c r="F358" t="s">
        <v>893</v>
      </c>
      <c r="H358" t="str">
        <f>"9788086685793"</f>
        <v>9788086685793</v>
      </c>
      <c r="I358">
        <v>1</v>
      </c>
      <c r="J358" t="s">
        <v>2071</v>
      </c>
      <c r="K358" t="s">
        <v>2488</v>
      </c>
      <c r="L358">
        <v>176</v>
      </c>
      <c r="N358" t="s">
        <v>2486</v>
      </c>
      <c r="O358">
        <v>2007</v>
      </c>
      <c r="P358">
        <v>1975</v>
      </c>
      <c r="Q358" s="1">
        <v>44974</v>
      </c>
      <c r="R358" s="1">
        <v>44966</v>
      </c>
      <c r="S358" t="s">
        <v>16</v>
      </c>
    </row>
    <row r="359" spans="1:19" x14ac:dyDescent="0.25">
      <c r="A359">
        <v>358</v>
      </c>
      <c r="B359">
        <v>10692648</v>
      </c>
      <c r="C359" t="s">
        <v>894</v>
      </c>
      <c r="D359" t="s">
        <v>2691</v>
      </c>
      <c r="E359" t="s">
        <v>215</v>
      </c>
      <c r="F359" t="s">
        <v>216</v>
      </c>
      <c r="G359" t="s">
        <v>2531</v>
      </c>
      <c r="H359" t="s">
        <v>2072</v>
      </c>
      <c r="I359">
        <v>3</v>
      </c>
      <c r="J359" t="s">
        <v>2532</v>
      </c>
      <c r="K359" t="s">
        <v>112</v>
      </c>
      <c r="L359">
        <v>302</v>
      </c>
      <c r="M359" s="2">
        <v>0.49027777777777776</v>
      </c>
      <c r="N359" t="s">
        <v>2494</v>
      </c>
      <c r="O359">
        <v>2021</v>
      </c>
      <c r="P359">
        <v>2006</v>
      </c>
      <c r="Q359" s="1">
        <v>44969</v>
      </c>
      <c r="R359" s="1">
        <v>44966</v>
      </c>
      <c r="S359" t="s">
        <v>16</v>
      </c>
    </row>
    <row r="360" spans="1:19" x14ac:dyDescent="0.25">
      <c r="A360">
        <v>359</v>
      </c>
      <c r="B360">
        <v>22079837</v>
      </c>
      <c r="C360" t="s">
        <v>895</v>
      </c>
      <c r="D360" t="s">
        <v>896</v>
      </c>
      <c r="E360" t="s">
        <v>287</v>
      </c>
      <c r="F360" t="s">
        <v>288</v>
      </c>
      <c r="H360" t="s">
        <v>2073</v>
      </c>
      <c r="I360">
        <v>4</v>
      </c>
      <c r="J360" t="s">
        <v>1668</v>
      </c>
      <c r="K360" t="s">
        <v>2488</v>
      </c>
      <c r="L360">
        <v>672</v>
      </c>
      <c r="N360" t="s">
        <v>2494</v>
      </c>
      <c r="O360">
        <v>2014</v>
      </c>
      <c r="P360">
        <v>1977</v>
      </c>
      <c r="Q360" s="1">
        <v>44969</v>
      </c>
      <c r="R360" s="1">
        <v>44959</v>
      </c>
      <c r="S360" t="s">
        <v>16</v>
      </c>
    </row>
    <row r="361" spans="1:19" x14ac:dyDescent="0.25">
      <c r="A361">
        <v>360</v>
      </c>
      <c r="B361">
        <v>10633907</v>
      </c>
      <c r="C361" t="s">
        <v>897</v>
      </c>
      <c r="D361" t="s">
        <v>2692</v>
      </c>
      <c r="E361" t="s">
        <v>215</v>
      </c>
      <c r="F361" t="s">
        <v>216</v>
      </c>
      <c r="G361" t="s">
        <v>2587</v>
      </c>
      <c r="H361" t="s">
        <v>2074</v>
      </c>
      <c r="I361">
        <v>3</v>
      </c>
      <c r="J361" t="s">
        <v>2532</v>
      </c>
      <c r="K361" t="s">
        <v>112</v>
      </c>
      <c r="L361">
        <v>288</v>
      </c>
      <c r="M361" s="2">
        <v>0.47013888888888888</v>
      </c>
      <c r="N361" t="s">
        <v>2494</v>
      </c>
      <c r="O361">
        <v>2018</v>
      </c>
      <c r="P361">
        <v>2006</v>
      </c>
      <c r="Q361" s="1">
        <v>44965</v>
      </c>
      <c r="R361" s="1">
        <v>44960</v>
      </c>
      <c r="S361" t="s">
        <v>16</v>
      </c>
    </row>
    <row r="362" spans="1:19" x14ac:dyDescent="0.25">
      <c r="A362">
        <v>361</v>
      </c>
      <c r="B362">
        <v>6616363</v>
      </c>
      <c r="C362" t="s">
        <v>898</v>
      </c>
      <c r="D362" t="s">
        <v>17</v>
      </c>
      <c r="E362" t="s">
        <v>899</v>
      </c>
      <c r="F362" t="s">
        <v>900</v>
      </c>
      <c r="H362" t="s">
        <v>2075</v>
      </c>
      <c r="I362">
        <v>2</v>
      </c>
      <c r="J362" t="s">
        <v>2076</v>
      </c>
      <c r="K362" t="s">
        <v>57</v>
      </c>
      <c r="L362">
        <v>175</v>
      </c>
      <c r="N362" t="s">
        <v>2486</v>
      </c>
      <c r="O362">
        <v>1992</v>
      </c>
      <c r="P362">
        <v>1896</v>
      </c>
      <c r="Q362" s="1">
        <v>44960</v>
      </c>
      <c r="R362" s="1">
        <v>44955</v>
      </c>
      <c r="S362" t="s">
        <v>16</v>
      </c>
    </row>
    <row r="363" spans="1:19" x14ac:dyDescent="0.25">
      <c r="A363">
        <v>362</v>
      </c>
      <c r="B363">
        <v>56772854</v>
      </c>
      <c r="C363" t="s">
        <v>2693</v>
      </c>
      <c r="D363" t="s">
        <v>17</v>
      </c>
      <c r="E363" t="s">
        <v>901</v>
      </c>
      <c r="F363" t="s">
        <v>902</v>
      </c>
      <c r="H363" t="str">
        <f>"9788056635292"</f>
        <v>9788056635292</v>
      </c>
      <c r="I363">
        <v>5</v>
      </c>
      <c r="J363" t="s">
        <v>1770</v>
      </c>
      <c r="K363" t="s">
        <v>2488</v>
      </c>
      <c r="L363">
        <v>464</v>
      </c>
      <c r="N363" t="s">
        <v>2494</v>
      </c>
      <c r="O363">
        <v>2023</v>
      </c>
      <c r="P363">
        <v>2021</v>
      </c>
      <c r="Q363" s="1">
        <v>44954</v>
      </c>
      <c r="R363" s="1">
        <v>44950</v>
      </c>
      <c r="S363" t="s">
        <v>16</v>
      </c>
    </row>
    <row r="364" spans="1:19" x14ac:dyDescent="0.25">
      <c r="A364">
        <v>363</v>
      </c>
      <c r="B364">
        <v>11662841</v>
      </c>
      <c r="C364" t="s">
        <v>903</v>
      </c>
      <c r="D364" t="s">
        <v>904</v>
      </c>
      <c r="E364" t="s">
        <v>803</v>
      </c>
      <c r="F364" t="s">
        <v>804</v>
      </c>
      <c r="H364" t="s">
        <v>2077</v>
      </c>
      <c r="I364">
        <v>3</v>
      </c>
      <c r="J364" t="s">
        <v>1668</v>
      </c>
      <c r="K364" t="s">
        <v>57</v>
      </c>
      <c r="L364">
        <v>260</v>
      </c>
      <c r="N364" t="s">
        <v>2494</v>
      </c>
      <c r="O364">
        <v>1993</v>
      </c>
      <c r="P364">
        <v>1992</v>
      </c>
      <c r="Q364" s="1">
        <v>44950</v>
      </c>
      <c r="R364" s="1">
        <v>44946</v>
      </c>
      <c r="S364" t="s">
        <v>16</v>
      </c>
    </row>
    <row r="365" spans="1:19" x14ac:dyDescent="0.25">
      <c r="A365">
        <v>364</v>
      </c>
      <c r="B365">
        <v>66473</v>
      </c>
      <c r="C365" t="s">
        <v>905</v>
      </c>
      <c r="D365" t="s">
        <v>17</v>
      </c>
      <c r="E365" t="s">
        <v>803</v>
      </c>
      <c r="F365" t="s">
        <v>804</v>
      </c>
      <c r="H365" t="s">
        <v>2078</v>
      </c>
      <c r="I365">
        <v>3</v>
      </c>
      <c r="J365" t="s">
        <v>1668</v>
      </c>
      <c r="K365" t="s">
        <v>57</v>
      </c>
      <c r="L365">
        <v>432</v>
      </c>
      <c r="N365" t="s">
        <v>2494</v>
      </c>
      <c r="O365">
        <v>2008</v>
      </c>
      <c r="P365">
        <v>1998</v>
      </c>
      <c r="Q365" s="1">
        <v>44946</v>
      </c>
      <c r="R365" s="1">
        <v>44943</v>
      </c>
      <c r="S365" t="s">
        <v>16</v>
      </c>
    </row>
    <row r="366" spans="1:19" x14ac:dyDescent="0.25">
      <c r="A366">
        <v>365</v>
      </c>
      <c r="B366">
        <v>25547238</v>
      </c>
      <c r="C366" t="s">
        <v>906</v>
      </c>
      <c r="D366" t="s">
        <v>17</v>
      </c>
      <c r="E366" t="s">
        <v>62</v>
      </c>
      <c r="F366" t="s">
        <v>63</v>
      </c>
      <c r="H366" t="s">
        <v>2079</v>
      </c>
      <c r="I366">
        <v>4</v>
      </c>
      <c r="J366" t="s">
        <v>1668</v>
      </c>
      <c r="K366" t="s">
        <v>2488</v>
      </c>
      <c r="L366">
        <v>232</v>
      </c>
      <c r="N366" t="s">
        <v>2494</v>
      </c>
      <c r="O366">
        <v>2015</v>
      </c>
      <c r="P366">
        <v>2015</v>
      </c>
      <c r="Q366" s="1">
        <v>44942</v>
      </c>
      <c r="R366" s="1">
        <v>44939</v>
      </c>
      <c r="S366" t="s">
        <v>16</v>
      </c>
    </row>
    <row r="367" spans="1:19" x14ac:dyDescent="0.25">
      <c r="A367">
        <v>366</v>
      </c>
      <c r="B367">
        <v>60151732</v>
      </c>
      <c r="C367" t="s">
        <v>907</v>
      </c>
      <c r="D367" t="s">
        <v>17</v>
      </c>
      <c r="E367" t="s">
        <v>530</v>
      </c>
      <c r="F367" t="s">
        <v>531</v>
      </c>
      <c r="H367" t="s">
        <v>2080</v>
      </c>
      <c r="I367">
        <v>3</v>
      </c>
      <c r="J367" t="s">
        <v>1759</v>
      </c>
      <c r="K367" t="s">
        <v>2488</v>
      </c>
      <c r="L367">
        <v>325</v>
      </c>
      <c r="N367" t="s">
        <v>2494</v>
      </c>
      <c r="O367">
        <v>2022</v>
      </c>
      <c r="P367">
        <v>2021</v>
      </c>
      <c r="Q367" s="1">
        <v>44940</v>
      </c>
      <c r="R367" s="1">
        <v>44936</v>
      </c>
      <c r="S367" t="s">
        <v>16</v>
      </c>
    </row>
    <row r="368" spans="1:19" x14ac:dyDescent="0.25">
      <c r="A368">
        <v>367</v>
      </c>
      <c r="B368">
        <v>28435650</v>
      </c>
      <c r="C368" t="s">
        <v>908</v>
      </c>
      <c r="D368" t="s">
        <v>17</v>
      </c>
      <c r="E368" t="s">
        <v>803</v>
      </c>
      <c r="F368" t="s">
        <v>804</v>
      </c>
      <c r="H368" t="s">
        <v>2081</v>
      </c>
      <c r="I368">
        <v>3</v>
      </c>
      <c r="J368" t="s">
        <v>1668</v>
      </c>
      <c r="K368" t="s">
        <v>57</v>
      </c>
      <c r="L368">
        <v>200</v>
      </c>
      <c r="N368" t="s">
        <v>2494</v>
      </c>
      <c r="O368">
        <v>2011</v>
      </c>
      <c r="P368">
        <v>1997</v>
      </c>
      <c r="Q368" s="1">
        <v>44936</v>
      </c>
      <c r="R368" s="1">
        <v>44932</v>
      </c>
      <c r="S368" t="s">
        <v>16</v>
      </c>
    </row>
    <row r="369" spans="1:19" x14ac:dyDescent="0.25">
      <c r="A369">
        <v>368</v>
      </c>
      <c r="B369">
        <v>61168540</v>
      </c>
      <c r="C369" t="s">
        <v>909</v>
      </c>
      <c r="D369" t="s">
        <v>17</v>
      </c>
      <c r="E369" t="s">
        <v>241</v>
      </c>
      <c r="F369" t="s">
        <v>242</v>
      </c>
      <c r="H369" t="s">
        <v>2082</v>
      </c>
      <c r="I369">
        <v>5</v>
      </c>
      <c r="J369" t="s">
        <v>1820</v>
      </c>
      <c r="K369" t="s">
        <v>57</v>
      </c>
      <c r="L369">
        <v>976</v>
      </c>
      <c r="N369" t="s">
        <v>2486</v>
      </c>
      <c r="O369">
        <v>2022</v>
      </c>
      <c r="P369">
        <v>2020</v>
      </c>
      <c r="Q369" s="1">
        <v>44931</v>
      </c>
      <c r="R369" s="1">
        <v>44910</v>
      </c>
      <c r="S369" t="s">
        <v>16</v>
      </c>
    </row>
    <row r="370" spans="1:19" x14ac:dyDescent="0.25">
      <c r="A370">
        <v>369</v>
      </c>
      <c r="B370">
        <v>11661538</v>
      </c>
      <c r="C370" t="s">
        <v>910</v>
      </c>
      <c r="D370" t="s">
        <v>17</v>
      </c>
      <c r="E370" t="s">
        <v>803</v>
      </c>
      <c r="F370" t="s">
        <v>804</v>
      </c>
      <c r="H370" t="s">
        <v>2083</v>
      </c>
      <c r="I370">
        <v>3</v>
      </c>
      <c r="J370" t="s">
        <v>1668</v>
      </c>
      <c r="K370" t="s">
        <v>57</v>
      </c>
      <c r="L370">
        <v>272</v>
      </c>
      <c r="N370" t="s">
        <v>2494</v>
      </c>
      <c r="O370">
        <v>1995</v>
      </c>
      <c r="P370">
        <v>1995</v>
      </c>
      <c r="Q370" s="1">
        <v>44931</v>
      </c>
      <c r="R370" s="1">
        <v>44929</v>
      </c>
      <c r="S370" t="s">
        <v>16</v>
      </c>
    </row>
    <row r="371" spans="1:19" x14ac:dyDescent="0.25">
      <c r="A371">
        <v>370</v>
      </c>
      <c r="B371">
        <v>7805293</v>
      </c>
      <c r="C371" t="s">
        <v>911</v>
      </c>
      <c r="D371" t="s">
        <v>17</v>
      </c>
      <c r="E371" t="s">
        <v>912</v>
      </c>
      <c r="F371" t="s">
        <v>913</v>
      </c>
      <c r="H371" t="s">
        <v>2084</v>
      </c>
      <c r="I371">
        <v>4</v>
      </c>
      <c r="J371" t="s">
        <v>1691</v>
      </c>
      <c r="K371" t="s">
        <v>57</v>
      </c>
      <c r="L371">
        <v>188</v>
      </c>
      <c r="N371" t="s">
        <v>2486</v>
      </c>
      <c r="O371">
        <v>2008</v>
      </c>
      <c r="P371">
        <v>2006</v>
      </c>
      <c r="Q371" s="1">
        <v>44928</v>
      </c>
      <c r="R371" s="1">
        <v>44914</v>
      </c>
      <c r="S371" t="s">
        <v>16</v>
      </c>
    </row>
    <row r="372" spans="1:19" x14ac:dyDescent="0.25">
      <c r="A372">
        <v>371</v>
      </c>
      <c r="B372">
        <v>25829219</v>
      </c>
      <c r="C372" t="s">
        <v>914</v>
      </c>
      <c r="D372" t="s">
        <v>17</v>
      </c>
      <c r="E372" t="s">
        <v>915</v>
      </c>
      <c r="F372" t="s">
        <v>916</v>
      </c>
      <c r="H372" t="str">
        <f>"9788075542656"</f>
        <v>9788075542656</v>
      </c>
      <c r="I372">
        <v>3</v>
      </c>
      <c r="J372" t="s">
        <v>2085</v>
      </c>
      <c r="K372" t="s">
        <v>57</v>
      </c>
      <c r="L372">
        <v>216</v>
      </c>
      <c r="N372" t="s">
        <v>2486</v>
      </c>
      <c r="O372">
        <v>2011</v>
      </c>
      <c r="P372">
        <v>2011</v>
      </c>
      <c r="Q372" s="1">
        <v>44928</v>
      </c>
      <c r="R372" s="1">
        <v>44926</v>
      </c>
      <c r="S372" t="s">
        <v>16</v>
      </c>
    </row>
    <row r="373" spans="1:19" x14ac:dyDescent="0.25">
      <c r="A373">
        <v>372</v>
      </c>
      <c r="B373">
        <v>75369450</v>
      </c>
      <c r="C373" t="s">
        <v>917</v>
      </c>
      <c r="D373" t="s">
        <v>17</v>
      </c>
      <c r="E373" t="s">
        <v>918</v>
      </c>
      <c r="F373" t="s">
        <v>919</v>
      </c>
      <c r="H373" t="s">
        <v>2086</v>
      </c>
      <c r="I373">
        <v>4</v>
      </c>
      <c r="J373" t="s">
        <v>2087</v>
      </c>
      <c r="K373" t="s">
        <v>29</v>
      </c>
      <c r="L373">
        <v>264</v>
      </c>
      <c r="N373" t="s">
        <v>2494</v>
      </c>
      <c r="O373">
        <v>2022</v>
      </c>
      <c r="P373">
        <v>2022</v>
      </c>
      <c r="Q373" s="1">
        <v>44926</v>
      </c>
      <c r="R373" s="1">
        <v>44925</v>
      </c>
      <c r="S373" t="s">
        <v>16</v>
      </c>
    </row>
    <row r="374" spans="1:19" x14ac:dyDescent="0.25">
      <c r="A374">
        <v>373</v>
      </c>
      <c r="B374">
        <v>72579</v>
      </c>
      <c r="C374" t="s">
        <v>920</v>
      </c>
      <c r="D374" t="s">
        <v>17</v>
      </c>
      <c r="E374" t="s">
        <v>921</v>
      </c>
      <c r="F374" t="s">
        <v>922</v>
      </c>
      <c r="G374" t="s">
        <v>2694</v>
      </c>
      <c r="H374" t="s">
        <v>2088</v>
      </c>
      <c r="I374">
        <v>5</v>
      </c>
      <c r="J374" t="s">
        <v>2492</v>
      </c>
      <c r="K374" t="s">
        <v>112</v>
      </c>
      <c r="L374">
        <v>468</v>
      </c>
      <c r="M374" s="2">
        <v>0.72222222222222221</v>
      </c>
      <c r="N374" t="s">
        <v>2486</v>
      </c>
      <c r="O374">
        <v>2021</v>
      </c>
      <c r="P374">
        <v>1996</v>
      </c>
      <c r="Q374" s="1">
        <v>44922</v>
      </c>
      <c r="R374" s="1">
        <v>44912</v>
      </c>
      <c r="S374" t="s">
        <v>16</v>
      </c>
    </row>
    <row r="375" spans="1:19" x14ac:dyDescent="0.25">
      <c r="A375">
        <v>374</v>
      </c>
      <c r="B375">
        <v>43706482</v>
      </c>
      <c r="C375" t="s">
        <v>2695</v>
      </c>
      <c r="D375" t="s">
        <v>17</v>
      </c>
      <c r="E375" t="s">
        <v>923</v>
      </c>
      <c r="F375" t="s">
        <v>924</v>
      </c>
      <c r="H375" t="s">
        <v>2089</v>
      </c>
      <c r="I375">
        <v>4</v>
      </c>
      <c r="J375" t="s">
        <v>1710</v>
      </c>
      <c r="K375" t="s">
        <v>2488</v>
      </c>
      <c r="L375">
        <v>304</v>
      </c>
      <c r="N375" t="s">
        <v>2494</v>
      </c>
      <c r="O375">
        <v>2020</v>
      </c>
      <c r="P375">
        <v>2019</v>
      </c>
      <c r="Q375" s="1">
        <v>44915</v>
      </c>
      <c r="R375" s="1">
        <v>44907</v>
      </c>
      <c r="S375" t="s">
        <v>16</v>
      </c>
    </row>
    <row r="376" spans="1:19" x14ac:dyDescent="0.25">
      <c r="A376">
        <v>375</v>
      </c>
      <c r="B376">
        <v>57301069</v>
      </c>
      <c r="C376" t="s">
        <v>925</v>
      </c>
      <c r="D376" t="s">
        <v>926</v>
      </c>
      <c r="E376" t="s">
        <v>228</v>
      </c>
      <c r="F376" t="s">
        <v>229</v>
      </c>
      <c r="H376" t="s">
        <v>2090</v>
      </c>
      <c r="I376">
        <v>4</v>
      </c>
      <c r="J376" t="s">
        <v>1668</v>
      </c>
      <c r="K376" t="s">
        <v>2488</v>
      </c>
      <c r="L376">
        <v>288</v>
      </c>
      <c r="N376" t="s">
        <v>2494</v>
      </c>
      <c r="O376">
        <v>2021</v>
      </c>
      <c r="P376">
        <v>2020</v>
      </c>
      <c r="Q376" s="1">
        <v>44408</v>
      </c>
      <c r="R376" s="1">
        <v>44317</v>
      </c>
      <c r="S376" t="s">
        <v>16</v>
      </c>
    </row>
    <row r="377" spans="1:19" x14ac:dyDescent="0.25">
      <c r="A377">
        <v>376</v>
      </c>
      <c r="B377">
        <v>56984091</v>
      </c>
      <c r="C377" t="s">
        <v>927</v>
      </c>
      <c r="D377" t="s">
        <v>2696</v>
      </c>
      <c r="E377" t="s">
        <v>269</v>
      </c>
      <c r="F377" t="s">
        <v>270</v>
      </c>
      <c r="G377" t="s">
        <v>2622</v>
      </c>
      <c r="H377" t="s">
        <v>2091</v>
      </c>
      <c r="I377">
        <v>3</v>
      </c>
      <c r="J377" t="s">
        <v>2545</v>
      </c>
      <c r="K377" t="s">
        <v>112</v>
      </c>
      <c r="L377">
        <v>400</v>
      </c>
      <c r="M377" s="2">
        <v>0.56527777777777777</v>
      </c>
      <c r="N377" t="s">
        <v>2486</v>
      </c>
      <c r="O377">
        <v>2022</v>
      </c>
      <c r="P377">
        <v>2021</v>
      </c>
      <c r="Q377" s="1">
        <v>44911</v>
      </c>
      <c r="R377" s="1">
        <v>44908</v>
      </c>
      <c r="S377" t="s">
        <v>16</v>
      </c>
    </row>
    <row r="378" spans="1:19" x14ac:dyDescent="0.25">
      <c r="A378">
        <v>377</v>
      </c>
      <c r="B378">
        <v>59007601</v>
      </c>
      <c r="C378" t="s">
        <v>928</v>
      </c>
      <c r="D378" t="s">
        <v>17</v>
      </c>
      <c r="E378" t="s">
        <v>287</v>
      </c>
      <c r="F378" t="s">
        <v>288</v>
      </c>
      <c r="H378" t="s">
        <v>2092</v>
      </c>
      <c r="I378">
        <v>4</v>
      </c>
      <c r="J378" t="s">
        <v>1668</v>
      </c>
      <c r="K378" t="s">
        <v>2488</v>
      </c>
      <c r="L378">
        <v>1080</v>
      </c>
      <c r="N378" t="s">
        <v>2494</v>
      </c>
      <c r="O378">
        <v>2021</v>
      </c>
      <c r="P378">
        <v>1978</v>
      </c>
      <c r="Q378" s="1">
        <v>44907</v>
      </c>
      <c r="R378" s="1">
        <v>44857</v>
      </c>
      <c r="S378" t="s">
        <v>16</v>
      </c>
    </row>
    <row r="379" spans="1:19" x14ac:dyDescent="0.25">
      <c r="A379">
        <v>378</v>
      </c>
      <c r="B379">
        <v>53764460</v>
      </c>
      <c r="C379" t="s">
        <v>929</v>
      </c>
      <c r="D379" t="s">
        <v>2697</v>
      </c>
      <c r="E379" t="s">
        <v>921</v>
      </c>
      <c r="F379" t="s">
        <v>922</v>
      </c>
      <c r="G379" t="s">
        <v>2699</v>
      </c>
      <c r="H379" t="s">
        <v>2093</v>
      </c>
      <c r="I379">
        <v>5</v>
      </c>
      <c r="J379" t="s">
        <v>2492</v>
      </c>
      <c r="K379" t="s">
        <v>112</v>
      </c>
      <c r="L379">
        <v>396</v>
      </c>
      <c r="M379" s="2">
        <v>0.58819444444444446</v>
      </c>
      <c r="N379" t="s">
        <v>2486</v>
      </c>
      <c r="O379">
        <v>2020</v>
      </c>
      <c r="P379">
        <v>2019</v>
      </c>
      <c r="Q379" s="1">
        <v>44906</v>
      </c>
      <c r="R379" s="1">
        <v>44901</v>
      </c>
      <c r="S379" t="s">
        <v>16</v>
      </c>
    </row>
    <row r="380" spans="1:19" x14ac:dyDescent="0.25">
      <c r="A380">
        <v>379</v>
      </c>
      <c r="B380">
        <v>43465986</v>
      </c>
      <c r="C380" t="s">
        <v>930</v>
      </c>
      <c r="D380" t="s">
        <v>17</v>
      </c>
      <c r="E380" t="s">
        <v>931</v>
      </c>
      <c r="F380" t="s">
        <v>932</v>
      </c>
      <c r="H380" t="s">
        <v>2094</v>
      </c>
      <c r="I380">
        <v>3</v>
      </c>
      <c r="J380" t="s">
        <v>1829</v>
      </c>
      <c r="K380" t="s">
        <v>2488</v>
      </c>
      <c r="L380">
        <v>634</v>
      </c>
      <c r="N380" t="s">
        <v>2494</v>
      </c>
      <c r="O380">
        <v>2021</v>
      </c>
      <c r="P380">
        <v>2019</v>
      </c>
      <c r="Q380" s="1">
        <v>44905</v>
      </c>
      <c r="R380" s="1">
        <v>44901</v>
      </c>
      <c r="S380" t="s">
        <v>16</v>
      </c>
    </row>
    <row r="381" spans="1:19" x14ac:dyDescent="0.25">
      <c r="A381">
        <v>380</v>
      </c>
      <c r="B381">
        <v>11065635</v>
      </c>
      <c r="C381" t="s">
        <v>933</v>
      </c>
      <c r="D381" t="s">
        <v>2698</v>
      </c>
      <c r="E381" t="s">
        <v>921</v>
      </c>
      <c r="F381" t="s">
        <v>922</v>
      </c>
      <c r="G381" t="s">
        <v>2700</v>
      </c>
      <c r="H381" t="s">
        <v>2095</v>
      </c>
      <c r="I381">
        <v>5</v>
      </c>
      <c r="J381" t="s">
        <v>2492</v>
      </c>
      <c r="K381" t="s">
        <v>2488</v>
      </c>
      <c r="L381">
        <v>333</v>
      </c>
      <c r="M381" s="2">
        <v>0.49791666666666667</v>
      </c>
      <c r="N381" t="s">
        <v>2486</v>
      </c>
      <c r="O381">
        <v>2017</v>
      </c>
      <c r="P381">
        <v>1985</v>
      </c>
      <c r="Q381" s="1">
        <v>44901</v>
      </c>
      <c r="R381" s="1">
        <v>44898</v>
      </c>
      <c r="S381" t="s">
        <v>16</v>
      </c>
    </row>
    <row r="382" spans="1:19" x14ac:dyDescent="0.25">
      <c r="A382">
        <v>381</v>
      </c>
      <c r="B382">
        <v>55679935</v>
      </c>
      <c r="C382" t="s">
        <v>936</v>
      </c>
      <c r="D382" t="s">
        <v>937</v>
      </c>
      <c r="E382" t="s">
        <v>938</v>
      </c>
      <c r="F382" t="s">
        <v>939</v>
      </c>
      <c r="H382" t="s">
        <v>2096</v>
      </c>
      <c r="I382">
        <v>4</v>
      </c>
      <c r="J382" t="s">
        <v>2097</v>
      </c>
      <c r="K382" t="s">
        <v>2488</v>
      </c>
      <c r="L382">
        <v>245</v>
      </c>
      <c r="N382" t="s">
        <v>2494</v>
      </c>
      <c r="O382">
        <v>2020</v>
      </c>
      <c r="P382">
        <v>2020</v>
      </c>
      <c r="Q382" s="1">
        <v>44879</v>
      </c>
      <c r="R382" s="1">
        <v>44875</v>
      </c>
      <c r="S382" t="s">
        <v>16</v>
      </c>
    </row>
    <row r="383" spans="1:19" x14ac:dyDescent="0.25">
      <c r="A383">
        <v>382</v>
      </c>
      <c r="B383">
        <v>48995209</v>
      </c>
      <c r="C383" t="s">
        <v>940</v>
      </c>
      <c r="D383" t="s">
        <v>17</v>
      </c>
      <c r="E383" t="s">
        <v>941</v>
      </c>
      <c r="F383" t="s">
        <v>942</v>
      </c>
      <c r="H383" t="s">
        <v>2098</v>
      </c>
      <c r="I383">
        <v>4</v>
      </c>
      <c r="J383" t="s">
        <v>1668</v>
      </c>
      <c r="K383" t="s">
        <v>2488</v>
      </c>
      <c r="L383">
        <v>304</v>
      </c>
      <c r="N383" t="s">
        <v>2494</v>
      </c>
      <c r="O383">
        <v>2019</v>
      </c>
      <c r="P383">
        <v>2014</v>
      </c>
      <c r="Q383" s="1">
        <v>44876</v>
      </c>
      <c r="R383" s="1">
        <v>44873</v>
      </c>
      <c r="S383" t="s">
        <v>16</v>
      </c>
    </row>
    <row r="384" spans="1:19" x14ac:dyDescent="0.25">
      <c r="A384">
        <v>383</v>
      </c>
      <c r="B384">
        <v>55688602</v>
      </c>
      <c r="C384" t="s">
        <v>943</v>
      </c>
      <c r="D384" t="s">
        <v>2701</v>
      </c>
      <c r="E384" t="s">
        <v>269</v>
      </c>
      <c r="F384" t="s">
        <v>270</v>
      </c>
      <c r="G384" t="s">
        <v>2622</v>
      </c>
      <c r="H384" t="s">
        <v>2099</v>
      </c>
      <c r="I384">
        <v>4</v>
      </c>
      <c r="J384" t="s">
        <v>2545</v>
      </c>
      <c r="K384" t="s">
        <v>112</v>
      </c>
      <c r="L384">
        <v>560</v>
      </c>
      <c r="M384" s="2">
        <v>0.96527777777777779</v>
      </c>
      <c r="N384" t="s">
        <v>2486</v>
      </c>
      <c r="O384">
        <v>2022</v>
      </c>
      <c r="P384">
        <v>2020</v>
      </c>
      <c r="Q384" s="1">
        <v>44876</v>
      </c>
      <c r="R384" s="1">
        <v>44872</v>
      </c>
      <c r="S384" t="s">
        <v>16</v>
      </c>
    </row>
    <row r="385" spans="1:19" x14ac:dyDescent="0.25">
      <c r="A385">
        <v>384</v>
      </c>
      <c r="B385">
        <v>42051908</v>
      </c>
      <c r="C385" t="s">
        <v>944</v>
      </c>
      <c r="D385" t="s">
        <v>17</v>
      </c>
      <c r="E385" t="s">
        <v>941</v>
      </c>
      <c r="F385" t="s">
        <v>942</v>
      </c>
      <c r="H385" t="s">
        <v>2100</v>
      </c>
      <c r="I385">
        <v>3</v>
      </c>
      <c r="J385" t="s">
        <v>1668</v>
      </c>
      <c r="K385" t="s">
        <v>2488</v>
      </c>
      <c r="L385">
        <v>304</v>
      </c>
      <c r="N385" t="s">
        <v>2494</v>
      </c>
      <c r="O385">
        <v>2018</v>
      </c>
      <c r="P385">
        <v>2017</v>
      </c>
      <c r="Q385" s="1">
        <v>44862</v>
      </c>
      <c r="R385" s="1">
        <v>44857</v>
      </c>
      <c r="S385" t="s">
        <v>16</v>
      </c>
    </row>
    <row r="386" spans="1:19" x14ac:dyDescent="0.25">
      <c r="A386">
        <v>385</v>
      </c>
      <c r="B386">
        <v>10098661</v>
      </c>
      <c r="C386" t="s">
        <v>945</v>
      </c>
      <c r="D386" t="s">
        <v>2702</v>
      </c>
      <c r="E386" t="s">
        <v>215</v>
      </c>
      <c r="F386" t="s">
        <v>216</v>
      </c>
      <c r="G386" t="s">
        <v>2587</v>
      </c>
      <c r="H386" t="s">
        <v>2101</v>
      </c>
      <c r="I386">
        <v>3</v>
      </c>
      <c r="J386" t="s">
        <v>2532</v>
      </c>
      <c r="K386" t="s">
        <v>112</v>
      </c>
      <c r="L386">
        <v>404</v>
      </c>
      <c r="M386" s="2">
        <v>0.76111111111111107</v>
      </c>
      <c r="N386" t="s">
        <v>2494</v>
      </c>
      <c r="O386">
        <v>2015</v>
      </c>
      <c r="P386">
        <v>2005</v>
      </c>
      <c r="Q386" s="1">
        <v>44859</v>
      </c>
      <c r="R386" s="1">
        <v>44856</v>
      </c>
      <c r="S386" t="s">
        <v>16</v>
      </c>
    </row>
    <row r="387" spans="1:19" x14ac:dyDescent="0.25">
      <c r="A387">
        <v>386</v>
      </c>
      <c r="B387">
        <v>37545283</v>
      </c>
      <c r="C387" t="s">
        <v>946</v>
      </c>
      <c r="D387" t="s">
        <v>17</v>
      </c>
      <c r="E387" t="s">
        <v>947</v>
      </c>
      <c r="F387" t="s">
        <v>948</v>
      </c>
      <c r="H387" t="s">
        <v>2102</v>
      </c>
      <c r="I387">
        <v>3</v>
      </c>
      <c r="J387" t="s">
        <v>1789</v>
      </c>
      <c r="K387" t="s">
        <v>2488</v>
      </c>
      <c r="L387">
        <v>360</v>
      </c>
      <c r="N387" t="s">
        <v>2494</v>
      </c>
      <c r="O387">
        <v>2017</v>
      </c>
      <c r="P387">
        <v>2011</v>
      </c>
      <c r="Q387" s="1">
        <v>44856</v>
      </c>
      <c r="R387" s="1">
        <v>44855</v>
      </c>
      <c r="S387" t="s">
        <v>16</v>
      </c>
    </row>
    <row r="388" spans="1:19" x14ac:dyDescent="0.25">
      <c r="A388">
        <v>387</v>
      </c>
      <c r="B388">
        <v>55128558</v>
      </c>
      <c r="C388" t="s">
        <v>949</v>
      </c>
      <c r="D388" t="s">
        <v>950</v>
      </c>
      <c r="E388" t="s">
        <v>616</v>
      </c>
      <c r="F388" t="s">
        <v>617</v>
      </c>
      <c r="H388" t="s">
        <v>2103</v>
      </c>
      <c r="I388">
        <v>3</v>
      </c>
      <c r="J388" t="s">
        <v>1723</v>
      </c>
      <c r="K388" t="s">
        <v>2488</v>
      </c>
      <c r="L388">
        <v>312</v>
      </c>
      <c r="N388" t="s">
        <v>2494</v>
      </c>
      <c r="O388">
        <v>2020</v>
      </c>
      <c r="P388">
        <v>2019</v>
      </c>
      <c r="Q388" s="1">
        <v>44855</v>
      </c>
      <c r="R388" s="1">
        <v>44846</v>
      </c>
      <c r="S388" t="s">
        <v>16</v>
      </c>
    </row>
    <row r="389" spans="1:19" x14ac:dyDescent="0.25">
      <c r="A389">
        <v>388</v>
      </c>
      <c r="B389">
        <v>923949</v>
      </c>
      <c r="C389" t="s">
        <v>2703</v>
      </c>
      <c r="D389" t="s">
        <v>17</v>
      </c>
      <c r="E389" t="s">
        <v>951</v>
      </c>
      <c r="F389" t="s">
        <v>952</v>
      </c>
      <c r="H389" t="s">
        <v>2104</v>
      </c>
      <c r="I389">
        <v>2</v>
      </c>
      <c r="J389" t="s">
        <v>1770</v>
      </c>
      <c r="K389" t="s">
        <v>2488</v>
      </c>
      <c r="L389">
        <v>365</v>
      </c>
      <c r="N389" t="s">
        <v>2494</v>
      </c>
      <c r="O389">
        <v>2002</v>
      </c>
      <c r="P389">
        <v>2002</v>
      </c>
      <c r="Q389" s="1">
        <v>44851</v>
      </c>
      <c r="R389" s="1">
        <v>44774</v>
      </c>
      <c r="S389" t="s">
        <v>16</v>
      </c>
    </row>
    <row r="390" spans="1:19" x14ac:dyDescent="0.25">
      <c r="A390">
        <v>389</v>
      </c>
      <c r="B390">
        <v>6415094</v>
      </c>
      <c r="C390" t="s">
        <v>953</v>
      </c>
      <c r="D390" t="s">
        <v>17</v>
      </c>
      <c r="E390" t="s">
        <v>722</v>
      </c>
      <c r="F390" t="s">
        <v>723</v>
      </c>
      <c r="G390" t="s">
        <v>2680</v>
      </c>
      <c r="H390" t="s">
        <v>2105</v>
      </c>
      <c r="I390">
        <v>2</v>
      </c>
      <c r="J390" t="s">
        <v>2658</v>
      </c>
      <c r="K390" t="s">
        <v>112</v>
      </c>
      <c r="L390">
        <v>438</v>
      </c>
      <c r="N390" t="s">
        <v>2486</v>
      </c>
      <c r="O390">
        <v>2021</v>
      </c>
      <c r="P390">
        <v>1961</v>
      </c>
      <c r="Q390" s="1">
        <v>44851</v>
      </c>
      <c r="R390" s="1">
        <v>44839</v>
      </c>
      <c r="S390" t="s">
        <v>16</v>
      </c>
    </row>
    <row r="391" spans="1:19" x14ac:dyDescent="0.25">
      <c r="A391">
        <v>390</v>
      </c>
      <c r="B391">
        <v>53959432</v>
      </c>
      <c r="C391" t="s">
        <v>2704</v>
      </c>
      <c r="D391" t="s">
        <v>2705</v>
      </c>
      <c r="E391" t="s">
        <v>954</v>
      </c>
      <c r="F391" t="s">
        <v>955</v>
      </c>
      <c r="H391" t="s">
        <v>2106</v>
      </c>
      <c r="I391">
        <v>3</v>
      </c>
      <c r="J391" t="s">
        <v>1770</v>
      </c>
      <c r="K391" t="s">
        <v>57</v>
      </c>
      <c r="L391">
        <v>334</v>
      </c>
      <c r="N391" t="s">
        <v>2486</v>
      </c>
      <c r="O391">
        <v>2021</v>
      </c>
      <c r="P391">
        <v>2020</v>
      </c>
      <c r="Q391" s="1">
        <v>44842</v>
      </c>
      <c r="R391" s="1">
        <v>44825</v>
      </c>
      <c r="S391" t="s">
        <v>16</v>
      </c>
    </row>
    <row r="392" spans="1:19" x14ac:dyDescent="0.25">
      <c r="A392">
        <v>391</v>
      </c>
      <c r="B392">
        <v>22285502</v>
      </c>
      <c r="C392" t="s">
        <v>956</v>
      </c>
      <c r="D392" t="s">
        <v>2706</v>
      </c>
      <c r="E392" t="s">
        <v>849</v>
      </c>
      <c r="F392" t="s">
        <v>850</v>
      </c>
      <c r="G392" t="s">
        <v>2680</v>
      </c>
      <c r="H392" t="s">
        <v>2108</v>
      </c>
      <c r="I392">
        <v>3</v>
      </c>
      <c r="J392" t="s">
        <v>2658</v>
      </c>
      <c r="K392" t="s">
        <v>112</v>
      </c>
      <c r="L392">
        <v>328</v>
      </c>
      <c r="M392" s="2">
        <v>0.41805555555555557</v>
      </c>
      <c r="N392" t="s">
        <v>2486</v>
      </c>
      <c r="O392">
        <v>2022</v>
      </c>
      <c r="P392">
        <v>1990</v>
      </c>
      <c r="Q392" s="1">
        <v>44836</v>
      </c>
      <c r="R392" s="1">
        <v>44833</v>
      </c>
      <c r="S392" t="s">
        <v>16</v>
      </c>
    </row>
    <row r="393" spans="1:19" x14ac:dyDescent="0.25">
      <c r="A393">
        <v>392</v>
      </c>
      <c r="B393">
        <v>60536926</v>
      </c>
      <c r="C393" t="s">
        <v>957</v>
      </c>
      <c r="D393" t="s">
        <v>958</v>
      </c>
      <c r="E393" t="s">
        <v>552</v>
      </c>
      <c r="F393" t="s">
        <v>553</v>
      </c>
      <c r="G393" t="s">
        <v>2707</v>
      </c>
      <c r="H393" t="s">
        <v>2109</v>
      </c>
      <c r="I393">
        <v>3</v>
      </c>
      <c r="J393" t="s">
        <v>2545</v>
      </c>
      <c r="K393" t="s">
        <v>112</v>
      </c>
      <c r="L393">
        <v>392</v>
      </c>
      <c r="M393" s="2">
        <v>0.52986111111111112</v>
      </c>
      <c r="N393" t="s">
        <v>2486</v>
      </c>
      <c r="O393">
        <v>2022</v>
      </c>
      <c r="P393">
        <v>2021</v>
      </c>
      <c r="Q393" s="1">
        <v>44810</v>
      </c>
      <c r="R393" s="1">
        <v>44806</v>
      </c>
      <c r="S393" t="s">
        <v>16</v>
      </c>
    </row>
    <row r="394" spans="1:19" x14ac:dyDescent="0.25">
      <c r="A394">
        <v>393</v>
      </c>
      <c r="B394">
        <v>6496786</v>
      </c>
      <c r="C394" t="s">
        <v>959</v>
      </c>
      <c r="D394" t="s">
        <v>960</v>
      </c>
      <c r="E394" t="s">
        <v>174</v>
      </c>
      <c r="F394" t="s">
        <v>175</v>
      </c>
      <c r="H394" t="s">
        <v>2110</v>
      </c>
      <c r="I394">
        <v>2</v>
      </c>
      <c r="J394" t="s">
        <v>1670</v>
      </c>
      <c r="K394" t="s">
        <v>57</v>
      </c>
      <c r="L394">
        <v>345</v>
      </c>
      <c r="N394" t="s">
        <v>2486</v>
      </c>
      <c r="O394">
        <v>1997</v>
      </c>
      <c r="P394">
        <v>1988</v>
      </c>
      <c r="Q394" s="1">
        <v>44831</v>
      </c>
      <c r="R394" s="1">
        <v>44817</v>
      </c>
      <c r="S394" t="s">
        <v>16</v>
      </c>
    </row>
    <row r="395" spans="1:19" x14ac:dyDescent="0.25">
      <c r="A395">
        <v>394</v>
      </c>
      <c r="B395">
        <v>61091152</v>
      </c>
      <c r="C395" t="s">
        <v>961</v>
      </c>
      <c r="D395" t="s">
        <v>2708</v>
      </c>
      <c r="E395" t="s">
        <v>280</v>
      </c>
      <c r="F395" t="s">
        <v>281</v>
      </c>
      <c r="G395" t="s">
        <v>2710</v>
      </c>
      <c r="H395" t="s">
        <v>2111</v>
      </c>
      <c r="I395">
        <v>3</v>
      </c>
      <c r="J395" t="s">
        <v>2492</v>
      </c>
      <c r="K395" t="s">
        <v>112</v>
      </c>
      <c r="L395">
        <v>452</v>
      </c>
      <c r="M395" s="2">
        <v>0.60833333333333328</v>
      </c>
      <c r="N395" t="s">
        <v>2486</v>
      </c>
      <c r="O395">
        <v>2022</v>
      </c>
      <c r="P395">
        <v>2022</v>
      </c>
      <c r="Q395" s="1">
        <v>44829</v>
      </c>
      <c r="R395" s="1">
        <v>44794</v>
      </c>
      <c r="S395" t="s">
        <v>16</v>
      </c>
    </row>
    <row r="396" spans="1:19" x14ac:dyDescent="0.25">
      <c r="A396">
        <v>395</v>
      </c>
      <c r="B396">
        <v>23336416</v>
      </c>
      <c r="C396" t="s">
        <v>962</v>
      </c>
      <c r="D396" t="s">
        <v>963</v>
      </c>
      <c r="E396" t="s">
        <v>280</v>
      </c>
      <c r="F396" t="s">
        <v>281</v>
      </c>
      <c r="G396" t="s">
        <v>2709</v>
      </c>
      <c r="H396" t="s">
        <v>2112</v>
      </c>
      <c r="I396">
        <v>3</v>
      </c>
      <c r="J396" t="s">
        <v>2492</v>
      </c>
      <c r="K396" t="s">
        <v>112</v>
      </c>
      <c r="L396">
        <v>344</v>
      </c>
      <c r="M396" s="2">
        <v>0.45277777777777778</v>
      </c>
      <c r="N396" t="s">
        <v>2486</v>
      </c>
      <c r="O396">
        <v>2015</v>
      </c>
      <c r="P396">
        <v>2012</v>
      </c>
      <c r="Q396" s="1">
        <v>44816</v>
      </c>
      <c r="R396" s="1">
        <v>44815</v>
      </c>
      <c r="S396" t="s">
        <v>16</v>
      </c>
    </row>
    <row r="397" spans="1:19" x14ac:dyDescent="0.25">
      <c r="A397">
        <v>396</v>
      </c>
      <c r="B397">
        <v>29455680</v>
      </c>
      <c r="C397" t="s">
        <v>964</v>
      </c>
      <c r="D397" t="s">
        <v>17</v>
      </c>
      <c r="E397" t="s">
        <v>965</v>
      </c>
      <c r="F397" t="s">
        <v>966</v>
      </c>
      <c r="H397" t="s">
        <v>2113</v>
      </c>
      <c r="I397">
        <v>4</v>
      </c>
      <c r="J397" t="s">
        <v>1668</v>
      </c>
      <c r="K397" t="s">
        <v>2488</v>
      </c>
      <c r="L397">
        <v>384</v>
      </c>
      <c r="N397" t="s">
        <v>2494</v>
      </c>
      <c r="O397">
        <v>2016</v>
      </c>
      <c r="P397">
        <v>2015</v>
      </c>
      <c r="Q397" s="1">
        <v>44815</v>
      </c>
      <c r="R397" s="1">
        <v>44813</v>
      </c>
      <c r="S397" t="s">
        <v>16</v>
      </c>
    </row>
    <row r="398" spans="1:19" x14ac:dyDescent="0.25">
      <c r="A398">
        <v>397</v>
      </c>
      <c r="B398">
        <v>21421192</v>
      </c>
      <c r="C398" t="s">
        <v>967</v>
      </c>
      <c r="D398" t="s">
        <v>968</v>
      </c>
      <c r="E398" t="s">
        <v>280</v>
      </c>
      <c r="F398" t="s">
        <v>281</v>
      </c>
      <c r="G398" t="s">
        <v>2709</v>
      </c>
      <c r="H398" t="s">
        <v>2114</v>
      </c>
      <c r="I398">
        <v>3</v>
      </c>
      <c r="J398" t="s">
        <v>2492</v>
      </c>
      <c r="K398" t="s">
        <v>112</v>
      </c>
      <c r="L398">
        <v>352</v>
      </c>
      <c r="M398" s="2">
        <v>0.47847222222222224</v>
      </c>
      <c r="N398" t="s">
        <v>2486</v>
      </c>
      <c r="O398">
        <v>2014</v>
      </c>
      <c r="P398">
        <v>2011</v>
      </c>
      <c r="Q398" s="1">
        <v>44811</v>
      </c>
      <c r="R398" s="1">
        <v>44809</v>
      </c>
      <c r="S398" t="s">
        <v>16</v>
      </c>
    </row>
    <row r="399" spans="1:19" x14ac:dyDescent="0.25">
      <c r="A399">
        <v>398</v>
      </c>
      <c r="B399">
        <v>17827992</v>
      </c>
      <c r="C399" t="s">
        <v>971</v>
      </c>
      <c r="D399" t="s">
        <v>972</v>
      </c>
      <c r="E399" t="s">
        <v>280</v>
      </c>
      <c r="F399" t="s">
        <v>281</v>
      </c>
      <c r="G399" t="s">
        <v>2709</v>
      </c>
      <c r="H399" t="s">
        <v>2115</v>
      </c>
      <c r="I399">
        <v>3</v>
      </c>
      <c r="J399" t="s">
        <v>2492</v>
      </c>
      <c r="K399" t="s">
        <v>112</v>
      </c>
      <c r="L399">
        <v>392</v>
      </c>
      <c r="M399" s="2">
        <v>0.57152777777777775</v>
      </c>
      <c r="N399" t="s">
        <v>2486</v>
      </c>
      <c r="O399">
        <v>2013</v>
      </c>
      <c r="P399">
        <v>2009</v>
      </c>
      <c r="Q399" s="1">
        <v>44806</v>
      </c>
      <c r="R399" s="1">
        <v>44803</v>
      </c>
      <c r="S399" t="s">
        <v>16</v>
      </c>
    </row>
    <row r="400" spans="1:19" x14ac:dyDescent="0.25">
      <c r="A400">
        <v>399</v>
      </c>
      <c r="B400">
        <v>17410813</v>
      </c>
      <c r="C400" t="s">
        <v>973</v>
      </c>
      <c r="D400" t="s">
        <v>17</v>
      </c>
      <c r="E400" t="s">
        <v>62</v>
      </c>
      <c r="F400" t="s">
        <v>63</v>
      </c>
      <c r="H400" t="s">
        <v>2116</v>
      </c>
      <c r="I400">
        <v>3</v>
      </c>
      <c r="J400" t="s">
        <v>1668</v>
      </c>
      <c r="K400" t="s">
        <v>2488</v>
      </c>
      <c r="L400">
        <v>188</v>
      </c>
      <c r="N400" t="s">
        <v>2494</v>
      </c>
      <c r="O400">
        <v>2011</v>
      </c>
      <c r="P400">
        <v>2011</v>
      </c>
      <c r="Q400" s="1">
        <v>44806</v>
      </c>
      <c r="R400" s="1">
        <v>44805</v>
      </c>
      <c r="S400" t="s">
        <v>16</v>
      </c>
    </row>
    <row r="401" spans="1:19" x14ac:dyDescent="0.25">
      <c r="A401">
        <v>400</v>
      </c>
      <c r="B401">
        <v>17410824</v>
      </c>
      <c r="C401" t="s">
        <v>974</v>
      </c>
      <c r="D401" t="s">
        <v>17</v>
      </c>
      <c r="E401" t="s">
        <v>62</v>
      </c>
      <c r="F401" t="s">
        <v>63</v>
      </c>
      <c r="H401" t="s">
        <v>2117</v>
      </c>
      <c r="I401">
        <v>3</v>
      </c>
      <c r="J401" t="s">
        <v>1668</v>
      </c>
      <c r="K401" t="s">
        <v>2488</v>
      </c>
      <c r="L401">
        <v>232</v>
      </c>
      <c r="N401" t="s">
        <v>2494</v>
      </c>
      <c r="O401">
        <v>2011</v>
      </c>
      <c r="P401">
        <v>2011</v>
      </c>
      <c r="Q401" s="1">
        <v>44804</v>
      </c>
      <c r="R401" s="1">
        <v>44799</v>
      </c>
      <c r="S401" t="s">
        <v>16</v>
      </c>
    </row>
    <row r="402" spans="1:19" x14ac:dyDescent="0.25">
      <c r="A402">
        <v>401</v>
      </c>
      <c r="B402">
        <v>18323800</v>
      </c>
      <c r="C402" t="s">
        <v>975</v>
      </c>
      <c r="D402" t="s">
        <v>17</v>
      </c>
      <c r="E402" t="s">
        <v>364</v>
      </c>
      <c r="F402" t="s">
        <v>365</v>
      </c>
      <c r="G402" t="s">
        <v>2711</v>
      </c>
      <c r="H402" t="s">
        <v>2118</v>
      </c>
      <c r="I402">
        <v>3</v>
      </c>
      <c r="J402" t="s">
        <v>2712</v>
      </c>
      <c r="K402" t="s">
        <v>112</v>
      </c>
      <c r="L402">
        <v>186</v>
      </c>
      <c r="M402" s="2">
        <v>0.33333333333333331</v>
      </c>
      <c r="N402" t="s">
        <v>2486</v>
      </c>
      <c r="O402">
        <v>2019</v>
      </c>
      <c r="P402">
        <v>2002</v>
      </c>
      <c r="Q402" s="1">
        <v>44801</v>
      </c>
      <c r="R402" s="1">
        <v>44800</v>
      </c>
      <c r="S402" t="s">
        <v>16</v>
      </c>
    </row>
    <row r="403" spans="1:19" x14ac:dyDescent="0.25">
      <c r="A403">
        <v>402</v>
      </c>
      <c r="B403">
        <v>597038</v>
      </c>
      <c r="C403" t="s">
        <v>976</v>
      </c>
      <c r="D403" t="s">
        <v>977</v>
      </c>
      <c r="E403" t="s">
        <v>174</v>
      </c>
      <c r="F403" t="s">
        <v>175</v>
      </c>
      <c r="H403" t="s">
        <v>2119</v>
      </c>
      <c r="I403">
        <v>3</v>
      </c>
      <c r="J403" t="s">
        <v>1670</v>
      </c>
      <c r="K403" t="s">
        <v>57</v>
      </c>
      <c r="L403">
        <v>287</v>
      </c>
      <c r="N403" t="s">
        <v>2486</v>
      </c>
      <c r="O403">
        <v>2009</v>
      </c>
      <c r="P403">
        <v>1987</v>
      </c>
      <c r="Q403" s="1">
        <v>44800</v>
      </c>
      <c r="R403" s="1">
        <v>44799</v>
      </c>
      <c r="S403" t="s">
        <v>16</v>
      </c>
    </row>
    <row r="404" spans="1:19" x14ac:dyDescent="0.25">
      <c r="A404">
        <v>403</v>
      </c>
      <c r="B404">
        <v>42406860</v>
      </c>
      <c r="C404" t="s">
        <v>978</v>
      </c>
      <c r="D404" t="s">
        <v>17</v>
      </c>
      <c r="E404" t="s">
        <v>364</v>
      </c>
      <c r="F404" t="s">
        <v>365</v>
      </c>
      <c r="H404" t="s">
        <v>2120</v>
      </c>
      <c r="I404">
        <v>1</v>
      </c>
      <c r="J404" t="s">
        <v>2121</v>
      </c>
      <c r="K404" t="s">
        <v>57</v>
      </c>
      <c r="L404">
        <v>208</v>
      </c>
      <c r="N404" t="s">
        <v>2486</v>
      </c>
      <c r="O404">
        <v>2018</v>
      </c>
      <c r="P404">
        <v>1992</v>
      </c>
      <c r="Q404" s="1">
        <v>44799</v>
      </c>
      <c r="R404" s="1">
        <v>44798</v>
      </c>
      <c r="S404" t="s">
        <v>16</v>
      </c>
    </row>
    <row r="405" spans="1:19" x14ac:dyDescent="0.25">
      <c r="A405">
        <v>404</v>
      </c>
      <c r="B405">
        <v>55887410</v>
      </c>
      <c r="C405" t="s">
        <v>979</v>
      </c>
      <c r="D405" t="s">
        <v>980</v>
      </c>
      <c r="E405" t="s">
        <v>280</v>
      </c>
      <c r="F405" t="s">
        <v>281</v>
      </c>
      <c r="G405" t="s">
        <v>2710</v>
      </c>
      <c r="H405" t="s">
        <v>2122</v>
      </c>
      <c r="I405">
        <v>3</v>
      </c>
      <c r="J405" t="s">
        <v>2492</v>
      </c>
      <c r="K405" t="s">
        <v>112</v>
      </c>
      <c r="L405">
        <v>328</v>
      </c>
      <c r="M405" s="2">
        <v>0.46111111111111114</v>
      </c>
      <c r="N405" t="s">
        <v>2486</v>
      </c>
      <c r="O405">
        <v>2020</v>
      </c>
      <c r="P405">
        <v>2017</v>
      </c>
      <c r="Q405" s="1">
        <v>44798</v>
      </c>
      <c r="R405" s="1">
        <v>44794</v>
      </c>
      <c r="S405" t="s">
        <v>16</v>
      </c>
    </row>
    <row r="406" spans="1:19" x14ac:dyDescent="0.25">
      <c r="A406">
        <v>405</v>
      </c>
      <c r="B406">
        <v>17253574</v>
      </c>
      <c r="C406" t="s">
        <v>981</v>
      </c>
      <c r="D406" t="s">
        <v>17</v>
      </c>
      <c r="E406" t="s">
        <v>62</v>
      </c>
      <c r="F406" t="s">
        <v>63</v>
      </c>
      <c r="H406" t="s">
        <v>2123</v>
      </c>
      <c r="I406">
        <v>4</v>
      </c>
      <c r="J406" t="s">
        <v>1668</v>
      </c>
      <c r="K406" t="s">
        <v>2488</v>
      </c>
      <c r="L406">
        <v>328</v>
      </c>
      <c r="N406" t="s">
        <v>2494</v>
      </c>
      <c r="O406">
        <v>2010</v>
      </c>
      <c r="P406">
        <v>2010</v>
      </c>
      <c r="Q406" s="1">
        <v>44795</v>
      </c>
      <c r="R406" s="1">
        <v>44699</v>
      </c>
      <c r="S406" t="s">
        <v>16</v>
      </c>
    </row>
    <row r="407" spans="1:19" x14ac:dyDescent="0.25">
      <c r="A407">
        <v>406</v>
      </c>
      <c r="B407">
        <v>41835824</v>
      </c>
      <c r="C407" t="s">
        <v>982</v>
      </c>
      <c r="D407" t="s">
        <v>983</v>
      </c>
      <c r="E407" t="s">
        <v>280</v>
      </c>
      <c r="F407" t="s">
        <v>281</v>
      </c>
      <c r="G407" t="s">
        <v>2710</v>
      </c>
      <c r="H407" t="s">
        <v>2124</v>
      </c>
      <c r="I407">
        <v>3</v>
      </c>
      <c r="J407" t="s">
        <v>2492</v>
      </c>
      <c r="K407" t="s">
        <v>112</v>
      </c>
      <c r="L407">
        <v>303</v>
      </c>
      <c r="M407" s="2">
        <v>0.38958333333333334</v>
      </c>
      <c r="N407" t="s">
        <v>2486</v>
      </c>
      <c r="O407">
        <v>2020</v>
      </c>
      <c r="P407">
        <v>2010</v>
      </c>
      <c r="Q407" s="1">
        <v>44794</v>
      </c>
      <c r="R407" s="1">
        <v>44793</v>
      </c>
      <c r="S407" t="s">
        <v>16</v>
      </c>
    </row>
    <row r="408" spans="1:19" x14ac:dyDescent="0.25">
      <c r="A408">
        <v>407</v>
      </c>
      <c r="B408">
        <v>36572273</v>
      </c>
      <c r="C408" t="s">
        <v>984</v>
      </c>
      <c r="D408" t="s">
        <v>985</v>
      </c>
      <c r="E408" t="s">
        <v>280</v>
      </c>
      <c r="F408" t="s">
        <v>281</v>
      </c>
      <c r="G408" t="s">
        <v>2710</v>
      </c>
      <c r="H408" t="s">
        <v>2125</v>
      </c>
      <c r="I408">
        <v>3</v>
      </c>
      <c r="J408" t="s">
        <v>2492</v>
      </c>
      <c r="K408" t="s">
        <v>112</v>
      </c>
      <c r="L408">
        <v>390</v>
      </c>
      <c r="M408" s="2">
        <v>0.42152777777777778</v>
      </c>
      <c r="N408" t="s">
        <v>2486</v>
      </c>
      <c r="O408">
        <v>2019</v>
      </c>
      <c r="P408">
        <v>2017</v>
      </c>
      <c r="Q408" s="1">
        <v>44791</v>
      </c>
      <c r="R408" s="1">
        <v>44787</v>
      </c>
      <c r="S408" t="s">
        <v>16</v>
      </c>
    </row>
    <row r="409" spans="1:19" x14ac:dyDescent="0.25">
      <c r="A409">
        <v>408</v>
      </c>
      <c r="B409">
        <v>23787900</v>
      </c>
      <c r="C409" t="s">
        <v>2713</v>
      </c>
      <c r="D409" t="s">
        <v>17</v>
      </c>
      <c r="E409" t="s">
        <v>986</v>
      </c>
      <c r="F409" t="s">
        <v>987</v>
      </c>
      <c r="H409" t="s">
        <v>2126</v>
      </c>
      <c r="I409">
        <v>3</v>
      </c>
      <c r="J409" t="s">
        <v>2189</v>
      </c>
      <c r="K409" t="s">
        <v>2488</v>
      </c>
      <c r="L409">
        <v>208</v>
      </c>
      <c r="N409" t="s">
        <v>2494</v>
      </c>
      <c r="O409">
        <v>2015</v>
      </c>
      <c r="P409">
        <v>2014</v>
      </c>
      <c r="Q409" s="1">
        <v>44790</v>
      </c>
      <c r="R409" s="1">
        <v>44787</v>
      </c>
      <c r="S409" t="s">
        <v>16</v>
      </c>
    </row>
    <row r="410" spans="1:19" x14ac:dyDescent="0.25">
      <c r="A410">
        <v>409</v>
      </c>
      <c r="B410">
        <v>58203248</v>
      </c>
      <c r="C410" t="s">
        <v>988</v>
      </c>
      <c r="D410" t="s">
        <v>17</v>
      </c>
      <c r="E410" t="s">
        <v>989</v>
      </c>
      <c r="F410" t="s">
        <v>990</v>
      </c>
      <c r="H410" t="s">
        <v>2127</v>
      </c>
      <c r="I410">
        <v>3</v>
      </c>
      <c r="J410" t="s">
        <v>2128</v>
      </c>
      <c r="K410" t="s">
        <v>2488</v>
      </c>
      <c r="L410">
        <v>216</v>
      </c>
      <c r="N410" t="s">
        <v>2486</v>
      </c>
      <c r="O410">
        <v>2021</v>
      </c>
      <c r="P410">
        <v>2021</v>
      </c>
      <c r="Q410" s="1">
        <v>44786</v>
      </c>
      <c r="R410" s="1">
        <v>44785</v>
      </c>
      <c r="S410" t="s">
        <v>16</v>
      </c>
    </row>
    <row r="411" spans="1:19" x14ac:dyDescent="0.25">
      <c r="A411">
        <v>410</v>
      </c>
      <c r="B411">
        <v>34328716</v>
      </c>
      <c r="C411" t="s">
        <v>991</v>
      </c>
      <c r="D411" t="s">
        <v>992</v>
      </c>
      <c r="E411" t="s">
        <v>280</v>
      </c>
      <c r="F411" t="s">
        <v>281</v>
      </c>
      <c r="G411" t="s">
        <v>2710</v>
      </c>
      <c r="H411" t="s">
        <v>2129</v>
      </c>
      <c r="I411">
        <v>3</v>
      </c>
      <c r="J411" t="s">
        <v>2492</v>
      </c>
      <c r="K411" t="s">
        <v>112</v>
      </c>
      <c r="L411">
        <v>341</v>
      </c>
      <c r="M411" s="2">
        <v>0.42083333333333334</v>
      </c>
      <c r="N411" t="s">
        <v>2486</v>
      </c>
      <c r="O411">
        <v>2018</v>
      </c>
      <c r="P411">
        <v>2008</v>
      </c>
      <c r="Q411" s="1">
        <v>44785</v>
      </c>
      <c r="R411" s="1">
        <v>44785</v>
      </c>
      <c r="S411" t="s">
        <v>16</v>
      </c>
    </row>
    <row r="412" spans="1:19" x14ac:dyDescent="0.25">
      <c r="A412">
        <v>411</v>
      </c>
      <c r="B412">
        <v>30090072</v>
      </c>
      <c r="C412" t="s">
        <v>993</v>
      </c>
      <c r="D412" t="s">
        <v>2714</v>
      </c>
      <c r="E412" t="s">
        <v>280</v>
      </c>
      <c r="F412" t="s">
        <v>281</v>
      </c>
      <c r="G412" t="s">
        <v>2710</v>
      </c>
      <c r="H412" t="s">
        <v>2130</v>
      </c>
      <c r="I412">
        <v>3</v>
      </c>
      <c r="J412" t="s">
        <v>2492</v>
      </c>
      <c r="K412" t="s">
        <v>112</v>
      </c>
      <c r="L412">
        <v>312</v>
      </c>
      <c r="M412" s="2">
        <v>0.42083333333333334</v>
      </c>
      <c r="N412" t="s">
        <v>2486</v>
      </c>
      <c r="O412">
        <v>2016</v>
      </c>
      <c r="P412">
        <v>2007</v>
      </c>
      <c r="Q412" s="1">
        <v>44783</v>
      </c>
      <c r="R412" s="1">
        <v>44783</v>
      </c>
      <c r="S412" t="s">
        <v>16</v>
      </c>
    </row>
    <row r="413" spans="1:19" x14ac:dyDescent="0.25">
      <c r="A413">
        <v>412</v>
      </c>
      <c r="B413">
        <v>43790496</v>
      </c>
      <c r="C413" t="s">
        <v>994</v>
      </c>
      <c r="D413" t="s">
        <v>995</v>
      </c>
      <c r="E413" t="s">
        <v>996</v>
      </c>
      <c r="F413" t="s">
        <v>997</v>
      </c>
      <c r="H413" t="s">
        <v>2131</v>
      </c>
      <c r="I413">
        <v>4</v>
      </c>
      <c r="J413" t="s">
        <v>1878</v>
      </c>
      <c r="K413" t="s">
        <v>57</v>
      </c>
      <c r="L413">
        <v>384</v>
      </c>
      <c r="N413" t="s">
        <v>2486</v>
      </c>
      <c r="O413">
        <v>2019</v>
      </c>
      <c r="P413">
        <v>2019</v>
      </c>
      <c r="Q413" s="1">
        <v>44783</v>
      </c>
      <c r="R413" s="1">
        <v>44779</v>
      </c>
      <c r="S413" t="s">
        <v>16</v>
      </c>
    </row>
    <row r="414" spans="1:19" x14ac:dyDescent="0.25">
      <c r="A414">
        <v>413</v>
      </c>
      <c r="B414">
        <v>36486058</v>
      </c>
      <c r="C414" t="s">
        <v>998</v>
      </c>
      <c r="D414" t="s">
        <v>999</v>
      </c>
      <c r="E414" t="s">
        <v>996</v>
      </c>
      <c r="F414" t="s">
        <v>997</v>
      </c>
      <c r="H414" t="s">
        <v>2132</v>
      </c>
      <c r="I414">
        <v>4</v>
      </c>
      <c r="J414" t="s">
        <v>1878</v>
      </c>
      <c r="K414" t="s">
        <v>57</v>
      </c>
      <c r="L414">
        <v>320</v>
      </c>
      <c r="N414" t="s">
        <v>2486</v>
      </c>
      <c r="O414">
        <v>2017</v>
      </c>
      <c r="P414">
        <v>2017</v>
      </c>
      <c r="Q414" s="1">
        <v>44778</v>
      </c>
      <c r="R414" s="1">
        <v>44776</v>
      </c>
      <c r="S414" t="s">
        <v>16</v>
      </c>
    </row>
    <row r="415" spans="1:19" x14ac:dyDescent="0.25">
      <c r="A415">
        <v>414</v>
      </c>
      <c r="B415">
        <v>26081878</v>
      </c>
      <c r="C415" t="s">
        <v>1000</v>
      </c>
      <c r="D415" t="s">
        <v>2715</v>
      </c>
      <c r="E415" t="s">
        <v>280</v>
      </c>
      <c r="F415" t="s">
        <v>281</v>
      </c>
      <c r="G415" t="s">
        <v>2710</v>
      </c>
      <c r="H415" t="s">
        <v>2133</v>
      </c>
      <c r="I415">
        <v>3</v>
      </c>
      <c r="J415" t="s">
        <v>2492</v>
      </c>
      <c r="K415" t="s">
        <v>112</v>
      </c>
      <c r="L415">
        <v>400</v>
      </c>
      <c r="M415" s="2">
        <v>0.48125000000000001</v>
      </c>
      <c r="N415" t="s">
        <v>2486</v>
      </c>
      <c r="O415">
        <v>2015</v>
      </c>
      <c r="P415">
        <v>2006</v>
      </c>
      <c r="Q415" s="1">
        <v>44778</v>
      </c>
      <c r="R415" s="1">
        <v>44775</v>
      </c>
      <c r="S415" t="s">
        <v>16</v>
      </c>
    </row>
    <row r="416" spans="1:19" x14ac:dyDescent="0.25">
      <c r="A416">
        <v>415</v>
      </c>
      <c r="B416">
        <v>33012500</v>
      </c>
      <c r="C416" t="s">
        <v>1001</v>
      </c>
      <c r="D416" t="s">
        <v>17</v>
      </c>
      <c r="E416" t="s">
        <v>1002</v>
      </c>
      <c r="F416" t="s">
        <v>1003</v>
      </c>
      <c r="H416" t="s">
        <v>2134</v>
      </c>
      <c r="I416">
        <v>2</v>
      </c>
      <c r="J416" t="s">
        <v>1944</v>
      </c>
      <c r="K416" t="s">
        <v>57</v>
      </c>
      <c r="L416">
        <v>288</v>
      </c>
      <c r="N416" t="s">
        <v>2494</v>
      </c>
      <c r="O416">
        <v>2016</v>
      </c>
      <c r="P416">
        <v>2009</v>
      </c>
      <c r="Q416" s="1">
        <v>44775</v>
      </c>
      <c r="R416" s="1">
        <v>44746</v>
      </c>
      <c r="S416" t="s">
        <v>16</v>
      </c>
    </row>
    <row r="417" spans="1:19" x14ac:dyDescent="0.25">
      <c r="A417">
        <v>416</v>
      </c>
      <c r="B417">
        <v>48776591</v>
      </c>
      <c r="C417" t="s">
        <v>1004</v>
      </c>
      <c r="D417" t="s">
        <v>1005</v>
      </c>
      <c r="E417" t="s">
        <v>1006</v>
      </c>
      <c r="F417" t="s">
        <v>1007</v>
      </c>
      <c r="H417" t="str">
        <f>"9781538701942"</f>
        <v>9781538701942</v>
      </c>
      <c r="I417">
        <v>3</v>
      </c>
      <c r="J417" t="s">
        <v>1905</v>
      </c>
      <c r="K417" t="s">
        <v>57</v>
      </c>
      <c r="L417">
        <v>412</v>
      </c>
      <c r="N417" t="s">
        <v>2603</v>
      </c>
      <c r="O417">
        <v>2022</v>
      </c>
      <c r="P417">
        <v>2019</v>
      </c>
      <c r="Q417" s="1">
        <v>44773</v>
      </c>
      <c r="R417" s="1">
        <v>44725</v>
      </c>
      <c r="S417" t="s">
        <v>16</v>
      </c>
    </row>
    <row r="418" spans="1:19" x14ac:dyDescent="0.25">
      <c r="A418">
        <v>417</v>
      </c>
      <c r="B418">
        <v>7419807</v>
      </c>
      <c r="C418" t="s">
        <v>1008</v>
      </c>
      <c r="D418" t="s">
        <v>1009</v>
      </c>
      <c r="E418" t="s">
        <v>1010</v>
      </c>
      <c r="F418" t="s">
        <v>1011</v>
      </c>
      <c r="G418" t="s">
        <v>2716</v>
      </c>
      <c r="H418" t="s">
        <v>2135</v>
      </c>
      <c r="I418">
        <v>2</v>
      </c>
      <c r="J418" t="s">
        <v>2492</v>
      </c>
      <c r="K418" t="s">
        <v>112</v>
      </c>
      <c r="L418">
        <v>432</v>
      </c>
      <c r="M418" s="2">
        <v>0.76944444444444449</v>
      </c>
      <c r="N418" t="s">
        <v>2486</v>
      </c>
      <c r="O418">
        <v>2022</v>
      </c>
      <c r="P418">
        <v>1976</v>
      </c>
      <c r="Q418" s="1">
        <v>44772</v>
      </c>
      <c r="R418" s="1">
        <v>44766</v>
      </c>
      <c r="S418" t="s">
        <v>16</v>
      </c>
    </row>
    <row r="419" spans="1:19" x14ac:dyDescent="0.25">
      <c r="A419">
        <v>418</v>
      </c>
      <c r="B419">
        <v>61078268</v>
      </c>
      <c r="C419" t="s">
        <v>1012</v>
      </c>
      <c r="D419" t="s">
        <v>17</v>
      </c>
      <c r="E419" t="s">
        <v>1013</v>
      </c>
      <c r="F419" t="s">
        <v>1014</v>
      </c>
      <c r="H419" t="s">
        <v>2136</v>
      </c>
      <c r="I419">
        <v>4</v>
      </c>
      <c r="J419" t="s">
        <v>1723</v>
      </c>
      <c r="K419" t="s">
        <v>2488</v>
      </c>
      <c r="L419">
        <v>368</v>
      </c>
      <c r="N419" t="s">
        <v>2494</v>
      </c>
      <c r="O419">
        <v>2022</v>
      </c>
      <c r="P419">
        <v>2021</v>
      </c>
      <c r="Q419" s="1">
        <v>44768</v>
      </c>
      <c r="R419" s="1">
        <v>44756</v>
      </c>
      <c r="S419" t="s">
        <v>16</v>
      </c>
    </row>
    <row r="420" spans="1:19" x14ac:dyDescent="0.25">
      <c r="A420">
        <v>419</v>
      </c>
      <c r="B420">
        <v>7419749</v>
      </c>
      <c r="C420" t="s">
        <v>1015</v>
      </c>
      <c r="D420" t="s">
        <v>1016</v>
      </c>
      <c r="E420" t="s">
        <v>1010</v>
      </c>
      <c r="F420" t="s">
        <v>1011</v>
      </c>
      <c r="G420" t="s">
        <v>2717</v>
      </c>
      <c r="H420" t="s">
        <v>2137</v>
      </c>
      <c r="I420">
        <v>3</v>
      </c>
      <c r="J420" t="s">
        <v>2492</v>
      </c>
      <c r="K420" t="s">
        <v>112</v>
      </c>
      <c r="L420">
        <v>256</v>
      </c>
      <c r="M420" s="2">
        <v>0.40486111111111112</v>
      </c>
      <c r="N420" t="s">
        <v>2486</v>
      </c>
      <c r="O420">
        <v>2021</v>
      </c>
      <c r="P420">
        <v>1969</v>
      </c>
      <c r="Q420" s="1">
        <v>44766</v>
      </c>
      <c r="R420" s="1">
        <v>44760</v>
      </c>
      <c r="S420" t="s">
        <v>16</v>
      </c>
    </row>
    <row r="421" spans="1:19" x14ac:dyDescent="0.25">
      <c r="A421">
        <v>420</v>
      </c>
      <c r="B421">
        <v>7419732</v>
      </c>
      <c r="C421" t="s">
        <v>1017</v>
      </c>
      <c r="D421" t="s">
        <v>1018</v>
      </c>
      <c r="E421" t="s">
        <v>1010</v>
      </c>
      <c r="F421" t="s">
        <v>1011</v>
      </c>
      <c r="G421" t="s">
        <v>2718</v>
      </c>
      <c r="H421" t="s">
        <v>2138</v>
      </c>
      <c r="I421">
        <v>3</v>
      </c>
      <c r="J421" t="s">
        <v>2492</v>
      </c>
      <c r="K421" t="s">
        <v>112</v>
      </c>
      <c r="L421">
        <v>638</v>
      </c>
      <c r="M421" s="2">
        <v>0.91666666666666663</v>
      </c>
      <c r="N421" t="s">
        <v>2486</v>
      </c>
      <c r="O421">
        <v>2016</v>
      </c>
      <c r="P421">
        <v>1965</v>
      </c>
      <c r="Q421" s="1">
        <v>44762</v>
      </c>
      <c r="R421" s="1">
        <v>44757</v>
      </c>
      <c r="S421" t="s">
        <v>16</v>
      </c>
    </row>
    <row r="422" spans="1:19" x14ac:dyDescent="0.25">
      <c r="A422">
        <v>421</v>
      </c>
      <c r="B422">
        <v>39908713</v>
      </c>
      <c r="C422" t="s">
        <v>1019</v>
      </c>
      <c r="D422" t="s">
        <v>17</v>
      </c>
      <c r="E422" t="s">
        <v>1020</v>
      </c>
      <c r="F422" t="s">
        <v>1021</v>
      </c>
      <c r="H422" t="s">
        <v>2139</v>
      </c>
      <c r="I422">
        <v>4</v>
      </c>
      <c r="J422" t="s">
        <v>2140</v>
      </c>
      <c r="K422" t="s">
        <v>2488</v>
      </c>
      <c r="L422">
        <v>336</v>
      </c>
      <c r="N422" t="s">
        <v>2494</v>
      </c>
      <c r="O422">
        <v>2018</v>
      </c>
      <c r="P422">
        <v>2018</v>
      </c>
      <c r="Q422" s="1">
        <v>44756</v>
      </c>
      <c r="R422" s="1">
        <v>44748</v>
      </c>
      <c r="S422" t="s">
        <v>16</v>
      </c>
    </row>
    <row r="423" spans="1:19" x14ac:dyDescent="0.25">
      <c r="A423">
        <v>422</v>
      </c>
      <c r="B423">
        <v>6495218</v>
      </c>
      <c r="C423" t="s">
        <v>1022</v>
      </c>
      <c r="D423" t="s">
        <v>1023</v>
      </c>
      <c r="E423" t="s">
        <v>174</v>
      </c>
      <c r="F423" t="s">
        <v>175</v>
      </c>
      <c r="H423" t="s">
        <v>2141</v>
      </c>
      <c r="I423">
        <v>3</v>
      </c>
      <c r="J423" t="s">
        <v>1670</v>
      </c>
      <c r="K423" t="s">
        <v>57</v>
      </c>
      <c r="L423">
        <v>271</v>
      </c>
      <c r="N423" t="s">
        <v>2486</v>
      </c>
      <c r="O423">
        <v>1996</v>
      </c>
      <c r="P423">
        <v>1986</v>
      </c>
      <c r="Q423" s="1">
        <v>44755</v>
      </c>
      <c r="R423" s="1">
        <v>44751</v>
      </c>
      <c r="S423" t="s">
        <v>16</v>
      </c>
    </row>
    <row r="424" spans="1:19" x14ac:dyDescent="0.25">
      <c r="A424">
        <v>423</v>
      </c>
      <c r="B424">
        <v>6495199</v>
      </c>
      <c r="C424" t="s">
        <v>1024</v>
      </c>
      <c r="D424" t="s">
        <v>1025</v>
      </c>
      <c r="E424" t="s">
        <v>174</v>
      </c>
      <c r="F424" t="s">
        <v>175</v>
      </c>
      <c r="H424" t="s">
        <v>2142</v>
      </c>
      <c r="I424">
        <v>3</v>
      </c>
      <c r="J424" t="s">
        <v>1670</v>
      </c>
      <c r="K424" t="s">
        <v>57</v>
      </c>
      <c r="L424">
        <v>292</v>
      </c>
      <c r="N424" t="s">
        <v>2486</v>
      </c>
      <c r="O424">
        <v>1993</v>
      </c>
      <c r="P424">
        <v>1983</v>
      </c>
      <c r="Q424" s="1">
        <v>44753</v>
      </c>
      <c r="R424" s="1">
        <v>44748</v>
      </c>
      <c r="S424" t="s">
        <v>16</v>
      </c>
    </row>
    <row r="425" spans="1:19" x14ac:dyDescent="0.25">
      <c r="A425">
        <v>424</v>
      </c>
      <c r="B425">
        <v>54141980</v>
      </c>
      <c r="C425" t="s">
        <v>1026</v>
      </c>
      <c r="D425" t="s">
        <v>17</v>
      </c>
      <c r="E425" t="s">
        <v>280</v>
      </c>
      <c r="F425" t="s">
        <v>281</v>
      </c>
      <c r="G425" t="s">
        <v>2719</v>
      </c>
      <c r="H425" t="s">
        <v>2143</v>
      </c>
      <c r="I425">
        <v>3</v>
      </c>
      <c r="J425" t="s">
        <v>2492</v>
      </c>
      <c r="K425" t="s">
        <v>112</v>
      </c>
      <c r="L425">
        <v>380</v>
      </c>
      <c r="M425" s="2">
        <v>0.38819444444444445</v>
      </c>
      <c r="N425" t="s">
        <v>2486</v>
      </c>
      <c r="O425">
        <v>2020</v>
      </c>
      <c r="P425">
        <v>2020</v>
      </c>
      <c r="Q425" s="1">
        <v>44750</v>
      </c>
      <c r="R425" s="1">
        <v>44715</v>
      </c>
      <c r="S425" t="s">
        <v>16</v>
      </c>
    </row>
    <row r="426" spans="1:19" x14ac:dyDescent="0.25">
      <c r="A426">
        <v>425</v>
      </c>
      <c r="B426">
        <v>53122884</v>
      </c>
      <c r="C426" t="s">
        <v>1027</v>
      </c>
      <c r="D426" t="s">
        <v>1028</v>
      </c>
      <c r="E426" t="s">
        <v>359</v>
      </c>
      <c r="F426" t="s">
        <v>360</v>
      </c>
      <c r="G426" t="s">
        <v>2710</v>
      </c>
      <c r="H426" t="str">
        <f>"9788076624085"</f>
        <v>9788076624085</v>
      </c>
      <c r="I426">
        <v>3</v>
      </c>
      <c r="J426" t="s">
        <v>2545</v>
      </c>
      <c r="K426" t="s">
        <v>112</v>
      </c>
      <c r="L426">
        <v>584</v>
      </c>
      <c r="M426" s="2">
        <v>0.8208333333333333</v>
      </c>
      <c r="N426" t="s">
        <v>2486</v>
      </c>
      <c r="O426">
        <v>2020</v>
      </c>
      <c r="P426">
        <v>2019</v>
      </c>
      <c r="Q426" s="1">
        <v>44749</v>
      </c>
      <c r="R426" s="1">
        <v>44747</v>
      </c>
      <c r="S426" t="s">
        <v>16</v>
      </c>
    </row>
    <row r="427" spans="1:19" x14ac:dyDescent="0.25">
      <c r="A427">
        <v>426</v>
      </c>
      <c r="B427">
        <v>34469429</v>
      </c>
      <c r="C427" t="s">
        <v>1029</v>
      </c>
      <c r="D427" t="s">
        <v>1030</v>
      </c>
      <c r="E427" t="s">
        <v>359</v>
      </c>
      <c r="F427" t="s">
        <v>360</v>
      </c>
      <c r="G427" t="s">
        <v>2710</v>
      </c>
      <c r="H427" t="s">
        <v>2144</v>
      </c>
      <c r="I427">
        <v>3</v>
      </c>
      <c r="J427" t="s">
        <v>1820</v>
      </c>
      <c r="K427" t="s">
        <v>112</v>
      </c>
      <c r="L427">
        <v>560</v>
      </c>
      <c r="M427" s="2">
        <v>0.81319444444444444</v>
      </c>
      <c r="N427" t="s">
        <v>2486</v>
      </c>
      <c r="O427">
        <v>2019</v>
      </c>
      <c r="P427">
        <v>2017</v>
      </c>
      <c r="Q427" s="1">
        <v>44747</v>
      </c>
      <c r="R427" s="1">
        <v>44744</v>
      </c>
      <c r="S427" t="s">
        <v>16</v>
      </c>
    </row>
    <row r="428" spans="1:19" x14ac:dyDescent="0.25">
      <c r="A428">
        <v>427</v>
      </c>
      <c r="B428">
        <v>53958983</v>
      </c>
      <c r="C428" t="s">
        <v>1031</v>
      </c>
      <c r="D428" t="s">
        <v>17</v>
      </c>
      <c r="E428" t="s">
        <v>954</v>
      </c>
      <c r="F428" t="s">
        <v>955</v>
      </c>
      <c r="H428" t="s">
        <v>2145</v>
      </c>
      <c r="I428">
        <v>3</v>
      </c>
      <c r="J428" t="s">
        <v>1770</v>
      </c>
      <c r="K428" t="s">
        <v>57</v>
      </c>
      <c r="L428">
        <v>384</v>
      </c>
      <c r="N428" t="s">
        <v>2494</v>
      </c>
      <c r="O428">
        <v>2020</v>
      </c>
      <c r="P428">
        <v>2019</v>
      </c>
      <c r="Q428" s="1">
        <v>44745</v>
      </c>
      <c r="R428" s="1">
        <v>44682</v>
      </c>
      <c r="S428" t="s">
        <v>16</v>
      </c>
    </row>
    <row r="429" spans="1:19" x14ac:dyDescent="0.25">
      <c r="A429">
        <v>428</v>
      </c>
      <c r="B429">
        <v>24580607</v>
      </c>
      <c r="C429" t="s">
        <v>1032</v>
      </c>
      <c r="D429" t="s">
        <v>1033</v>
      </c>
      <c r="E429" t="s">
        <v>359</v>
      </c>
      <c r="F429" t="s">
        <v>360</v>
      </c>
      <c r="G429" t="s">
        <v>2710</v>
      </c>
      <c r="H429" t="s">
        <v>2146</v>
      </c>
      <c r="I429">
        <v>3</v>
      </c>
      <c r="J429" t="s">
        <v>2492</v>
      </c>
      <c r="K429" t="s">
        <v>112</v>
      </c>
      <c r="L429">
        <v>607</v>
      </c>
      <c r="M429" s="2">
        <v>0.58472222222222225</v>
      </c>
      <c r="N429" t="s">
        <v>2486</v>
      </c>
      <c r="O429">
        <v>2015</v>
      </c>
      <c r="P429">
        <v>2013</v>
      </c>
      <c r="Q429" s="1">
        <v>44743</v>
      </c>
      <c r="R429" s="1">
        <v>44743</v>
      </c>
      <c r="S429" t="s">
        <v>16</v>
      </c>
    </row>
    <row r="430" spans="1:19" x14ac:dyDescent="0.25">
      <c r="A430">
        <v>429</v>
      </c>
      <c r="B430">
        <v>59967608</v>
      </c>
      <c r="C430" t="s">
        <v>1034</v>
      </c>
      <c r="D430" t="s">
        <v>17</v>
      </c>
      <c r="E430" t="s">
        <v>18</v>
      </c>
      <c r="F430" t="s">
        <v>19</v>
      </c>
      <c r="H430" t="s">
        <v>2147</v>
      </c>
      <c r="I430">
        <v>4</v>
      </c>
      <c r="J430" t="s">
        <v>2148</v>
      </c>
      <c r="K430" t="s">
        <v>2488</v>
      </c>
      <c r="L430">
        <v>257</v>
      </c>
      <c r="N430" t="s">
        <v>2494</v>
      </c>
      <c r="O430">
        <v>2021</v>
      </c>
      <c r="P430">
        <v>2021</v>
      </c>
      <c r="Q430" s="1">
        <v>44737</v>
      </c>
      <c r="R430" s="1">
        <v>44606</v>
      </c>
      <c r="S430" t="s">
        <v>16</v>
      </c>
    </row>
    <row r="431" spans="1:19" x14ac:dyDescent="0.25">
      <c r="A431">
        <v>430</v>
      </c>
      <c r="B431">
        <v>22669982</v>
      </c>
      <c r="C431" t="s">
        <v>1035</v>
      </c>
      <c r="D431" t="s">
        <v>1036</v>
      </c>
      <c r="E431" t="s">
        <v>359</v>
      </c>
      <c r="F431" t="s">
        <v>360</v>
      </c>
      <c r="G431" t="s">
        <v>2720</v>
      </c>
      <c r="H431" t="s">
        <v>2149</v>
      </c>
      <c r="I431">
        <v>3</v>
      </c>
      <c r="J431" t="s">
        <v>2492</v>
      </c>
      <c r="K431" t="s">
        <v>112</v>
      </c>
      <c r="L431">
        <v>515</v>
      </c>
      <c r="M431" s="2">
        <v>0.61458333333333337</v>
      </c>
      <c r="N431" t="s">
        <v>2486</v>
      </c>
      <c r="O431">
        <v>2014</v>
      </c>
      <c r="P431">
        <v>2011</v>
      </c>
      <c r="Q431" s="1">
        <v>44735</v>
      </c>
      <c r="R431" s="1">
        <v>44733</v>
      </c>
      <c r="S431" t="s">
        <v>16</v>
      </c>
    </row>
    <row r="432" spans="1:19" x14ac:dyDescent="0.25">
      <c r="A432">
        <v>431</v>
      </c>
      <c r="B432">
        <v>51918871</v>
      </c>
      <c r="C432" t="s">
        <v>2721</v>
      </c>
      <c r="D432" t="s">
        <v>17</v>
      </c>
      <c r="E432" t="s">
        <v>1037</v>
      </c>
      <c r="F432" t="s">
        <v>1038</v>
      </c>
      <c r="H432" t="s">
        <v>2150</v>
      </c>
      <c r="I432">
        <v>4</v>
      </c>
      <c r="J432" t="s">
        <v>1959</v>
      </c>
      <c r="K432" t="s">
        <v>2488</v>
      </c>
      <c r="L432">
        <v>470</v>
      </c>
      <c r="N432" t="s">
        <v>2494</v>
      </c>
      <c r="O432">
        <v>2020</v>
      </c>
      <c r="P432">
        <v>2019</v>
      </c>
      <c r="Q432" s="1">
        <v>44046</v>
      </c>
      <c r="R432" s="1">
        <v>44029</v>
      </c>
      <c r="S432" t="s">
        <v>16</v>
      </c>
    </row>
    <row r="433" spans="1:19" x14ac:dyDescent="0.25">
      <c r="A433">
        <v>432</v>
      </c>
      <c r="B433">
        <v>60616301</v>
      </c>
      <c r="C433" t="s">
        <v>1039</v>
      </c>
      <c r="D433" t="s">
        <v>17</v>
      </c>
      <c r="E433" t="s">
        <v>1040</v>
      </c>
      <c r="F433" t="s">
        <v>1041</v>
      </c>
      <c r="H433" t="s">
        <v>2151</v>
      </c>
      <c r="I433">
        <v>3</v>
      </c>
      <c r="J433" t="s">
        <v>1723</v>
      </c>
      <c r="K433" t="s">
        <v>2488</v>
      </c>
      <c r="L433">
        <v>304</v>
      </c>
      <c r="N433" t="s">
        <v>2494</v>
      </c>
      <c r="O433">
        <v>2022</v>
      </c>
      <c r="P433">
        <v>2022</v>
      </c>
      <c r="Q433" s="1">
        <v>44729</v>
      </c>
      <c r="R433" s="1">
        <v>44711</v>
      </c>
      <c r="S433" t="s">
        <v>16</v>
      </c>
    </row>
    <row r="434" spans="1:19" x14ac:dyDescent="0.25">
      <c r="A434">
        <v>433</v>
      </c>
      <c r="B434">
        <v>23355220</v>
      </c>
      <c r="C434" t="s">
        <v>2722</v>
      </c>
      <c r="D434" t="s">
        <v>1042</v>
      </c>
      <c r="E434" t="s">
        <v>359</v>
      </c>
      <c r="F434" t="s">
        <v>360</v>
      </c>
      <c r="H434" t="str">
        <f>"9788074731402"</f>
        <v>9788074731402</v>
      </c>
      <c r="I434">
        <v>3</v>
      </c>
      <c r="J434" t="s">
        <v>1820</v>
      </c>
      <c r="K434" t="s">
        <v>57</v>
      </c>
      <c r="L434">
        <v>634</v>
      </c>
      <c r="N434" t="s">
        <v>2486</v>
      </c>
      <c r="O434">
        <v>2013</v>
      </c>
      <c r="P434">
        <v>2009</v>
      </c>
      <c r="Q434" s="1">
        <v>44728</v>
      </c>
      <c r="R434" s="1">
        <v>44723</v>
      </c>
      <c r="S434" t="s">
        <v>16</v>
      </c>
    </row>
    <row r="435" spans="1:19" x14ac:dyDescent="0.25">
      <c r="A435">
        <v>434</v>
      </c>
      <c r="B435">
        <v>58294135</v>
      </c>
      <c r="C435" t="s">
        <v>1043</v>
      </c>
      <c r="D435" t="s">
        <v>1044</v>
      </c>
      <c r="E435" t="s">
        <v>1006</v>
      </c>
      <c r="F435" t="s">
        <v>1007</v>
      </c>
      <c r="H435" t="s">
        <v>2152</v>
      </c>
      <c r="I435">
        <v>3</v>
      </c>
      <c r="J435" t="s">
        <v>1685</v>
      </c>
      <c r="K435" t="s">
        <v>57</v>
      </c>
      <c r="L435">
        <v>344</v>
      </c>
      <c r="N435" t="s">
        <v>2486</v>
      </c>
      <c r="O435">
        <v>2021</v>
      </c>
      <c r="P435">
        <v>2019</v>
      </c>
      <c r="Q435" s="1">
        <v>44723</v>
      </c>
      <c r="R435" s="1">
        <v>44721</v>
      </c>
      <c r="S435" t="s">
        <v>16</v>
      </c>
    </row>
    <row r="436" spans="1:19" x14ac:dyDescent="0.25">
      <c r="A436">
        <v>435</v>
      </c>
      <c r="B436">
        <v>16131706</v>
      </c>
      <c r="C436" t="s">
        <v>1045</v>
      </c>
      <c r="D436" t="s">
        <v>17</v>
      </c>
      <c r="E436" t="s">
        <v>359</v>
      </c>
      <c r="F436" t="s">
        <v>360</v>
      </c>
      <c r="G436" t="s">
        <v>2531</v>
      </c>
      <c r="H436" t="s">
        <v>2153</v>
      </c>
      <c r="I436">
        <v>3</v>
      </c>
      <c r="J436" t="s">
        <v>1668</v>
      </c>
      <c r="K436" t="s">
        <v>112</v>
      </c>
      <c r="L436">
        <v>375</v>
      </c>
      <c r="M436" s="2">
        <v>0.58402777777777781</v>
      </c>
      <c r="N436" t="s">
        <v>2494</v>
      </c>
      <c r="O436">
        <v>2014</v>
      </c>
      <c r="P436">
        <v>2007</v>
      </c>
      <c r="Q436" s="1">
        <v>44721</v>
      </c>
      <c r="R436" s="1">
        <v>44718</v>
      </c>
      <c r="S436" t="s">
        <v>16</v>
      </c>
    </row>
    <row r="437" spans="1:19" x14ac:dyDescent="0.25">
      <c r="A437">
        <v>436</v>
      </c>
      <c r="B437">
        <v>56233955</v>
      </c>
      <c r="C437" t="s">
        <v>1046</v>
      </c>
      <c r="D437" t="s">
        <v>1047</v>
      </c>
      <c r="E437" t="s">
        <v>1006</v>
      </c>
      <c r="F437" t="s">
        <v>1007</v>
      </c>
      <c r="H437" t="s">
        <v>2154</v>
      </c>
      <c r="I437">
        <v>3</v>
      </c>
      <c r="J437" t="s">
        <v>1685</v>
      </c>
      <c r="K437" t="s">
        <v>57</v>
      </c>
      <c r="L437">
        <v>400</v>
      </c>
      <c r="N437" t="s">
        <v>2486</v>
      </c>
      <c r="O437">
        <v>2020</v>
      </c>
      <c r="P437">
        <v>2019</v>
      </c>
      <c r="Q437" s="1">
        <v>44716</v>
      </c>
      <c r="R437" s="1">
        <v>44713</v>
      </c>
      <c r="S437" t="s">
        <v>16</v>
      </c>
    </row>
    <row r="438" spans="1:19" x14ac:dyDescent="0.25">
      <c r="A438">
        <v>437</v>
      </c>
      <c r="B438">
        <v>13485637</v>
      </c>
      <c r="C438" t="s">
        <v>1048</v>
      </c>
      <c r="D438" t="s">
        <v>1049</v>
      </c>
      <c r="E438" t="s">
        <v>359</v>
      </c>
      <c r="F438" t="s">
        <v>360</v>
      </c>
      <c r="G438" t="s">
        <v>2710</v>
      </c>
      <c r="H438" t="s">
        <v>2155</v>
      </c>
      <c r="I438">
        <v>3</v>
      </c>
      <c r="J438" t="s">
        <v>2545</v>
      </c>
      <c r="K438" t="s">
        <v>112</v>
      </c>
      <c r="L438">
        <v>526</v>
      </c>
      <c r="M438" s="2">
        <v>0.74583333333333335</v>
      </c>
      <c r="N438" t="s">
        <v>2486</v>
      </c>
      <c r="O438">
        <v>2020</v>
      </c>
      <c r="P438">
        <v>2005</v>
      </c>
      <c r="Q438" s="1">
        <v>44716</v>
      </c>
      <c r="R438" s="1">
        <v>44716</v>
      </c>
      <c r="S438" t="s">
        <v>16</v>
      </c>
    </row>
    <row r="439" spans="1:19" x14ac:dyDescent="0.25">
      <c r="A439">
        <v>438</v>
      </c>
      <c r="B439">
        <v>26506</v>
      </c>
      <c r="C439" t="s">
        <v>1150</v>
      </c>
      <c r="D439" t="s">
        <v>17</v>
      </c>
      <c r="E439" t="s">
        <v>1050</v>
      </c>
      <c r="F439" t="s">
        <v>1051</v>
      </c>
      <c r="H439" t="s">
        <v>2156</v>
      </c>
      <c r="I439">
        <v>3</v>
      </c>
      <c r="J439" t="s">
        <v>1668</v>
      </c>
      <c r="K439" t="s">
        <v>2488</v>
      </c>
      <c r="L439">
        <v>341</v>
      </c>
      <c r="N439" t="s">
        <v>2494</v>
      </c>
      <c r="O439">
        <v>2007</v>
      </c>
      <c r="P439">
        <v>2007</v>
      </c>
      <c r="Q439" s="1">
        <v>44712</v>
      </c>
      <c r="R439" s="1">
        <v>44707</v>
      </c>
      <c r="S439" t="s">
        <v>16</v>
      </c>
    </row>
    <row r="440" spans="1:19" x14ac:dyDescent="0.25">
      <c r="A440">
        <v>439</v>
      </c>
      <c r="B440">
        <v>10058900</v>
      </c>
      <c r="C440" t="s">
        <v>1052</v>
      </c>
      <c r="D440" t="s">
        <v>1053</v>
      </c>
      <c r="E440" t="s">
        <v>359</v>
      </c>
      <c r="F440" t="s">
        <v>360</v>
      </c>
      <c r="G440" t="s">
        <v>2710</v>
      </c>
      <c r="H440" t="s">
        <v>2157</v>
      </c>
      <c r="I440">
        <v>3</v>
      </c>
      <c r="J440" t="s">
        <v>2545</v>
      </c>
      <c r="K440" t="s">
        <v>112</v>
      </c>
      <c r="L440">
        <v>376</v>
      </c>
      <c r="M440" s="2">
        <v>0.64652777777777781</v>
      </c>
      <c r="N440" t="s">
        <v>2486</v>
      </c>
      <c r="O440">
        <v>2020</v>
      </c>
      <c r="P440">
        <v>2003</v>
      </c>
      <c r="Q440" s="1">
        <v>44707</v>
      </c>
      <c r="R440" s="1">
        <v>44703</v>
      </c>
      <c r="S440" t="s">
        <v>16</v>
      </c>
    </row>
    <row r="441" spans="1:19" x14ac:dyDescent="0.25">
      <c r="A441">
        <v>440</v>
      </c>
      <c r="B441">
        <v>53879647</v>
      </c>
      <c r="C441" t="s">
        <v>1054</v>
      </c>
      <c r="D441" t="s">
        <v>1055</v>
      </c>
      <c r="E441" t="s">
        <v>1006</v>
      </c>
      <c r="F441" t="s">
        <v>1007</v>
      </c>
      <c r="H441" t="s">
        <v>2158</v>
      </c>
      <c r="I441">
        <v>3</v>
      </c>
      <c r="J441" t="s">
        <v>1685</v>
      </c>
      <c r="K441" t="s">
        <v>57</v>
      </c>
      <c r="L441">
        <v>368</v>
      </c>
      <c r="N441" t="s">
        <v>2486</v>
      </c>
      <c r="O441">
        <v>2020</v>
      </c>
      <c r="P441">
        <v>2018</v>
      </c>
      <c r="Q441" s="1">
        <v>44706</v>
      </c>
      <c r="R441" s="1">
        <v>44695</v>
      </c>
      <c r="S441" t="s">
        <v>16</v>
      </c>
    </row>
    <row r="442" spans="1:19" x14ac:dyDescent="0.25">
      <c r="A442">
        <v>441</v>
      </c>
      <c r="B442">
        <v>6979826</v>
      </c>
      <c r="C442" t="s">
        <v>1056</v>
      </c>
      <c r="D442" t="s">
        <v>1057</v>
      </c>
      <c r="E442" t="s">
        <v>359</v>
      </c>
      <c r="F442" t="s">
        <v>360</v>
      </c>
      <c r="G442" t="s">
        <v>2723</v>
      </c>
      <c r="H442" t="s">
        <v>2159</v>
      </c>
      <c r="I442">
        <v>3</v>
      </c>
      <c r="J442" t="s">
        <v>2712</v>
      </c>
      <c r="K442" t="s">
        <v>112</v>
      </c>
      <c r="L442">
        <v>474</v>
      </c>
      <c r="M442" s="2">
        <v>0.20555555555555555</v>
      </c>
      <c r="N442" t="s">
        <v>2486</v>
      </c>
      <c r="O442">
        <v>2013</v>
      </c>
      <c r="P442">
        <v>2002</v>
      </c>
      <c r="Q442" s="1">
        <v>44701</v>
      </c>
      <c r="R442" s="1">
        <v>44701</v>
      </c>
      <c r="S442" t="s">
        <v>16</v>
      </c>
    </row>
    <row r="443" spans="1:19" x14ac:dyDescent="0.25">
      <c r="A443">
        <v>442</v>
      </c>
      <c r="B443">
        <v>20553047</v>
      </c>
      <c r="C443" t="s">
        <v>1058</v>
      </c>
      <c r="D443" t="s">
        <v>1059</v>
      </c>
      <c r="E443" t="s">
        <v>359</v>
      </c>
      <c r="F443" t="s">
        <v>360</v>
      </c>
      <c r="G443" t="s">
        <v>2720</v>
      </c>
      <c r="H443" t="str">
        <f>"9788076623620"</f>
        <v>9788076623620</v>
      </c>
      <c r="I443">
        <v>3</v>
      </c>
      <c r="J443" t="s">
        <v>2492</v>
      </c>
      <c r="K443" t="s">
        <v>112</v>
      </c>
      <c r="L443">
        <v>578</v>
      </c>
      <c r="M443" s="2">
        <v>0.6118055555555556</v>
      </c>
      <c r="N443" t="s">
        <v>2486</v>
      </c>
      <c r="O443">
        <v>2014</v>
      </c>
      <c r="P443">
        <v>2000</v>
      </c>
      <c r="Q443" s="1">
        <v>44700</v>
      </c>
      <c r="R443" s="1">
        <v>44699</v>
      </c>
      <c r="S443" t="s">
        <v>16</v>
      </c>
    </row>
    <row r="444" spans="1:19" x14ac:dyDescent="0.25">
      <c r="A444">
        <v>443</v>
      </c>
      <c r="B444">
        <v>21943841</v>
      </c>
      <c r="C444" t="s">
        <v>1060</v>
      </c>
      <c r="D444" t="s">
        <v>1061</v>
      </c>
      <c r="E444" t="s">
        <v>359</v>
      </c>
      <c r="F444" t="s">
        <v>360</v>
      </c>
      <c r="G444" t="s">
        <v>2720</v>
      </c>
      <c r="H444" t="s">
        <v>2160</v>
      </c>
      <c r="I444">
        <v>3</v>
      </c>
      <c r="J444" t="s">
        <v>2492</v>
      </c>
      <c r="K444" t="s">
        <v>112</v>
      </c>
      <c r="L444">
        <v>368</v>
      </c>
      <c r="M444" s="2">
        <v>0.45347222222222222</v>
      </c>
      <c r="N444" t="s">
        <v>2486</v>
      </c>
      <c r="O444">
        <v>2016</v>
      </c>
      <c r="P444">
        <v>1998</v>
      </c>
      <c r="Q444" s="1">
        <v>44698</v>
      </c>
      <c r="R444" s="1">
        <v>44698</v>
      </c>
      <c r="S444" t="s">
        <v>16</v>
      </c>
    </row>
    <row r="445" spans="1:19" x14ac:dyDescent="0.25">
      <c r="A445">
        <v>444</v>
      </c>
      <c r="B445">
        <v>17306574</v>
      </c>
      <c r="C445" t="s">
        <v>1062</v>
      </c>
      <c r="D445" t="s">
        <v>1063</v>
      </c>
      <c r="E445" t="s">
        <v>359</v>
      </c>
      <c r="F445" t="s">
        <v>360</v>
      </c>
      <c r="G445" t="s">
        <v>2720</v>
      </c>
      <c r="H445" t="s">
        <v>2161</v>
      </c>
      <c r="I445">
        <v>3</v>
      </c>
      <c r="J445" t="s">
        <v>2492</v>
      </c>
      <c r="K445" t="s">
        <v>112</v>
      </c>
      <c r="L445">
        <v>398</v>
      </c>
      <c r="M445" s="2">
        <v>0.4513888888888889</v>
      </c>
      <c r="N445" t="s">
        <v>2486</v>
      </c>
      <c r="O445">
        <v>2013</v>
      </c>
      <c r="P445">
        <v>1997</v>
      </c>
      <c r="Q445" s="1">
        <v>44695</v>
      </c>
      <c r="R445" s="1">
        <v>44692</v>
      </c>
      <c r="S445" t="s">
        <v>16</v>
      </c>
    </row>
    <row r="446" spans="1:19" x14ac:dyDescent="0.25">
      <c r="A446">
        <v>445</v>
      </c>
      <c r="B446">
        <v>41958085</v>
      </c>
      <c r="C446" t="s">
        <v>1064</v>
      </c>
      <c r="D446" t="s">
        <v>17</v>
      </c>
      <c r="E446" t="s">
        <v>1065</v>
      </c>
      <c r="F446" t="s">
        <v>1066</v>
      </c>
      <c r="H446" t="s">
        <v>2162</v>
      </c>
      <c r="I446">
        <v>4</v>
      </c>
      <c r="J446" t="s">
        <v>1673</v>
      </c>
      <c r="K446" t="s">
        <v>2488</v>
      </c>
      <c r="L446">
        <v>488</v>
      </c>
      <c r="N446" t="s">
        <v>2494</v>
      </c>
      <c r="O446">
        <v>2018</v>
      </c>
      <c r="P446">
        <v>2018</v>
      </c>
      <c r="Q446" s="1">
        <v>44694</v>
      </c>
      <c r="R446" s="1">
        <v>44690</v>
      </c>
      <c r="S446" t="s">
        <v>16</v>
      </c>
    </row>
    <row r="447" spans="1:19" x14ac:dyDescent="0.25">
      <c r="A447">
        <v>446</v>
      </c>
      <c r="B447">
        <v>29612594</v>
      </c>
      <c r="C447" t="s">
        <v>1067</v>
      </c>
      <c r="D447" t="s">
        <v>17</v>
      </c>
      <c r="E447" t="s">
        <v>1068</v>
      </c>
      <c r="F447" t="s">
        <v>1069</v>
      </c>
      <c r="H447" t="s">
        <v>2163</v>
      </c>
      <c r="I447">
        <v>3</v>
      </c>
      <c r="J447" t="s">
        <v>2164</v>
      </c>
      <c r="K447" t="s">
        <v>57</v>
      </c>
      <c r="L447">
        <v>360</v>
      </c>
      <c r="N447" t="s">
        <v>2486</v>
      </c>
      <c r="O447">
        <v>2016</v>
      </c>
      <c r="P447">
        <v>2015</v>
      </c>
      <c r="Q447" s="1">
        <v>44689</v>
      </c>
      <c r="R447" s="1">
        <v>44674</v>
      </c>
      <c r="S447" t="s">
        <v>16</v>
      </c>
    </row>
    <row r="448" spans="1:19" x14ac:dyDescent="0.25">
      <c r="A448">
        <v>447</v>
      </c>
      <c r="B448">
        <v>42096248</v>
      </c>
      <c r="C448" t="s">
        <v>1070</v>
      </c>
      <c r="D448" t="s">
        <v>1071</v>
      </c>
      <c r="E448" t="s">
        <v>954</v>
      </c>
      <c r="F448" t="s">
        <v>955</v>
      </c>
      <c r="H448" t="s">
        <v>2165</v>
      </c>
      <c r="I448">
        <v>3</v>
      </c>
      <c r="J448" t="s">
        <v>1675</v>
      </c>
      <c r="K448" t="s">
        <v>57</v>
      </c>
      <c r="L448">
        <v>372</v>
      </c>
      <c r="N448" t="s">
        <v>2486</v>
      </c>
      <c r="O448">
        <v>2018</v>
      </c>
      <c r="P448">
        <v>2017</v>
      </c>
      <c r="Q448" s="1">
        <v>44675</v>
      </c>
      <c r="R448" s="1">
        <v>44559</v>
      </c>
      <c r="S448" t="s">
        <v>16</v>
      </c>
    </row>
    <row r="449" spans="1:19" x14ac:dyDescent="0.25">
      <c r="A449">
        <v>448</v>
      </c>
      <c r="B449">
        <v>6535812</v>
      </c>
      <c r="C449" t="s">
        <v>1072</v>
      </c>
      <c r="D449" t="s">
        <v>1073</v>
      </c>
      <c r="E449" t="s">
        <v>287</v>
      </c>
      <c r="F449" t="s">
        <v>288</v>
      </c>
      <c r="G449" t="s">
        <v>2724</v>
      </c>
      <c r="H449" t="s">
        <v>2166</v>
      </c>
      <c r="I449">
        <v>2</v>
      </c>
      <c r="J449" t="s">
        <v>2627</v>
      </c>
      <c r="K449" t="s">
        <v>112</v>
      </c>
      <c r="L449">
        <v>725</v>
      </c>
      <c r="M449" s="3">
        <v>1.2548611111111112</v>
      </c>
      <c r="N449" t="s">
        <v>2486</v>
      </c>
      <c r="O449">
        <v>2018</v>
      </c>
      <c r="P449">
        <v>2004</v>
      </c>
      <c r="Q449" s="1">
        <v>44674</v>
      </c>
      <c r="R449" s="1">
        <v>44664</v>
      </c>
      <c r="S449" t="s">
        <v>16</v>
      </c>
    </row>
    <row r="450" spans="1:19" x14ac:dyDescent="0.25">
      <c r="A450">
        <v>449</v>
      </c>
      <c r="B450">
        <v>59857</v>
      </c>
      <c r="C450" t="s">
        <v>1074</v>
      </c>
      <c r="D450" t="s">
        <v>17</v>
      </c>
      <c r="E450" t="s">
        <v>1050</v>
      </c>
      <c r="F450" t="s">
        <v>1051</v>
      </c>
      <c r="H450" t="s">
        <v>2167</v>
      </c>
      <c r="I450">
        <v>3</v>
      </c>
      <c r="J450" t="s">
        <v>2168</v>
      </c>
      <c r="K450" t="s">
        <v>57</v>
      </c>
      <c r="L450">
        <v>336</v>
      </c>
      <c r="N450" t="s">
        <v>2486</v>
      </c>
      <c r="O450">
        <v>2005</v>
      </c>
      <c r="P450">
        <v>2004</v>
      </c>
      <c r="Q450" s="1">
        <v>44669</v>
      </c>
      <c r="R450" s="1">
        <v>44665</v>
      </c>
      <c r="S450" t="s">
        <v>16</v>
      </c>
    </row>
    <row r="451" spans="1:19" x14ac:dyDescent="0.25">
      <c r="A451">
        <v>450</v>
      </c>
      <c r="B451">
        <v>59773100</v>
      </c>
      <c r="C451" t="s">
        <v>1075</v>
      </c>
      <c r="D451" t="s">
        <v>17</v>
      </c>
      <c r="E451" t="s">
        <v>1076</v>
      </c>
      <c r="F451" t="s">
        <v>1077</v>
      </c>
      <c r="H451" t="s">
        <v>2169</v>
      </c>
      <c r="I451">
        <v>2</v>
      </c>
      <c r="J451" t="s">
        <v>1668</v>
      </c>
      <c r="K451" t="s">
        <v>57</v>
      </c>
      <c r="L451">
        <v>264</v>
      </c>
      <c r="N451" t="s">
        <v>2494</v>
      </c>
      <c r="O451">
        <v>2022</v>
      </c>
      <c r="P451">
        <v>1997</v>
      </c>
      <c r="Q451" s="1">
        <v>44664</v>
      </c>
      <c r="R451" s="1">
        <v>44646</v>
      </c>
      <c r="S451" t="s">
        <v>16</v>
      </c>
    </row>
    <row r="452" spans="1:19" x14ac:dyDescent="0.25">
      <c r="A452">
        <v>451</v>
      </c>
      <c r="B452">
        <v>6535855</v>
      </c>
      <c r="C452" t="s">
        <v>1078</v>
      </c>
      <c r="D452" t="s">
        <v>1079</v>
      </c>
      <c r="E452" t="s">
        <v>287</v>
      </c>
      <c r="F452" t="s">
        <v>288</v>
      </c>
      <c r="G452" t="s">
        <v>2724</v>
      </c>
      <c r="H452" t="s">
        <v>2170</v>
      </c>
      <c r="I452">
        <v>3</v>
      </c>
      <c r="J452" t="s">
        <v>2499</v>
      </c>
      <c r="K452" t="s">
        <v>112</v>
      </c>
      <c r="L452">
        <v>371</v>
      </c>
      <c r="M452" s="2">
        <v>0.58472222222222225</v>
      </c>
      <c r="N452" t="s">
        <v>2486</v>
      </c>
      <c r="O452">
        <v>2018</v>
      </c>
      <c r="P452">
        <v>2004</v>
      </c>
      <c r="Q452" s="1">
        <v>44658</v>
      </c>
      <c r="R452" s="1">
        <v>44651</v>
      </c>
      <c r="S452" t="s">
        <v>16</v>
      </c>
    </row>
    <row r="453" spans="1:19" x14ac:dyDescent="0.25">
      <c r="A453">
        <v>452</v>
      </c>
      <c r="B453">
        <v>59937676</v>
      </c>
      <c r="C453" t="s">
        <v>1080</v>
      </c>
      <c r="D453" t="s">
        <v>2726</v>
      </c>
      <c r="E453" t="s">
        <v>1081</v>
      </c>
      <c r="F453" t="s">
        <v>1082</v>
      </c>
      <c r="G453" t="s">
        <v>2725</v>
      </c>
      <c r="H453" t="str">
        <f>"9788074228254"</f>
        <v>9788074228254</v>
      </c>
      <c r="I453">
        <v>4</v>
      </c>
      <c r="J453" t="s">
        <v>2492</v>
      </c>
      <c r="K453" t="s">
        <v>112</v>
      </c>
      <c r="L453">
        <v>264</v>
      </c>
      <c r="M453" s="2">
        <v>0.24374999999999999</v>
      </c>
      <c r="N453" t="s">
        <v>2486</v>
      </c>
      <c r="O453">
        <v>2021</v>
      </c>
      <c r="P453">
        <v>2020</v>
      </c>
      <c r="Q453" s="1">
        <v>44650</v>
      </c>
      <c r="R453" s="1">
        <v>44587</v>
      </c>
      <c r="S453" t="s">
        <v>16</v>
      </c>
    </row>
    <row r="454" spans="1:19" x14ac:dyDescent="0.25">
      <c r="A454">
        <v>453</v>
      </c>
      <c r="B454">
        <v>41462047</v>
      </c>
      <c r="C454" t="s">
        <v>1083</v>
      </c>
      <c r="D454" t="s">
        <v>17</v>
      </c>
      <c r="E454" t="s">
        <v>1084</v>
      </c>
      <c r="F454" t="s">
        <v>1085</v>
      </c>
      <c r="H454" t="s">
        <v>2171</v>
      </c>
      <c r="I454">
        <v>2</v>
      </c>
      <c r="J454" t="s">
        <v>1944</v>
      </c>
      <c r="K454" t="s">
        <v>57</v>
      </c>
      <c r="L454">
        <v>344</v>
      </c>
      <c r="N454" t="s">
        <v>2494</v>
      </c>
      <c r="O454">
        <v>2018</v>
      </c>
      <c r="P454">
        <v>2018</v>
      </c>
      <c r="Q454" s="1">
        <v>44649</v>
      </c>
      <c r="R454" s="1">
        <v>44646</v>
      </c>
      <c r="S454" t="s">
        <v>16</v>
      </c>
    </row>
    <row r="455" spans="1:19" x14ac:dyDescent="0.25">
      <c r="A455">
        <v>454</v>
      </c>
      <c r="B455">
        <v>6535894</v>
      </c>
      <c r="C455" t="s">
        <v>1086</v>
      </c>
      <c r="D455" t="s">
        <v>1087</v>
      </c>
      <c r="E455" t="s">
        <v>287</v>
      </c>
      <c r="F455" t="s">
        <v>288</v>
      </c>
      <c r="G455" t="s">
        <v>2724</v>
      </c>
      <c r="H455" t="s">
        <v>2172</v>
      </c>
      <c r="I455">
        <v>3</v>
      </c>
      <c r="J455" t="s">
        <v>2627</v>
      </c>
      <c r="K455" t="s">
        <v>112</v>
      </c>
      <c r="L455">
        <v>636</v>
      </c>
      <c r="M455" s="3">
        <v>1.1361111111111111</v>
      </c>
      <c r="N455" t="s">
        <v>2486</v>
      </c>
      <c r="O455">
        <v>2018</v>
      </c>
      <c r="P455">
        <v>2003</v>
      </c>
      <c r="Q455" s="1">
        <v>44648</v>
      </c>
      <c r="R455" s="1">
        <v>44630</v>
      </c>
      <c r="S455" t="s">
        <v>16</v>
      </c>
    </row>
    <row r="456" spans="1:19" x14ac:dyDescent="0.25">
      <c r="A456">
        <v>455</v>
      </c>
      <c r="B456">
        <v>36433167</v>
      </c>
      <c r="C456" t="s">
        <v>1090</v>
      </c>
      <c r="D456" t="s">
        <v>17</v>
      </c>
      <c r="E456" t="s">
        <v>1091</v>
      </c>
      <c r="F456" t="s">
        <v>1092</v>
      </c>
      <c r="H456" t="s">
        <v>2173</v>
      </c>
      <c r="I456">
        <v>4</v>
      </c>
      <c r="J456" t="s">
        <v>1944</v>
      </c>
      <c r="K456" t="s">
        <v>57</v>
      </c>
      <c r="L456">
        <v>248</v>
      </c>
      <c r="N456" t="s">
        <v>2494</v>
      </c>
      <c r="O456">
        <v>2017</v>
      </c>
      <c r="P456">
        <v>2015</v>
      </c>
      <c r="Q456" s="1">
        <v>44645</v>
      </c>
      <c r="R456" s="1">
        <v>44640</v>
      </c>
      <c r="S456" t="s">
        <v>16</v>
      </c>
    </row>
    <row r="457" spans="1:19" x14ac:dyDescent="0.25">
      <c r="A457">
        <v>456</v>
      </c>
      <c r="B457">
        <v>58302405</v>
      </c>
      <c r="C457" t="s">
        <v>1093</v>
      </c>
      <c r="D457" t="s">
        <v>17</v>
      </c>
      <c r="E457" t="s">
        <v>1094</v>
      </c>
      <c r="F457" t="s">
        <v>1095</v>
      </c>
      <c r="H457" t="s">
        <v>2174</v>
      </c>
      <c r="I457">
        <v>4</v>
      </c>
      <c r="J457" t="s">
        <v>1916</v>
      </c>
      <c r="K457" t="s">
        <v>57</v>
      </c>
      <c r="L457">
        <v>224</v>
      </c>
      <c r="N457" t="s">
        <v>2494</v>
      </c>
      <c r="O457">
        <v>2021</v>
      </c>
      <c r="P457">
        <v>2020</v>
      </c>
      <c r="Q457" s="1">
        <v>44637</v>
      </c>
      <c r="R457" s="1">
        <v>44633</v>
      </c>
      <c r="S457" t="s">
        <v>16</v>
      </c>
    </row>
    <row r="458" spans="1:19" x14ac:dyDescent="0.25">
      <c r="A458">
        <v>457</v>
      </c>
      <c r="B458">
        <v>55850977</v>
      </c>
      <c r="C458" t="s">
        <v>1096</v>
      </c>
      <c r="D458" t="s">
        <v>17</v>
      </c>
      <c r="E458" t="s">
        <v>1097</v>
      </c>
      <c r="F458" t="s">
        <v>1098</v>
      </c>
      <c r="H458" t="s">
        <v>2175</v>
      </c>
      <c r="I458">
        <v>5</v>
      </c>
      <c r="J458" t="s">
        <v>1916</v>
      </c>
      <c r="K458" t="s">
        <v>2488</v>
      </c>
      <c r="L458">
        <v>320</v>
      </c>
      <c r="N458" t="s">
        <v>2494</v>
      </c>
      <c r="O458">
        <v>2020</v>
      </c>
      <c r="P458">
        <v>2020</v>
      </c>
      <c r="Q458" s="1">
        <v>44635</v>
      </c>
      <c r="R458" s="1">
        <v>44630</v>
      </c>
      <c r="S458" t="s">
        <v>16</v>
      </c>
    </row>
    <row r="459" spans="1:19" x14ac:dyDescent="0.25">
      <c r="A459">
        <v>458</v>
      </c>
      <c r="B459">
        <v>6605739</v>
      </c>
      <c r="C459" t="s">
        <v>1099</v>
      </c>
      <c r="D459" t="s">
        <v>1100</v>
      </c>
      <c r="E459" t="s">
        <v>287</v>
      </c>
      <c r="F459" t="s">
        <v>288</v>
      </c>
      <c r="G459" t="s">
        <v>2724</v>
      </c>
      <c r="H459" t="s">
        <v>2176</v>
      </c>
      <c r="I459">
        <v>2</v>
      </c>
      <c r="J459" t="s">
        <v>2627</v>
      </c>
      <c r="K459" t="s">
        <v>112</v>
      </c>
      <c r="L459">
        <v>653</v>
      </c>
      <c r="M459" s="3">
        <v>1.2097222222222221</v>
      </c>
      <c r="N459" t="s">
        <v>2486</v>
      </c>
      <c r="O459">
        <v>2017</v>
      </c>
      <c r="P459">
        <v>1997</v>
      </c>
      <c r="Q459" s="1">
        <v>44629</v>
      </c>
      <c r="R459" s="1">
        <v>44608</v>
      </c>
      <c r="S459" t="s">
        <v>16</v>
      </c>
    </row>
    <row r="460" spans="1:19" x14ac:dyDescent="0.25">
      <c r="A460">
        <v>459</v>
      </c>
      <c r="B460">
        <v>52959302</v>
      </c>
      <c r="C460" t="s">
        <v>1101</v>
      </c>
      <c r="D460" t="s">
        <v>17</v>
      </c>
      <c r="E460" t="s">
        <v>1094</v>
      </c>
      <c r="F460" t="s">
        <v>1095</v>
      </c>
      <c r="H460" t="s">
        <v>2177</v>
      </c>
      <c r="I460">
        <v>3</v>
      </c>
      <c r="J460" t="s">
        <v>1673</v>
      </c>
      <c r="K460" t="s">
        <v>57</v>
      </c>
      <c r="L460">
        <v>168</v>
      </c>
      <c r="N460" t="s">
        <v>2494</v>
      </c>
      <c r="O460">
        <v>2019</v>
      </c>
      <c r="P460">
        <v>2019</v>
      </c>
      <c r="Q460" s="1">
        <v>44624</v>
      </c>
      <c r="R460" s="1">
        <v>44621</v>
      </c>
      <c r="S460" t="s">
        <v>16</v>
      </c>
    </row>
    <row r="461" spans="1:19" x14ac:dyDescent="0.25">
      <c r="A461">
        <v>460</v>
      </c>
      <c r="B461">
        <v>45407221</v>
      </c>
      <c r="C461" t="s">
        <v>1102</v>
      </c>
      <c r="D461" t="s">
        <v>17</v>
      </c>
      <c r="E461" t="s">
        <v>1103</v>
      </c>
      <c r="F461" t="s">
        <v>1104</v>
      </c>
      <c r="H461" t="s">
        <v>2178</v>
      </c>
      <c r="I461">
        <v>5</v>
      </c>
      <c r="J461" t="s">
        <v>2179</v>
      </c>
      <c r="K461" t="s">
        <v>57</v>
      </c>
      <c r="L461">
        <v>340</v>
      </c>
      <c r="N461" t="s">
        <v>2494</v>
      </c>
      <c r="O461">
        <v>2019</v>
      </c>
      <c r="P461">
        <v>2019</v>
      </c>
      <c r="Q461" s="1">
        <v>44621</v>
      </c>
      <c r="R461" s="1">
        <v>44617</v>
      </c>
      <c r="S461" t="s">
        <v>16</v>
      </c>
    </row>
    <row r="462" spans="1:19" x14ac:dyDescent="0.25">
      <c r="A462">
        <v>461</v>
      </c>
      <c r="B462">
        <v>29622067</v>
      </c>
      <c r="C462" t="s">
        <v>1105</v>
      </c>
      <c r="D462" t="s">
        <v>17</v>
      </c>
      <c r="E462" t="s">
        <v>1106</v>
      </c>
      <c r="F462" t="s">
        <v>1107</v>
      </c>
      <c r="H462" t="s">
        <v>2180</v>
      </c>
      <c r="I462">
        <v>3</v>
      </c>
      <c r="J462" t="s">
        <v>1673</v>
      </c>
      <c r="K462" t="s">
        <v>2488</v>
      </c>
      <c r="L462">
        <v>413</v>
      </c>
      <c r="N462" t="s">
        <v>2494</v>
      </c>
      <c r="O462">
        <v>2016</v>
      </c>
      <c r="P462">
        <v>2016</v>
      </c>
      <c r="Q462" s="1">
        <v>44620</v>
      </c>
      <c r="R462" s="1">
        <v>44613</v>
      </c>
      <c r="S462" t="s">
        <v>16</v>
      </c>
    </row>
    <row r="463" spans="1:19" x14ac:dyDescent="0.25">
      <c r="A463">
        <v>462</v>
      </c>
      <c r="B463">
        <v>36216607</v>
      </c>
      <c r="C463" t="s">
        <v>1108</v>
      </c>
      <c r="D463" t="s">
        <v>1109</v>
      </c>
      <c r="E463" t="s">
        <v>1110</v>
      </c>
      <c r="F463" t="s">
        <v>1111</v>
      </c>
      <c r="H463" t="s">
        <v>2181</v>
      </c>
      <c r="I463">
        <v>4</v>
      </c>
      <c r="J463" t="s">
        <v>2182</v>
      </c>
      <c r="K463" t="s">
        <v>57</v>
      </c>
      <c r="L463">
        <v>384</v>
      </c>
      <c r="N463" t="s">
        <v>2494</v>
      </c>
      <c r="O463">
        <v>2018</v>
      </c>
      <c r="P463">
        <v>2017</v>
      </c>
      <c r="Q463" s="1">
        <v>44611</v>
      </c>
      <c r="R463" s="1">
        <v>44607</v>
      </c>
      <c r="S463" t="s">
        <v>16</v>
      </c>
    </row>
    <row r="464" spans="1:19" x14ac:dyDescent="0.25">
      <c r="A464">
        <v>463</v>
      </c>
      <c r="B464">
        <v>49202543</v>
      </c>
      <c r="C464" t="s">
        <v>1112</v>
      </c>
      <c r="D464" t="s">
        <v>1113</v>
      </c>
      <c r="E464" t="s">
        <v>1006</v>
      </c>
      <c r="F464" t="s">
        <v>1007</v>
      </c>
      <c r="H464" t="s">
        <v>2183</v>
      </c>
      <c r="I464">
        <v>3</v>
      </c>
      <c r="J464" t="s">
        <v>1685</v>
      </c>
      <c r="K464" t="s">
        <v>57</v>
      </c>
      <c r="L464">
        <v>376</v>
      </c>
      <c r="N464" t="s">
        <v>2486</v>
      </c>
      <c r="O464">
        <v>2019</v>
      </c>
      <c r="P464">
        <v>2018</v>
      </c>
      <c r="Q464" s="1">
        <v>44609</v>
      </c>
      <c r="R464" s="1">
        <v>44600</v>
      </c>
      <c r="S464" t="s">
        <v>16</v>
      </c>
    </row>
    <row r="465" spans="1:19" x14ac:dyDescent="0.25">
      <c r="A465">
        <v>464</v>
      </c>
      <c r="B465">
        <v>54581279</v>
      </c>
      <c r="C465" t="s">
        <v>1114</v>
      </c>
      <c r="D465" t="s">
        <v>17</v>
      </c>
      <c r="E465" t="s">
        <v>1115</v>
      </c>
      <c r="F465" t="s">
        <v>1116</v>
      </c>
      <c r="H465" t="s">
        <v>2184</v>
      </c>
      <c r="I465">
        <v>5</v>
      </c>
      <c r="J465" t="s">
        <v>2185</v>
      </c>
      <c r="K465" t="s">
        <v>2488</v>
      </c>
      <c r="L465">
        <v>540</v>
      </c>
      <c r="N465" t="s">
        <v>2494</v>
      </c>
      <c r="O465">
        <v>2020</v>
      </c>
      <c r="P465">
        <v>2020</v>
      </c>
      <c r="Q465" s="1">
        <v>44608</v>
      </c>
      <c r="R465" s="1">
        <v>44602</v>
      </c>
      <c r="S465" t="s">
        <v>16</v>
      </c>
    </row>
    <row r="466" spans="1:19" x14ac:dyDescent="0.25">
      <c r="A466">
        <v>465</v>
      </c>
      <c r="B466">
        <v>6605707</v>
      </c>
      <c r="C466" t="s">
        <v>1117</v>
      </c>
      <c r="D466" t="s">
        <v>1118</v>
      </c>
      <c r="E466" t="s">
        <v>287</v>
      </c>
      <c r="F466" t="s">
        <v>288</v>
      </c>
      <c r="G466" t="s">
        <v>2724</v>
      </c>
      <c r="H466" t="s">
        <v>2186</v>
      </c>
      <c r="I466">
        <v>3</v>
      </c>
      <c r="J466" t="s">
        <v>2499</v>
      </c>
      <c r="K466" t="s">
        <v>112</v>
      </c>
      <c r="L466">
        <v>462</v>
      </c>
      <c r="M466" s="2">
        <v>0.81319444444444444</v>
      </c>
      <c r="N466" t="s">
        <v>2486</v>
      </c>
      <c r="O466">
        <v>2017</v>
      </c>
      <c r="P466">
        <v>1991</v>
      </c>
      <c r="Q466" s="1">
        <v>44605</v>
      </c>
      <c r="R466" s="1">
        <v>44595</v>
      </c>
      <c r="S466" t="s">
        <v>16</v>
      </c>
    </row>
    <row r="467" spans="1:19" x14ac:dyDescent="0.25">
      <c r="A467">
        <v>466</v>
      </c>
      <c r="B467">
        <v>35796024</v>
      </c>
      <c r="C467" t="s">
        <v>2727</v>
      </c>
      <c r="D467" t="s">
        <v>17</v>
      </c>
      <c r="E467" t="s">
        <v>1119</v>
      </c>
      <c r="F467" t="s">
        <v>1120</v>
      </c>
      <c r="H467" t="str">
        <f>"9788075495921"</f>
        <v>9788075495921</v>
      </c>
      <c r="I467">
        <v>3</v>
      </c>
      <c r="J467" t="s">
        <v>2728</v>
      </c>
      <c r="K467" t="s">
        <v>2488</v>
      </c>
      <c r="L467">
        <v>192</v>
      </c>
      <c r="N467" t="s">
        <v>2494</v>
      </c>
      <c r="O467">
        <v>2018</v>
      </c>
      <c r="P467">
        <v>2018</v>
      </c>
      <c r="Q467" s="1">
        <v>44600</v>
      </c>
      <c r="R467" s="1">
        <v>44595</v>
      </c>
      <c r="S467" t="s">
        <v>16</v>
      </c>
    </row>
    <row r="468" spans="1:19" x14ac:dyDescent="0.25">
      <c r="A468">
        <v>467</v>
      </c>
      <c r="B468">
        <v>6603219</v>
      </c>
      <c r="C468" t="s">
        <v>1121</v>
      </c>
      <c r="D468" t="s">
        <v>1122</v>
      </c>
      <c r="E468" t="s">
        <v>287</v>
      </c>
      <c r="F468" t="s">
        <v>288</v>
      </c>
      <c r="G468" t="s">
        <v>2724</v>
      </c>
      <c r="H468" t="s">
        <v>2187</v>
      </c>
      <c r="I468">
        <v>2</v>
      </c>
      <c r="J468" t="s">
        <v>2627</v>
      </c>
      <c r="K468" t="s">
        <v>112</v>
      </c>
      <c r="L468">
        <v>420</v>
      </c>
      <c r="M468" s="2">
        <v>0.60833333333333328</v>
      </c>
      <c r="N468" t="s">
        <v>2486</v>
      </c>
      <c r="O468">
        <v>2016</v>
      </c>
      <c r="P468">
        <v>1987</v>
      </c>
      <c r="Q468" s="1">
        <v>44593</v>
      </c>
      <c r="R468" s="1">
        <v>44589</v>
      </c>
      <c r="S468" t="s">
        <v>16</v>
      </c>
    </row>
    <row r="469" spans="1:19" x14ac:dyDescent="0.25">
      <c r="A469">
        <v>468</v>
      </c>
      <c r="B469">
        <v>59927668</v>
      </c>
      <c r="C469" t="s">
        <v>1123</v>
      </c>
      <c r="D469" t="s">
        <v>17</v>
      </c>
      <c r="E469" t="s">
        <v>1124</v>
      </c>
      <c r="F469" t="s">
        <v>1125</v>
      </c>
      <c r="H469" t="s">
        <v>2188</v>
      </c>
      <c r="I469">
        <v>3</v>
      </c>
      <c r="J469" t="s">
        <v>2189</v>
      </c>
      <c r="K469" t="s">
        <v>2488</v>
      </c>
      <c r="L469">
        <v>144</v>
      </c>
      <c r="N469" t="s">
        <v>2494</v>
      </c>
      <c r="O469">
        <v>2021</v>
      </c>
      <c r="P469">
        <v>2021</v>
      </c>
      <c r="Q469" s="1">
        <v>44598</v>
      </c>
      <c r="R469" s="1">
        <v>44594</v>
      </c>
      <c r="S469" t="s">
        <v>16</v>
      </c>
    </row>
    <row r="470" spans="1:19" x14ac:dyDescent="0.25">
      <c r="A470">
        <v>469</v>
      </c>
      <c r="B470">
        <v>58913978</v>
      </c>
      <c r="C470" t="s">
        <v>1126</v>
      </c>
      <c r="D470" t="s">
        <v>17</v>
      </c>
      <c r="E470" t="s">
        <v>1127</v>
      </c>
      <c r="F470" t="s">
        <v>1128</v>
      </c>
      <c r="H470" t="s">
        <v>2190</v>
      </c>
      <c r="I470">
        <v>4</v>
      </c>
      <c r="J470" t="s">
        <v>1770</v>
      </c>
      <c r="K470" t="s">
        <v>2488</v>
      </c>
      <c r="L470">
        <v>456</v>
      </c>
      <c r="N470" t="s">
        <v>2494</v>
      </c>
      <c r="O470">
        <v>2021</v>
      </c>
      <c r="P470">
        <v>2012</v>
      </c>
      <c r="Q470" s="1">
        <v>44595</v>
      </c>
      <c r="R470" s="1">
        <v>44591</v>
      </c>
      <c r="S470" t="s">
        <v>16</v>
      </c>
    </row>
    <row r="471" spans="1:19" x14ac:dyDescent="0.25">
      <c r="A471">
        <v>470</v>
      </c>
      <c r="B471">
        <v>58187472</v>
      </c>
      <c r="C471" t="s">
        <v>1129</v>
      </c>
      <c r="D471" t="s">
        <v>17</v>
      </c>
      <c r="E471" t="s">
        <v>1130</v>
      </c>
      <c r="F471" t="s">
        <v>1131</v>
      </c>
      <c r="H471" t="s">
        <v>2191</v>
      </c>
      <c r="I471">
        <v>5</v>
      </c>
      <c r="J471" t="s">
        <v>1668</v>
      </c>
      <c r="K471" t="s">
        <v>57</v>
      </c>
      <c r="L471">
        <v>280</v>
      </c>
      <c r="N471" t="s">
        <v>2486</v>
      </c>
      <c r="O471">
        <v>2021</v>
      </c>
      <c r="P471">
        <v>2021</v>
      </c>
      <c r="Q471" s="1">
        <v>44590</v>
      </c>
      <c r="R471" s="1">
        <v>44586</v>
      </c>
      <c r="S471" t="s">
        <v>16</v>
      </c>
    </row>
    <row r="472" spans="1:19" x14ac:dyDescent="0.25">
      <c r="A472">
        <v>471</v>
      </c>
      <c r="B472">
        <v>20742000</v>
      </c>
      <c r="C472" t="s">
        <v>1132</v>
      </c>
      <c r="D472" t="s">
        <v>1133</v>
      </c>
      <c r="E472" t="s">
        <v>302</v>
      </c>
      <c r="F472" t="s">
        <v>303</v>
      </c>
      <c r="H472" t="s">
        <v>2192</v>
      </c>
      <c r="I472">
        <v>4</v>
      </c>
      <c r="J472" t="s">
        <v>1723</v>
      </c>
      <c r="K472" t="s">
        <v>57</v>
      </c>
      <c r="L472">
        <v>916</v>
      </c>
      <c r="N472" t="s">
        <v>2486</v>
      </c>
      <c r="O472">
        <v>2011</v>
      </c>
      <c r="P472">
        <v>1989</v>
      </c>
      <c r="Q472" s="1">
        <v>44589</v>
      </c>
      <c r="R472" s="1">
        <v>44563</v>
      </c>
      <c r="S472" t="s">
        <v>16</v>
      </c>
    </row>
    <row r="473" spans="1:19" x14ac:dyDescent="0.25">
      <c r="A473">
        <v>472</v>
      </c>
      <c r="B473">
        <v>57421571</v>
      </c>
      <c r="C473" t="s">
        <v>1134</v>
      </c>
      <c r="D473" t="s">
        <v>17</v>
      </c>
      <c r="E473" t="s">
        <v>1124</v>
      </c>
      <c r="F473" t="s">
        <v>1125</v>
      </c>
      <c r="H473" t="s">
        <v>2193</v>
      </c>
      <c r="I473">
        <v>3</v>
      </c>
      <c r="J473" t="s">
        <v>1668</v>
      </c>
      <c r="K473" t="s">
        <v>2488</v>
      </c>
      <c r="L473">
        <v>216</v>
      </c>
      <c r="N473" t="s">
        <v>2494</v>
      </c>
      <c r="O473">
        <v>2021</v>
      </c>
      <c r="P473">
        <v>2021</v>
      </c>
      <c r="Q473" s="1">
        <v>44586</v>
      </c>
      <c r="R473" s="1">
        <v>44506</v>
      </c>
      <c r="S473" t="s">
        <v>16</v>
      </c>
    </row>
    <row r="474" spans="1:19" x14ac:dyDescent="0.25">
      <c r="A474">
        <v>473</v>
      </c>
      <c r="B474">
        <v>32018713</v>
      </c>
      <c r="C474" t="s">
        <v>2729</v>
      </c>
      <c r="D474" t="s">
        <v>2730</v>
      </c>
      <c r="E474" t="s">
        <v>1135</v>
      </c>
      <c r="F474" t="s">
        <v>1136</v>
      </c>
      <c r="H474" t="s">
        <v>2194</v>
      </c>
      <c r="I474">
        <v>5</v>
      </c>
      <c r="J474" t="s">
        <v>2195</v>
      </c>
      <c r="K474" t="s">
        <v>2488</v>
      </c>
      <c r="L474">
        <v>256</v>
      </c>
      <c r="N474" t="s">
        <v>2494</v>
      </c>
      <c r="O474">
        <v>2017</v>
      </c>
      <c r="P474">
        <v>2017</v>
      </c>
      <c r="Q474" s="1">
        <v>44584</v>
      </c>
      <c r="R474" s="1">
        <v>44506</v>
      </c>
      <c r="S474" t="s">
        <v>16</v>
      </c>
    </row>
    <row r="475" spans="1:19" x14ac:dyDescent="0.25">
      <c r="A475">
        <v>474</v>
      </c>
      <c r="B475">
        <v>6603200</v>
      </c>
      <c r="C475" t="s">
        <v>1137</v>
      </c>
      <c r="D475" t="s">
        <v>1138</v>
      </c>
      <c r="E475" t="s">
        <v>287</v>
      </c>
      <c r="F475" t="s">
        <v>288</v>
      </c>
      <c r="G475" t="s">
        <v>2724</v>
      </c>
      <c r="H475" t="s">
        <v>2196</v>
      </c>
      <c r="I475">
        <v>2</v>
      </c>
      <c r="J475" t="s">
        <v>2627</v>
      </c>
      <c r="K475" t="s">
        <v>112</v>
      </c>
      <c r="L475">
        <v>199</v>
      </c>
      <c r="M475" s="2">
        <v>0.31180555555555556</v>
      </c>
      <c r="N475" t="s">
        <v>2486</v>
      </c>
      <c r="O475">
        <v>2016</v>
      </c>
      <c r="P475">
        <v>1982</v>
      </c>
      <c r="Q475" s="1">
        <v>44583</v>
      </c>
      <c r="R475" s="1">
        <v>44566</v>
      </c>
      <c r="S475" t="s">
        <v>16</v>
      </c>
    </row>
    <row r="476" spans="1:19" x14ac:dyDescent="0.25">
      <c r="A476">
        <v>475</v>
      </c>
      <c r="B476">
        <v>52496980</v>
      </c>
      <c r="C476" t="s">
        <v>1139</v>
      </c>
      <c r="D476" t="s">
        <v>17</v>
      </c>
      <c r="E476" t="s">
        <v>552</v>
      </c>
      <c r="F476" t="s">
        <v>553</v>
      </c>
      <c r="G476" t="s">
        <v>2731</v>
      </c>
      <c r="H476" t="s">
        <v>2197</v>
      </c>
      <c r="I476">
        <v>4</v>
      </c>
      <c r="J476" t="s">
        <v>2545</v>
      </c>
      <c r="K476" t="s">
        <v>112</v>
      </c>
      <c r="L476">
        <v>552</v>
      </c>
      <c r="M476" s="2">
        <v>0.73333333333333328</v>
      </c>
      <c r="N476" t="s">
        <v>2486</v>
      </c>
      <c r="O476">
        <v>2020</v>
      </c>
      <c r="P476">
        <v>2019</v>
      </c>
      <c r="Q476" s="1">
        <v>44580</v>
      </c>
      <c r="R476" s="1">
        <v>44576</v>
      </c>
      <c r="S476" t="s">
        <v>16</v>
      </c>
    </row>
    <row r="477" spans="1:19" x14ac:dyDescent="0.25">
      <c r="A477">
        <v>476</v>
      </c>
      <c r="B477">
        <v>53437928</v>
      </c>
      <c r="C477" t="s">
        <v>1140</v>
      </c>
      <c r="D477" t="s">
        <v>17</v>
      </c>
      <c r="E477" t="s">
        <v>287</v>
      </c>
      <c r="F477" t="s">
        <v>288</v>
      </c>
      <c r="H477" t="s">
        <v>2199</v>
      </c>
      <c r="I477">
        <v>5</v>
      </c>
      <c r="J477" t="s">
        <v>1668</v>
      </c>
      <c r="K477" t="s">
        <v>2488</v>
      </c>
      <c r="L477">
        <v>608</v>
      </c>
      <c r="N477" t="s">
        <v>2494</v>
      </c>
      <c r="O477">
        <v>2020</v>
      </c>
      <c r="P477">
        <v>2019</v>
      </c>
      <c r="Q477" s="1">
        <v>44580</v>
      </c>
      <c r="R477" s="1">
        <v>44545</v>
      </c>
      <c r="S477" t="s">
        <v>16</v>
      </c>
    </row>
    <row r="478" spans="1:19" x14ac:dyDescent="0.25">
      <c r="A478">
        <v>477</v>
      </c>
      <c r="B478">
        <v>34120884</v>
      </c>
      <c r="C478" t="s">
        <v>1141</v>
      </c>
      <c r="D478" t="s">
        <v>17</v>
      </c>
      <c r="E478" t="s">
        <v>552</v>
      </c>
      <c r="F478" t="s">
        <v>553</v>
      </c>
      <c r="G478" t="s">
        <v>2732</v>
      </c>
      <c r="H478" t="s">
        <v>2200</v>
      </c>
      <c r="I478">
        <v>4</v>
      </c>
      <c r="J478" t="s">
        <v>2198</v>
      </c>
      <c r="K478" t="s">
        <v>112</v>
      </c>
      <c r="L478">
        <v>624</v>
      </c>
      <c r="M478" s="2">
        <v>0.7631944444444444</v>
      </c>
      <c r="N478" t="s">
        <v>2486</v>
      </c>
      <c r="O478">
        <v>2017</v>
      </c>
      <c r="P478">
        <v>2015</v>
      </c>
      <c r="Q478" s="1">
        <v>44575</v>
      </c>
      <c r="R478" s="1">
        <v>44567</v>
      </c>
      <c r="S478" t="s">
        <v>16</v>
      </c>
    </row>
    <row r="479" spans="1:19" x14ac:dyDescent="0.25">
      <c r="A479">
        <v>478</v>
      </c>
      <c r="B479">
        <v>59004227</v>
      </c>
      <c r="C479" t="s">
        <v>1143</v>
      </c>
      <c r="D479" t="s">
        <v>17</v>
      </c>
      <c r="E479" t="s">
        <v>62</v>
      </c>
      <c r="F479" t="s">
        <v>63</v>
      </c>
      <c r="H479" t="s">
        <v>2201</v>
      </c>
      <c r="I479">
        <v>3</v>
      </c>
      <c r="J479" t="s">
        <v>1668</v>
      </c>
      <c r="K479" t="s">
        <v>2488</v>
      </c>
      <c r="L479">
        <v>216</v>
      </c>
      <c r="N479" t="s">
        <v>2494</v>
      </c>
      <c r="O479">
        <v>2021</v>
      </c>
      <c r="P479">
        <v>2021</v>
      </c>
      <c r="Q479" s="1">
        <v>44572</v>
      </c>
      <c r="R479" s="1">
        <v>44569</v>
      </c>
      <c r="S479" t="s">
        <v>16</v>
      </c>
    </row>
    <row r="480" spans="1:19" x14ac:dyDescent="0.25">
      <c r="A480">
        <v>479</v>
      </c>
      <c r="B480">
        <v>59004220</v>
      </c>
      <c r="C480" t="s">
        <v>1144</v>
      </c>
      <c r="D480" t="s">
        <v>17</v>
      </c>
      <c r="E480" t="s">
        <v>62</v>
      </c>
      <c r="F480" t="s">
        <v>63</v>
      </c>
      <c r="H480" t="s">
        <v>2202</v>
      </c>
      <c r="I480">
        <v>3</v>
      </c>
      <c r="J480" t="s">
        <v>1668</v>
      </c>
      <c r="K480" t="s">
        <v>2488</v>
      </c>
      <c r="L480">
        <v>248</v>
      </c>
      <c r="N480" t="s">
        <v>2494</v>
      </c>
      <c r="O480">
        <v>2021</v>
      </c>
      <c r="P480">
        <v>2021</v>
      </c>
      <c r="Q480" s="1">
        <v>44569</v>
      </c>
      <c r="R480" s="1">
        <v>44456</v>
      </c>
      <c r="S480" t="s">
        <v>16</v>
      </c>
    </row>
    <row r="481" spans="1:19" x14ac:dyDescent="0.25">
      <c r="A481">
        <v>480</v>
      </c>
      <c r="B481">
        <v>29036</v>
      </c>
      <c r="C481" t="s">
        <v>1145</v>
      </c>
      <c r="D481" t="s">
        <v>17</v>
      </c>
      <c r="E481" t="s">
        <v>1146</v>
      </c>
      <c r="F481" t="s">
        <v>1147</v>
      </c>
      <c r="H481" t="s">
        <v>2203</v>
      </c>
      <c r="I481">
        <v>4</v>
      </c>
      <c r="J481" t="s">
        <v>2204</v>
      </c>
      <c r="K481" t="s">
        <v>57</v>
      </c>
      <c r="L481">
        <v>546</v>
      </c>
      <c r="N481" t="s">
        <v>2603</v>
      </c>
      <c r="O481">
        <v>2005</v>
      </c>
      <c r="P481">
        <v>2004</v>
      </c>
      <c r="Q481" s="1">
        <v>44568</v>
      </c>
      <c r="R481" s="1">
        <v>44532</v>
      </c>
      <c r="S481" t="s">
        <v>16</v>
      </c>
    </row>
    <row r="482" spans="1:19" x14ac:dyDescent="0.25">
      <c r="A482">
        <v>481</v>
      </c>
      <c r="B482">
        <v>56899806</v>
      </c>
      <c r="C482" t="s">
        <v>1148</v>
      </c>
      <c r="D482" t="s">
        <v>1149</v>
      </c>
      <c r="E482" t="s">
        <v>552</v>
      </c>
      <c r="F482" t="s">
        <v>553</v>
      </c>
      <c r="G482" t="s">
        <v>2731</v>
      </c>
      <c r="H482" t="s">
        <v>2205</v>
      </c>
      <c r="I482">
        <v>3</v>
      </c>
      <c r="J482" t="s">
        <v>2545</v>
      </c>
      <c r="K482" t="s">
        <v>112</v>
      </c>
      <c r="L482">
        <v>552</v>
      </c>
      <c r="M482" s="2">
        <v>0.66666666666666663</v>
      </c>
      <c r="N482" t="s">
        <v>2486</v>
      </c>
      <c r="O482">
        <v>2021</v>
      </c>
      <c r="P482">
        <v>2020</v>
      </c>
      <c r="Q482" s="1">
        <v>44567</v>
      </c>
      <c r="R482" s="1">
        <v>44561</v>
      </c>
      <c r="S482" t="s">
        <v>16</v>
      </c>
    </row>
    <row r="483" spans="1:19" x14ac:dyDescent="0.25">
      <c r="A483">
        <v>482</v>
      </c>
      <c r="B483">
        <v>43702450</v>
      </c>
      <c r="C483" t="s">
        <v>1150</v>
      </c>
      <c r="D483" t="s">
        <v>1151</v>
      </c>
      <c r="E483" t="s">
        <v>552</v>
      </c>
      <c r="F483" t="s">
        <v>553</v>
      </c>
      <c r="G483" t="s">
        <v>2731</v>
      </c>
      <c r="H483" t="s">
        <v>2206</v>
      </c>
      <c r="I483">
        <v>4</v>
      </c>
      <c r="J483" t="s">
        <v>2545</v>
      </c>
      <c r="K483" t="s">
        <v>112</v>
      </c>
      <c r="L483">
        <v>432</v>
      </c>
      <c r="M483" s="2">
        <v>0.60486111111111107</v>
      </c>
      <c r="N483" t="s">
        <v>2486</v>
      </c>
      <c r="O483">
        <v>2019</v>
      </c>
      <c r="P483">
        <v>2018</v>
      </c>
      <c r="Q483" s="1">
        <v>44560</v>
      </c>
      <c r="R483" s="1">
        <v>44558</v>
      </c>
      <c r="S483" t="s">
        <v>16</v>
      </c>
    </row>
    <row r="484" spans="1:19" x14ac:dyDescent="0.25">
      <c r="A484">
        <v>483</v>
      </c>
      <c r="B484">
        <v>40654090</v>
      </c>
      <c r="C484" t="s">
        <v>1152</v>
      </c>
      <c r="D484" t="s">
        <v>1153</v>
      </c>
      <c r="E484" t="s">
        <v>1006</v>
      </c>
      <c r="F484" t="s">
        <v>1007</v>
      </c>
      <c r="H484" t="s">
        <v>2207</v>
      </c>
      <c r="I484">
        <v>3</v>
      </c>
      <c r="J484" t="s">
        <v>2208</v>
      </c>
      <c r="K484" t="s">
        <v>57</v>
      </c>
      <c r="L484">
        <v>367</v>
      </c>
      <c r="N484" t="s">
        <v>2486</v>
      </c>
      <c r="O484">
        <v>2018</v>
      </c>
      <c r="P484">
        <v>2016</v>
      </c>
      <c r="Q484" s="1">
        <v>44559</v>
      </c>
      <c r="R484" s="1">
        <v>44558</v>
      </c>
      <c r="S484" t="s">
        <v>16</v>
      </c>
    </row>
    <row r="485" spans="1:19" x14ac:dyDescent="0.25">
      <c r="A485">
        <v>484</v>
      </c>
      <c r="B485">
        <v>16071295</v>
      </c>
      <c r="C485" t="s">
        <v>1154</v>
      </c>
      <c r="D485" t="s">
        <v>1155</v>
      </c>
      <c r="E485" t="s">
        <v>1156</v>
      </c>
      <c r="F485" t="s">
        <v>1157</v>
      </c>
      <c r="G485" t="s">
        <v>2733</v>
      </c>
      <c r="H485" t="s">
        <v>2209</v>
      </c>
      <c r="I485">
        <v>3</v>
      </c>
      <c r="J485" t="s">
        <v>2492</v>
      </c>
      <c r="K485" t="s">
        <v>112</v>
      </c>
      <c r="L485">
        <v>244</v>
      </c>
      <c r="M485" s="2">
        <v>0.27152777777777776</v>
      </c>
      <c r="N485" t="s">
        <v>2486</v>
      </c>
      <c r="O485">
        <v>2012</v>
      </c>
      <c r="P485">
        <v>2012</v>
      </c>
      <c r="Q485" s="1">
        <v>44433</v>
      </c>
      <c r="R485" s="1">
        <v>44558</v>
      </c>
      <c r="S485" t="s">
        <v>16</v>
      </c>
    </row>
    <row r="486" spans="1:19" x14ac:dyDescent="0.25">
      <c r="A486">
        <v>485</v>
      </c>
      <c r="B486">
        <v>55260956</v>
      </c>
      <c r="C486" t="s">
        <v>1158</v>
      </c>
      <c r="D486" t="s">
        <v>17</v>
      </c>
      <c r="E486" t="s">
        <v>62</v>
      </c>
      <c r="F486" t="s">
        <v>63</v>
      </c>
      <c r="H486" t="s">
        <v>2210</v>
      </c>
      <c r="I486">
        <v>4</v>
      </c>
      <c r="J486" t="s">
        <v>1668</v>
      </c>
      <c r="K486" t="s">
        <v>2488</v>
      </c>
      <c r="L486">
        <v>248</v>
      </c>
      <c r="N486" t="s">
        <v>2494</v>
      </c>
      <c r="O486">
        <v>2020</v>
      </c>
      <c r="P486">
        <v>2020</v>
      </c>
      <c r="Q486" s="1">
        <v>44209</v>
      </c>
      <c r="R486" s="1">
        <v>44154</v>
      </c>
      <c r="S486" t="s">
        <v>16</v>
      </c>
    </row>
    <row r="487" spans="1:19" x14ac:dyDescent="0.25">
      <c r="A487">
        <v>486</v>
      </c>
      <c r="B487">
        <v>8540533</v>
      </c>
      <c r="C487" t="s">
        <v>1159</v>
      </c>
      <c r="D487" t="s">
        <v>17</v>
      </c>
      <c r="E487" t="s">
        <v>1160</v>
      </c>
      <c r="F487" t="s">
        <v>1161</v>
      </c>
      <c r="H487" t="s">
        <v>2211</v>
      </c>
      <c r="I487">
        <v>1</v>
      </c>
      <c r="J487" t="s">
        <v>2212</v>
      </c>
      <c r="K487" t="s">
        <v>57</v>
      </c>
      <c r="L487">
        <v>877</v>
      </c>
      <c r="N487" t="s">
        <v>2494</v>
      </c>
      <c r="O487">
        <v>2009</v>
      </c>
      <c r="P487">
        <v>1878</v>
      </c>
      <c r="Q487" s="1">
        <v>44215</v>
      </c>
      <c r="R487" s="1">
        <v>44076</v>
      </c>
      <c r="S487" t="s">
        <v>16</v>
      </c>
    </row>
    <row r="488" spans="1:19" x14ac:dyDescent="0.25">
      <c r="A488">
        <v>487</v>
      </c>
      <c r="B488">
        <v>55850937</v>
      </c>
      <c r="C488" t="s">
        <v>1162</v>
      </c>
      <c r="D488" t="s">
        <v>17</v>
      </c>
      <c r="E488" t="s">
        <v>1163</v>
      </c>
      <c r="F488" t="s">
        <v>1164</v>
      </c>
      <c r="H488" t="s">
        <v>2213</v>
      </c>
      <c r="I488">
        <v>4</v>
      </c>
      <c r="J488" t="s">
        <v>1668</v>
      </c>
      <c r="K488" t="s">
        <v>2488</v>
      </c>
      <c r="L488">
        <v>424</v>
      </c>
      <c r="N488" t="s">
        <v>2494</v>
      </c>
      <c r="O488">
        <v>2020</v>
      </c>
      <c r="P488">
        <v>2020</v>
      </c>
      <c r="Q488" s="1">
        <v>44235</v>
      </c>
      <c r="R488" s="1">
        <v>44169</v>
      </c>
      <c r="S488" t="s">
        <v>16</v>
      </c>
    </row>
    <row r="489" spans="1:19" x14ac:dyDescent="0.25">
      <c r="A489">
        <v>488</v>
      </c>
      <c r="B489">
        <v>28224373</v>
      </c>
      <c r="C489" t="s">
        <v>1165</v>
      </c>
      <c r="D489" t="s">
        <v>17</v>
      </c>
      <c r="E489" t="s">
        <v>1166</v>
      </c>
      <c r="F489" t="s">
        <v>1167</v>
      </c>
      <c r="H489" t="s">
        <v>2214</v>
      </c>
      <c r="I489">
        <v>4</v>
      </c>
      <c r="J489" t="s">
        <v>1668</v>
      </c>
      <c r="K489" t="s">
        <v>2488</v>
      </c>
      <c r="L489">
        <v>208</v>
      </c>
      <c r="N489" t="s">
        <v>2494</v>
      </c>
      <c r="O489">
        <v>2015</v>
      </c>
      <c r="P489">
        <v>2014</v>
      </c>
      <c r="Q489" s="1">
        <v>44269</v>
      </c>
      <c r="R489" s="1">
        <v>44265</v>
      </c>
      <c r="S489" t="s">
        <v>16</v>
      </c>
    </row>
    <row r="490" spans="1:19" x14ac:dyDescent="0.25">
      <c r="A490">
        <v>489</v>
      </c>
      <c r="B490">
        <v>6567017</v>
      </c>
      <c r="C490" t="s">
        <v>1168</v>
      </c>
      <c r="D490" t="s">
        <v>17</v>
      </c>
      <c r="E490" t="s">
        <v>1169</v>
      </c>
      <c r="F490" t="s">
        <v>1170</v>
      </c>
      <c r="H490" t="s">
        <v>2215</v>
      </c>
      <c r="I490">
        <v>3</v>
      </c>
      <c r="J490" t="s">
        <v>1668</v>
      </c>
      <c r="K490" t="s">
        <v>2488</v>
      </c>
      <c r="L490">
        <v>320</v>
      </c>
      <c r="N490" t="s">
        <v>2494</v>
      </c>
      <c r="O490">
        <v>2010</v>
      </c>
      <c r="P490">
        <v>2010</v>
      </c>
      <c r="Q490" s="1">
        <v>44272</v>
      </c>
      <c r="R490" s="1">
        <v>44270</v>
      </c>
      <c r="S490" t="s">
        <v>16</v>
      </c>
    </row>
    <row r="491" spans="1:19" x14ac:dyDescent="0.25">
      <c r="A491">
        <v>490</v>
      </c>
      <c r="B491">
        <v>25008928</v>
      </c>
      <c r="C491" t="s">
        <v>1171</v>
      </c>
      <c r="D491" t="s">
        <v>17</v>
      </c>
      <c r="E491" t="s">
        <v>265</v>
      </c>
      <c r="F491" t="s">
        <v>266</v>
      </c>
      <c r="H491" t="s">
        <v>2216</v>
      </c>
      <c r="I491">
        <v>4</v>
      </c>
      <c r="J491" t="s">
        <v>2217</v>
      </c>
      <c r="K491" t="s">
        <v>2488</v>
      </c>
      <c r="L491">
        <v>168</v>
      </c>
      <c r="N491" t="s">
        <v>2494</v>
      </c>
      <c r="O491">
        <v>2010</v>
      </c>
      <c r="P491">
        <v>1939</v>
      </c>
      <c r="Q491" s="1">
        <v>44307</v>
      </c>
      <c r="R491" s="1">
        <v>44237</v>
      </c>
      <c r="S491" t="s">
        <v>16</v>
      </c>
    </row>
    <row r="492" spans="1:19" x14ac:dyDescent="0.25">
      <c r="A492">
        <v>491</v>
      </c>
      <c r="B492">
        <v>42935117</v>
      </c>
      <c r="C492" t="s">
        <v>1172</v>
      </c>
      <c r="D492" t="s">
        <v>17</v>
      </c>
      <c r="E492" t="s">
        <v>1173</v>
      </c>
      <c r="F492" t="s">
        <v>1174</v>
      </c>
      <c r="G492" t="s">
        <v>2734</v>
      </c>
      <c r="H492" t="s">
        <v>2218</v>
      </c>
      <c r="I492">
        <v>1</v>
      </c>
      <c r="J492" t="s">
        <v>2492</v>
      </c>
      <c r="K492" t="s">
        <v>112</v>
      </c>
      <c r="L492">
        <v>280</v>
      </c>
      <c r="M492" s="2">
        <v>0.34652777777777777</v>
      </c>
      <c r="N492" t="s">
        <v>2486</v>
      </c>
      <c r="O492">
        <v>2020</v>
      </c>
      <c r="P492">
        <v>1966</v>
      </c>
      <c r="Q492" s="1">
        <v>44312</v>
      </c>
      <c r="R492" s="1">
        <v>44309</v>
      </c>
      <c r="S492" t="s">
        <v>16</v>
      </c>
    </row>
    <row r="493" spans="1:19" x14ac:dyDescent="0.25">
      <c r="A493">
        <v>492</v>
      </c>
      <c r="B493">
        <v>30274539</v>
      </c>
      <c r="C493" t="s">
        <v>1175</v>
      </c>
      <c r="D493" t="s">
        <v>17</v>
      </c>
      <c r="E493" t="s">
        <v>1176</v>
      </c>
      <c r="F493" t="s">
        <v>1177</v>
      </c>
      <c r="G493" t="s">
        <v>2735</v>
      </c>
      <c r="H493" t="s">
        <v>2219</v>
      </c>
      <c r="I493">
        <v>5</v>
      </c>
      <c r="J493" t="s">
        <v>2266</v>
      </c>
      <c r="K493" t="s">
        <v>112</v>
      </c>
      <c r="L493">
        <v>192</v>
      </c>
      <c r="M493" s="2">
        <v>0.2298611111111111</v>
      </c>
      <c r="N493" t="s">
        <v>2486</v>
      </c>
      <c r="O493">
        <v>2015</v>
      </c>
      <c r="P493">
        <v>1963</v>
      </c>
      <c r="Q493" s="1">
        <v>44317</v>
      </c>
      <c r="R493" s="1">
        <v>44317</v>
      </c>
      <c r="S493" t="s">
        <v>16</v>
      </c>
    </row>
    <row r="494" spans="1:19" x14ac:dyDescent="0.25">
      <c r="A494">
        <v>493</v>
      </c>
      <c r="B494">
        <v>53047316</v>
      </c>
      <c r="C494" t="s">
        <v>1178</v>
      </c>
      <c r="D494" t="s">
        <v>17</v>
      </c>
      <c r="E494" t="s">
        <v>1179</v>
      </c>
      <c r="F494" t="s">
        <v>1180</v>
      </c>
      <c r="H494" t="s">
        <v>2220</v>
      </c>
      <c r="I494">
        <v>4</v>
      </c>
      <c r="J494" t="s">
        <v>2221</v>
      </c>
      <c r="K494" t="s">
        <v>2488</v>
      </c>
      <c r="L494">
        <v>344</v>
      </c>
      <c r="N494" t="s">
        <v>2494</v>
      </c>
      <c r="O494">
        <v>2019</v>
      </c>
      <c r="P494">
        <v>2016</v>
      </c>
      <c r="Q494" s="1">
        <v>44332</v>
      </c>
      <c r="R494" s="1">
        <v>44326</v>
      </c>
      <c r="S494" t="s">
        <v>16</v>
      </c>
    </row>
    <row r="495" spans="1:19" x14ac:dyDescent="0.25">
      <c r="A495">
        <v>494</v>
      </c>
      <c r="B495">
        <v>25335540</v>
      </c>
      <c r="C495" t="s">
        <v>1181</v>
      </c>
      <c r="D495" t="s">
        <v>17</v>
      </c>
      <c r="E495" t="s">
        <v>503</v>
      </c>
      <c r="F495" t="s">
        <v>504</v>
      </c>
      <c r="G495" t="s">
        <v>2736</v>
      </c>
      <c r="H495" t="s">
        <v>2222</v>
      </c>
      <c r="I495">
        <v>4</v>
      </c>
      <c r="J495" t="s">
        <v>2492</v>
      </c>
      <c r="K495" t="s">
        <v>112</v>
      </c>
      <c r="L495">
        <v>336</v>
      </c>
      <c r="N495" t="s">
        <v>2486</v>
      </c>
      <c r="O495">
        <v>2015</v>
      </c>
      <c r="P495">
        <v>2012</v>
      </c>
      <c r="Q495" s="1">
        <v>44372</v>
      </c>
      <c r="R495" s="1">
        <v>44372</v>
      </c>
      <c r="S495" t="s">
        <v>16</v>
      </c>
    </row>
    <row r="496" spans="1:19" x14ac:dyDescent="0.25">
      <c r="A496">
        <v>495</v>
      </c>
      <c r="B496">
        <v>55369220</v>
      </c>
      <c r="C496" t="s">
        <v>1182</v>
      </c>
      <c r="D496" t="s">
        <v>17</v>
      </c>
      <c r="E496" t="s">
        <v>1183</v>
      </c>
      <c r="F496" t="s">
        <v>1184</v>
      </c>
      <c r="H496" t="s">
        <v>2223</v>
      </c>
      <c r="I496">
        <v>3</v>
      </c>
      <c r="J496" t="s">
        <v>1723</v>
      </c>
      <c r="K496" t="s">
        <v>2488</v>
      </c>
      <c r="L496">
        <v>264</v>
      </c>
      <c r="N496" t="s">
        <v>2494</v>
      </c>
      <c r="O496">
        <v>2020</v>
      </c>
      <c r="P496">
        <v>2019</v>
      </c>
      <c r="Q496" s="1">
        <v>44377</v>
      </c>
      <c r="R496" s="1">
        <v>44317</v>
      </c>
      <c r="S496" t="s">
        <v>16</v>
      </c>
    </row>
    <row r="497" spans="1:19" x14ac:dyDescent="0.25">
      <c r="A497">
        <v>496</v>
      </c>
      <c r="B497">
        <v>18589289</v>
      </c>
      <c r="C497" t="s">
        <v>1185</v>
      </c>
      <c r="D497" t="s">
        <v>1186</v>
      </c>
      <c r="E497" t="s">
        <v>62</v>
      </c>
      <c r="F497" t="s">
        <v>63</v>
      </c>
      <c r="H497" t="s">
        <v>2224</v>
      </c>
      <c r="I497">
        <v>5</v>
      </c>
      <c r="J497" t="s">
        <v>1668</v>
      </c>
      <c r="K497" t="s">
        <v>57</v>
      </c>
      <c r="L497">
        <v>360</v>
      </c>
      <c r="N497" t="s">
        <v>2494</v>
      </c>
      <c r="O497">
        <v>2013</v>
      </c>
      <c r="P497">
        <v>2013</v>
      </c>
      <c r="Q497" s="1">
        <v>44382</v>
      </c>
      <c r="R497" s="1">
        <v>44378</v>
      </c>
      <c r="S497" t="s">
        <v>16</v>
      </c>
    </row>
    <row r="498" spans="1:19" x14ac:dyDescent="0.25">
      <c r="A498">
        <v>497</v>
      </c>
      <c r="B498">
        <v>57813264</v>
      </c>
      <c r="C498" t="s">
        <v>1187</v>
      </c>
      <c r="D498" t="s">
        <v>17</v>
      </c>
      <c r="E498" t="s">
        <v>1188</v>
      </c>
      <c r="F498" t="s">
        <v>1189</v>
      </c>
      <c r="H498" t="s">
        <v>2225</v>
      </c>
      <c r="I498">
        <v>4</v>
      </c>
      <c r="J498" t="s">
        <v>1723</v>
      </c>
      <c r="K498" t="s">
        <v>2488</v>
      </c>
      <c r="L498">
        <v>380</v>
      </c>
      <c r="N498" t="s">
        <v>2494</v>
      </c>
      <c r="O498">
        <v>2021</v>
      </c>
      <c r="P498">
        <v>2021</v>
      </c>
      <c r="Q498" s="1">
        <v>44392</v>
      </c>
      <c r="R498" s="1">
        <v>44317</v>
      </c>
      <c r="S498" t="s">
        <v>16</v>
      </c>
    </row>
    <row r="499" spans="1:19" x14ac:dyDescent="0.25">
      <c r="A499">
        <v>498</v>
      </c>
      <c r="B499">
        <v>32828647</v>
      </c>
      <c r="C499" t="s">
        <v>1190</v>
      </c>
      <c r="D499" t="s">
        <v>17</v>
      </c>
      <c r="E499" t="s">
        <v>1191</v>
      </c>
      <c r="F499" t="s">
        <v>1192</v>
      </c>
      <c r="H499" t="s">
        <v>2226</v>
      </c>
      <c r="I499">
        <v>3</v>
      </c>
      <c r="J499" t="s">
        <v>2227</v>
      </c>
      <c r="K499" t="s">
        <v>57</v>
      </c>
      <c r="L499">
        <v>271</v>
      </c>
      <c r="N499" t="s">
        <v>2486</v>
      </c>
      <c r="O499">
        <v>2016</v>
      </c>
      <c r="P499">
        <v>1972</v>
      </c>
      <c r="Q499" s="1">
        <v>44394</v>
      </c>
      <c r="R499" s="1">
        <v>44390</v>
      </c>
      <c r="S499" t="s">
        <v>16</v>
      </c>
    </row>
    <row r="500" spans="1:19" x14ac:dyDescent="0.25">
      <c r="A500">
        <v>499</v>
      </c>
      <c r="B500">
        <v>25492472</v>
      </c>
      <c r="C500" t="s">
        <v>1193</v>
      </c>
      <c r="D500" t="s">
        <v>17</v>
      </c>
      <c r="E500" t="s">
        <v>503</v>
      </c>
      <c r="F500" t="s">
        <v>504</v>
      </c>
      <c r="G500" t="s">
        <v>2737</v>
      </c>
      <c r="H500" t="s">
        <v>2228</v>
      </c>
      <c r="I500">
        <v>4</v>
      </c>
      <c r="J500" t="s">
        <v>2492</v>
      </c>
      <c r="K500" t="s">
        <v>112</v>
      </c>
      <c r="L500">
        <v>424</v>
      </c>
      <c r="M500" s="2">
        <v>0.53194444444444444</v>
      </c>
      <c r="N500" t="s">
        <v>2486</v>
      </c>
      <c r="O500">
        <v>2015</v>
      </c>
      <c r="P500">
        <v>2013</v>
      </c>
      <c r="Q500" s="1">
        <v>44397</v>
      </c>
      <c r="R500" s="1">
        <v>44397</v>
      </c>
      <c r="S500" t="s">
        <v>16</v>
      </c>
    </row>
    <row r="501" spans="1:19" x14ac:dyDescent="0.25">
      <c r="A501">
        <v>500</v>
      </c>
      <c r="B501">
        <v>35994949</v>
      </c>
      <c r="C501" t="s">
        <v>1194</v>
      </c>
      <c r="D501" t="s">
        <v>17</v>
      </c>
      <c r="E501" t="s">
        <v>503</v>
      </c>
      <c r="F501" t="s">
        <v>504</v>
      </c>
      <c r="G501" t="s">
        <v>2738</v>
      </c>
      <c r="H501" t="s">
        <v>2229</v>
      </c>
      <c r="I501">
        <v>3</v>
      </c>
      <c r="J501" t="s">
        <v>2492</v>
      </c>
      <c r="K501" t="s">
        <v>112</v>
      </c>
      <c r="L501">
        <v>192</v>
      </c>
      <c r="M501" s="2">
        <v>0.11736111111111111</v>
      </c>
      <c r="N501" t="s">
        <v>2486</v>
      </c>
      <c r="O501">
        <v>2017</v>
      </c>
      <c r="P501">
        <v>2012</v>
      </c>
      <c r="Q501" s="1">
        <v>44400</v>
      </c>
      <c r="R501" s="1">
        <v>44400</v>
      </c>
      <c r="S501" t="s">
        <v>16</v>
      </c>
    </row>
    <row r="502" spans="1:19" x14ac:dyDescent="0.25">
      <c r="A502">
        <v>501</v>
      </c>
      <c r="B502">
        <v>26368846</v>
      </c>
      <c r="C502" t="s">
        <v>1195</v>
      </c>
      <c r="D502" t="s">
        <v>17</v>
      </c>
      <c r="E502" t="s">
        <v>1196</v>
      </c>
      <c r="F502" t="s">
        <v>1197</v>
      </c>
      <c r="H502" t="s">
        <v>2230</v>
      </c>
      <c r="I502">
        <v>3</v>
      </c>
      <c r="J502" t="s">
        <v>1944</v>
      </c>
      <c r="K502" t="s">
        <v>57</v>
      </c>
      <c r="L502">
        <v>224</v>
      </c>
      <c r="N502" t="s">
        <v>2494</v>
      </c>
      <c r="O502">
        <v>2015</v>
      </c>
      <c r="P502">
        <v>2010</v>
      </c>
      <c r="Q502" s="1">
        <v>44413</v>
      </c>
      <c r="R502" s="1">
        <v>44411</v>
      </c>
      <c r="S502" t="s">
        <v>16</v>
      </c>
    </row>
    <row r="503" spans="1:19" x14ac:dyDescent="0.25">
      <c r="A503">
        <v>502</v>
      </c>
      <c r="B503">
        <v>34614536</v>
      </c>
      <c r="C503" t="s">
        <v>1198</v>
      </c>
      <c r="D503" t="s">
        <v>17</v>
      </c>
      <c r="E503" t="s">
        <v>503</v>
      </c>
      <c r="F503" t="s">
        <v>504</v>
      </c>
      <c r="G503" t="s">
        <v>2737</v>
      </c>
      <c r="H503" t="s">
        <v>2231</v>
      </c>
      <c r="I503">
        <v>4</v>
      </c>
      <c r="J503" t="s">
        <v>2492</v>
      </c>
      <c r="K503" t="s">
        <v>112</v>
      </c>
      <c r="L503">
        <v>360</v>
      </c>
      <c r="M503" s="2">
        <v>0.42986111111111114</v>
      </c>
      <c r="N503" t="s">
        <v>2486</v>
      </c>
      <c r="O503">
        <v>2017</v>
      </c>
      <c r="P503">
        <v>2014</v>
      </c>
      <c r="Q503" s="1">
        <v>44414</v>
      </c>
      <c r="R503" s="1">
        <v>44413</v>
      </c>
      <c r="S503" t="s">
        <v>16</v>
      </c>
    </row>
    <row r="504" spans="1:19" x14ac:dyDescent="0.25">
      <c r="A504">
        <v>503</v>
      </c>
      <c r="B504">
        <v>40597210</v>
      </c>
      <c r="C504" t="s">
        <v>1199</v>
      </c>
      <c r="D504" t="s">
        <v>2739</v>
      </c>
      <c r="E504" t="s">
        <v>503</v>
      </c>
      <c r="F504" t="s">
        <v>504</v>
      </c>
      <c r="G504" t="s">
        <v>2602</v>
      </c>
      <c r="H504" t="s">
        <v>2232</v>
      </c>
      <c r="I504">
        <v>3</v>
      </c>
      <c r="J504" t="s">
        <v>2492</v>
      </c>
      <c r="K504" t="s">
        <v>112</v>
      </c>
      <c r="L504">
        <v>440</v>
      </c>
      <c r="M504" s="2">
        <v>0.63194444444444442</v>
      </c>
      <c r="N504" t="s">
        <v>2486</v>
      </c>
      <c r="O504">
        <v>2018</v>
      </c>
      <c r="P504">
        <v>2016</v>
      </c>
      <c r="Q504" s="1">
        <v>44429</v>
      </c>
      <c r="R504" s="1">
        <v>44423</v>
      </c>
      <c r="S504" t="s">
        <v>16</v>
      </c>
    </row>
    <row r="505" spans="1:19" x14ac:dyDescent="0.25">
      <c r="A505">
        <v>504</v>
      </c>
      <c r="B505">
        <v>56780957</v>
      </c>
      <c r="C505" t="s">
        <v>1200</v>
      </c>
      <c r="D505" t="s">
        <v>17</v>
      </c>
      <c r="E505" t="s">
        <v>329</v>
      </c>
      <c r="F505" t="s">
        <v>330</v>
      </c>
      <c r="H505" t="s">
        <v>2233</v>
      </c>
      <c r="I505">
        <v>5</v>
      </c>
      <c r="J505" t="s">
        <v>1811</v>
      </c>
      <c r="K505" t="s">
        <v>57</v>
      </c>
      <c r="L505">
        <v>300</v>
      </c>
      <c r="N505" t="s">
        <v>2486</v>
      </c>
      <c r="O505">
        <v>2021</v>
      </c>
      <c r="P505">
        <v>2021</v>
      </c>
      <c r="Q505" s="1">
        <v>44434</v>
      </c>
      <c r="R505" s="1">
        <v>44428</v>
      </c>
      <c r="S505" t="s">
        <v>16</v>
      </c>
    </row>
    <row r="506" spans="1:19" x14ac:dyDescent="0.25">
      <c r="A506">
        <v>505</v>
      </c>
      <c r="B506">
        <v>13487869</v>
      </c>
      <c r="C506" t="s">
        <v>1201</v>
      </c>
      <c r="D506" t="s">
        <v>17</v>
      </c>
      <c r="E506" t="s">
        <v>1202</v>
      </c>
      <c r="F506" t="s">
        <v>1203</v>
      </c>
      <c r="H506" t="s">
        <v>2234</v>
      </c>
      <c r="I506">
        <v>2</v>
      </c>
      <c r="J506" t="s">
        <v>2235</v>
      </c>
      <c r="K506" t="s">
        <v>2488</v>
      </c>
      <c r="L506">
        <v>310</v>
      </c>
      <c r="N506" t="s">
        <v>2494</v>
      </c>
      <c r="O506">
        <v>2012</v>
      </c>
      <c r="P506">
        <v>2012</v>
      </c>
      <c r="Q506" s="1">
        <v>44441</v>
      </c>
      <c r="R506" s="1">
        <v>44440</v>
      </c>
      <c r="S506" t="s">
        <v>16</v>
      </c>
    </row>
    <row r="507" spans="1:19" x14ac:dyDescent="0.25">
      <c r="A507">
        <v>506</v>
      </c>
      <c r="B507">
        <v>35291687</v>
      </c>
      <c r="C507" t="s">
        <v>1204</v>
      </c>
      <c r="D507" t="s">
        <v>17</v>
      </c>
      <c r="E507" t="s">
        <v>1205</v>
      </c>
      <c r="F507" t="s">
        <v>1206</v>
      </c>
      <c r="H507" t="s">
        <v>2236</v>
      </c>
      <c r="I507">
        <v>3</v>
      </c>
      <c r="J507" t="s">
        <v>1668</v>
      </c>
      <c r="K507" t="s">
        <v>2488</v>
      </c>
      <c r="L507">
        <v>304</v>
      </c>
      <c r="N507" t="s">
        <v>2494</v>
      </c>
      <c r="O507">
        <v>2017</v>
      </c>
      <c r="P507">
        <v>2016</v>
      </c>
      <c r="Q507" s="1">
        <v>44445</v>
      </c>
      <c r="R507" s="1">
        <v>44442</v>
      </c>
      <c r="S507" t="s">
        <v>16</v>
      </c>
    </row>
    <row r="508" spans="1:19" x14ac:dyDescent="0.25">
      <c r="A508">
        <v>507</v>
      </c>
      <c r="B508">
        <v>40935775</v>
      </c>
      <c r="C508" t="s">
        <v>1207</v>
      </c>
      <c r="D508" t="s">
        <v>1208</v>
      </c>
      <c r="E508" t="s">
        <v>503</v>
      </c>
      <c r="F508" t="s">
        <v>504</v>
      </c>
      <c r="G508" t="s">
        <v>2602</v>
      </c>
      <c r="H508" t="s">
        <v>2237</v>
      </c>
      <c r="I508">
        <v>3</v>
      </c>
      <c r="J508" t="s">
        <v>2492</v>
      </c>
      <c r="K508" t="s">
        <v>112</v>
      </c>
      <c r="L508">
        <v>440</v>
      </c>
      <c r="M508" s="2">
        <v>0.62361111111111112</v>
      </c>
      <c r="N508" t="s">
        <v>2486</v>
      </c>
      <c r="O508">
        <v>2018</v>
      </c>
      <c r="P508">
        <v>2017</v>
      </c>
      <c r="Q508" s="1">
        <v>44449</v>
      </c>
      <c r="R508" s="1">
        <v>44446</v>
      </c>
      <c r="S508" t="s">
        <v>16</v>
      </c>
    </row>
    <row r="509" spans="1:19" x14ac:dyDescent="0.25">
      <c r="A509">
        <v>508</v>
      </c>
      <c r="B509">
        <v>48888554</v>
      </c>
      <c r="C509" t="s">
        <v>1209</v>
      </c>
      <c r="D509" t="s">
        <v>17</v>
      </c>
      <c r="E509" t="s">
        <v>1210</v>
      </c>
      <c r="F509" t="s">
        <v>1211</v>
      </c>
      <c r="H509" t="s">
        <v>2238</v>
      </c>
      <c r="I509">
        <v>4</v>
      </c>
      <c r="J509" t="s">
        <v>1770</v>
      </c>
      <c r="K509" t="s">
        <v>2488</v>
      </c>
      <c r="L509">
        <v>232</v>
      </c>
      <c r="N509" t="s">
        <v>2494</v>
      </c>
      <c r="O509">
        <v>2019</v>
      </c>
      <c r="P509">
        <v>2016</v>
      </c>
      <c r="Q509" s="1">
        <v>44454</v>
      </c>
      <c r="R509" s="1">
        <v>44448</v>
      </c>
      <c r="S509" t="s">
        <v>16</v>
      </c>
    </row>
    <row r="510" spans="1:19" x14ac:dyDescent="0.25">
      <c r="A510">
        <v>509</v>
      </c>
      <c r="B510">
        <v>18637181</v>
      </c>
      <c r="C510" t="s">
        <v>1212</v>
      </c>
      <c r="D510" t="s">
        <v>1213</v>
      </c>
      <c r="E510" t="s">
        <v>1156</v>
      </c>
      <c r="F510" t="s">
        <v>1157</v>
      </c>
      <c r="G510" t="s">
        <v>2733</v>
      </c>
      <c r="H510" t="s">
        <v>2239</v>
      </c>
      <c r="I510">
        <v>3</v>
      </c>
      <c r="J510" t="s">
        <v>2492</v>
      </c>
      <c r="K510" t="s">
        <v>112</v>
      </c>
      <c r="L510">
        <v>118</v>
      </c>
      <c r="M510" s="2">
        <v>0.15208333333333332</v>
      </c>
      <c r="N510" t="s">
        <v>2486</v>
      </c>
      <c r="O510">
        <v>2013</v>
      </c>
      <c r="P510">
        <v>2013</v>
      </c>
      <c r="Q510" s="1">
        <v>44469</v>
      </c>
      <c r="R510" s="1">
        <v>44469</v>
      </c>
      <c r="S510" t="s">
        <v>16</v>
      </c>
    </row>
    <row r="511" spans="1:19" x14ac:dyDescent="0.25">
      <c r="A511">
        <v>510</v>
      </c>
      <c r="B511">
        <v>55362531</v>
      </c>
      <c r="C511" t="s">
        <v>1214</v>
      </c>
      <c r="D511" t="s">
        <v>17</v>
      </c>
      <c r="E511" t="s">
        <v>1215</v>
      </c>
      <c r="F511" t="s">
        <v>1216</v>
      </c>
      <c r="H511" t="s">
        <v>2240</v>
      </c>
      <c r="I511">
        <v>3</v>
      </c>
      <c r="J511" t="s">
        <v>1668</v>
      </c>
      <c r="K511" t="s">
        <v>2488</v>
      </c>
      <c r="L511">
        <v>264</v>
      </c>
      <c r="N511" t="s">
        <v>2494</v>
      </c>
      <c r="O511">
        <v>2020</v>
      </c>
      <c r="P511">
        <v>2020</v>
      </c>
      <c r="Q511" s="1">
        <v>44477</v>
      </c>
      <c r="R511" s="1">
        <v>44455</v>
      </c>
      <c r="S511" t="s">
        <v>16</v>
      </c>
    </row>
    <row r="512" spans="1:19" x14ac:dyDescent="0.25">
      <c r="A512">
        <v>511</v>
      </c>
      <c r="B512">
        <v>48557446</v>
      </c>
      <c r="C512" t="s">
        <v>1217</v>
      </c>
      <c r="D512" t="s">
        <v>2744</v>
      </c>
      <c r="E512" t="s">
        <v>1006</v>
      </c>
      <c r="F512" t="s">
        <v>1007</v>
      </c>
      <c r="H512" t="s">
        <v>2241</v>
      </c>
      <c r="I512">
        <v>3</v>
      </c>
      <c r="J512" t="s">
        <v>1668</v>
      </c>
      <c r="K512" t="s">
        <v>57</v>
      </c>
      <c r="L512">
        <v>408</v>
      </c>
      <c r="N512" t="s">
        <v>2486</v>
      </c>
      <c r="O512">
        <v>2019</v>
      </c>
      <c r="P512">
        <v>2017</v>
      </c>
      <c r="Q512" s="1">
        <v>44495</v>
      </c>
      <c r="R512" s="1">
        <v>44485</v>
      </c>
      <c r="S512" t="s">
        <v>16</v>
      </c>
    </row>
    <row r="513" spans="1:19" x14ac:dyDescent="0.25">
      <c r="A513">
        <v>512</v>
      </c>
      <c r="B513">
        <v>24560948</v>
      </c>
      <c r="C513" t="s">
        <v>1218</v>
      </c>
      <c r="D513" t="s">
        <v>1219</v>
      </c>
      <c r="E513" t="s">
        <v>552</v>
      </c>
      <c r="F513" t="s">
        <v>553</v>
      </c>
      <c r="G513" t="s">
        <v>1142</v>
      </c>
      <c r="H513" t="s">
        <v>2242</v>
      </c>
      <c r="I513">
        <v>3</v>
      </c>
      <c r="J513" t="s">
        <v>2198</v>
      </c>
      <c r="K513" t="s">
        <v>112</v>
      </c>
      <c r="L513">
        <v>632</v>
      </c>
      <c r="M513" s="2">
        <v>0.8041666666666667</v>
      </c>
      <c r="N513" t="s">
        <v>2486</v>
      </c>
      <c r="O513">
        <v>2015</v>
      </c>
      <c r="P513">
        <v>2011</v>
      </c>
      <c r="Q513" s="1">
        <v>44506</v>
      </c>
      <c r="R513" s="1">
        <v>44499</v>
      </c>
      <c r="S513" t="s">
        <v>16</v>
      </c>
    </row>
    <row r="514" spans="1:19" x14ac:dyDescent="0.25">
      <c r="A514">
        <v>513</v>
      </c>
      <c r="B514">
        <v>26592542</v>
      </c>
      <c r="C514" t="s">
        <v>1220</v>
      </c>
      <c r="D514" t="s">
        <v>1221</v>
      </c>
      <c r="E514" t="s">
        <v>552</v>
      </c>
      <c r="F514" t="s">
        <v>553</v>
      </c>
      <c r="G514" t="s">
        <v>1142</v>
      </c>
      <c r="H514" t="s">
        <v>2243</v>
      </c>
      <c r="I514">
        <v>4</v>
      </c>
      <c r="J514" t="s">
        <v>2198</v>
      </c>
      <c r="K514" t="s">
        <v>112</v>
      </c>
      <c r="L514">
        <v>640</v>
      </c>
      <c r="M514" s="2">
        <v>0.79374999999999996</v>
      </c>
      <c r="N514" t="s">
        <v>2486</v>
      </c>
      <c r="O514">
        <v>2015</v>
      </c>
      <c r="P514">
        <v>2012</v>
      </c>
      <c r="Q514" s="1">
        <v>44518</v>
      </c>
      <c r="R514" s="1">
        <v>44516</v>
      </c>
      <c r="S514" t="s">
        <v>16</v>
      </c>
    </row>
    <row r="515" spans="1:19" x14ac:dyDescent="0.25">
      <c r="A515">
        <v>514</v>
      </c>
      <c r="B515">
        <v>30305449</v>
      </c>
      <c r="C515" t="s">
        <v>1222</v>
      </c>
      <c r="D515" t="s">
        <v>1223</v>
      </c>
      <c r="E515" t="s">
        <v>552</v>
      </c>
      <c r="F515" t="s">
        <v>553</v>
      </c>
      <c r="G515" t="s">
        <v>1142</v>
      </c>
      <c r="H515" t="s">
        <v>2244</v>
      </c>
      <c r="I515">
        <v>4</v>
      </c>
      <c r="J515" t="s">
        <v>2198</v>
      </c>
      <c r="K515" t="s">
        <v>112</v>
      </c>
      <c r="L515">
        <v>616</v>
      </c>
      <c r="M515" s="2">
        <v>0.76180555555555551</v>
      </c>
      <c r="N515" t="s">
        <v>2486</v>
      </c>
      <c r="O515">
        <v>2016</v>
      </c>
      <c r="P515">
        <v>2016</v>
      </c>
      <c r="Q515" s="1">
        <v>44524</v>
      </c>
      <c r="R515" s="1">
        <v>44512</v>
      </c>
      <c r="S515" t="s">
        <v>16</v>
      </c>
    </row>
    <row r="516" spans="1:19" x14ac:dyDescent="0.25">
      <c r="A516">
        <v>515</v>
      </c>
      <c r="B516">
        <v>38091498</v>
      </c>
      <c r="C516" t="s">
        <v>1224</v>
      </c>
      <c r="D516" t="s">
        <v>1225</v>
      </c>
      <c r="E516" t="s">
        <v>552</v>
      </c>
      <c r="F516" t="s">
        <v>553</v>
      </c>
      <c r="G516" t="s">
        <v>1142</v>
      </c>
      <c r="H516" t="s">
        <v>2245</v>
      </c>
      <c r="I516">
        <v>4</v>
      </c>
      <c r="J516" t="s">
        <v>2198</v>
      </c>
      <c r="K516" t="s">
        <v>112</v>
      </c>
      <c r="L516">
        <v>526</v>
      </c>
      <c r="M516" s="2">
        <v>0.625</v>
      </c>
      <c r="N516" t="s">
        <v>2486</v>
      </c>
      <c r="O516">
        <v>2018</v>
      </c>
      <c r="P516">
        <v>2017</v>
      </c>
      <c r="Q516" s="1">
        <v>44542</v>
      </c>
      <c r="R516" s="1">
        <v>44536</v>
      </c>
      <c r="S516" t="s">
        <v>16</v>
      </c>
    </row>
    <row r="517" spans="1:19" x14ac:dyDescent="0.25">
      <c r="A517">
        <v>516</v>
      </c>
      <c r="B517">
        <v>37808857</v>
      </c>
      <c r="C517" t="s">
        <v>1226</v>
      </c>
      <c r="D517" t="s">
        <v>17</v>
      </c>
      <c r="E517" t="s">
        <v>1227</v>
      </c>
      <c r="F517" t="s">
        <v>1228</v>
      </c>
      <c r="H517" t="s">
        <v>2246</v>
      </c>
      <c r="I517">
        <v>3</v>
      </c>
      <c r="J517" t="s">
        <v>2247</v>
      </c>
      <c r="K517" t="s">
        <v>2488</v>
      </c>
      <c r="L517">
        <v>176</v>
      </c>
      <c r="N517" t="s">
        <v>2494</v>
      </c>
      <c r="O517">
        <v>2013</v>
      </c>
      <c r="P517">
        <v>1972</v>
      </c>
      <c r="Q517" s="1">
        <v>44544</v>
      </c>
      <c r="R517" s="1">
        <v>44540</v>
      </c>
      <c r="S517" t="s">
        <v>16</v>
      </c>
    </row>
    <row r="518" spans="1:19" x14ac:dyDescent="0.25">
      <c r="A518">
        <v>517</v>
      </c>
      <c r="B518">
        <v>24886265</v>
      </c>
      <c r="C518" t="s">
        <v>2740</v>
      </c>
      <c r="D518" t="s">
        <v>2741</v>
      </c>
      <c r="E518" t="s">
        <v>1229</v>
      </c>
      <c r="F518" t="s">
        <v>1230</v>
      </c>
      <c r="H518" t="s">
        <v>2248</v>
      </c>
      <c r="I518">
        <v>2</v>
      </c>
      <c r="J518" t="s">
        <v>1723</v>
      </c>
      <c r="K518" t="s">
        <v>2488</v>
      </c>
      <c r="L518">
        <v>365</v>
      </c>
      <c r="N518" t="s">
        <v>2494</v>
      </c>
      <c r="O518">
        <v>2015</v>
      </c>
      <c r="P518">
        <v>2015</v>
      </c>
      <c r="Q518" s="1">
        <v>44541</v>
      </c>
      <c r="R518" s="1">
        <v>44506</v>
      </c>
      <c r="S518" t="s">
        <v>16</v>
      </c>
    </row>
    <row r="519" spans="1:19" x14ac:dyDescent="0.25">
      <c r="A519">
        <v>518</v>
      </c>
      <c r="B519">
        <v>30344622</v>
      </c>
      <c r="C519" t="s">
        <v>1231</v>
      </c>
      <c r="D519" t="s">
        <v>1232</v>
      </c>
      <c r="E519" t="s">
        <v>1006</v>
      </c>
      <c r="F519" t="s">
        <v>1007</v>
      </c>
      <c r="H519" t="s">
        <v>2249</v>
      </c>
      <c r="I519">
        <v>3</v>
      </c>
      <c r="J519" t="s">
        <v>2208</v>
      </c>
      <c r="K519" t="s">
        <v>57</v>
      </c>
      <c r="L519">
        <v>334</v>
      </c>
      <c r="N519" t="s">
        <v>2486</v>
      </c>
      <c r="O519">
        <v>2016</v>
      </c>
      <c r="P519">
        <v>2015</v>
      </c>
      <c r="Q519" s="1">
        <v>44540</v>
      </c>
      <c r="R519" s="1">
        <v>44506</v>
      </c>
      <c r="S519" t="s">
        <v>16</v>
      </c>
    </row>
    <row r="520" spans="1:19" x14ac:dyDescent="0.25">
      <c r="A520">
        <v>519</v>
      </c>
      <c r="B520">
        <v>25613395</v>
      </c>
      <c r="C520" t="s">
        <v>2742</v>
      </c>
      <c r="D520" t="s">
        <v>17</v>
      </c>
      <c r="E520" t="s">
        <v>2743</v>
      </c>
      <c r="F520" t="s">
        <v>1233</v>
      </c>
      <c r="H520" t="s">
        <v>2250</v>
      </c>
      <c r="I520">
        <v>3</v>
      </c>
      <c r="J520" t="s">
        <v>1723</v>
      </c>
      <c r="K520" t="s">
        <v>2488</v>
      </c>
      <c r="L520">
        <v>336</v>
      </c>
      <c r="N520" t="s">
        <v>2494</v>
      </c>
      <c r="O520">
        <v>2016</v>
      </c>
      <c r="P520">
        <v>2016</v>
      </c>
      <c r="Q520" s="1">
        <v>44516</v>
      </c>
      <c r="R520" s="1">
        <v>44513</v>
      </c>
      <c r="S520" t="s">
        <v>16</v>
      </c>
    </row>
    <row r="521" spans="1:19" x14ac:dyDescent="0.25">
      <c r="A521">
        <v>520</v>
      </c>
      <c r="B521">
        <v>50615414</v>
      </c>
      <c r="C521" t="s">
        <v>1234</v>
      </c>
      <c r="D521" t="s">
        <v>2745</v>
      </c>
      <c r="E521" t="s">
        <v>1006</v>
      </c>
      <c r="F521" t="s">
        <v>1007</v>
      </c>
      <c r="H521" t="s">
        <v>2251</v>
      </c>
      <c r="I521">
        <v>3</v>
      </c>
      <c r="J521" t="s">
        <v>1668</v>
      </c>
      <c r="K521" t="s">
        <v>57</v>
      </c>
      <c r="L521">
        <v>360</v>
      </c>
      <c r="N521" t="s">
        <v>2486</v>
      </c>
      <c r="O521">
        <v>2020</v>
      </c>
      <c r="P521">
        <v>2017</v>
      </c>
      <c r="Q521" s="1">
        <v>44502</v>
      </c>
      <c r="R521" s="1">
        <v>44496</v>
      </c>
      <c r="S521" t="s">
        <v>16</v>
      </c>
    </row>
    <row r="522" spans="1:19" x14ac:dyDescent="0.25">
      <c r="A522">
        <v>521</v>
      </c>
      <c r="B522">
        <v>50523311</v>
      </c>
      <c r="C522" t="s">
        <v>1235</v>
      </c>
      <c r="D522" t="s">
        <v>17</v>
      </c>
      <c r="E522" t="s">
        <v>1236</v>
      </c>
      <c r="F522" t="s">
        <v>1237</v>
      </c>
      <c r="H522" t="s">
        <v>2252</v>
      </c>
      <c r="I522">
        <v>4</v>
      </c>
      <c r="J522" t="s">
        <v>2253</v>
      </c>
      <c r="K522" t="s">
        <v>2488</v>
      </c>
      <c r="L522">
        <v>282</v>
      </c>
      <c r="N522" t="s">
        <v>2494</v>
      </c>
      <c r="O522">
        <v>2019</v>
      </c>
      <c r="P522">
        <v>2017</v>
      </c>
      <c r="Q522" s="1">
        <v>44355</v>
      </c>
      <c r="R522" s="1">
        <v>44333</v>
      </c>
      <c r="S522" t="s">
        <v>16</v>
      </c>
    </row>
    <row r="523" spans="1:19" x14ac:dyDescent="0.25">
      <c r="A523">
        <v>522</v>
      </c>
      <c r="B523">
        <v>36413262</v>
      </c>
      <c r="C523" t="s">
        <v>1238</v>
      </c>
      <c r="D523" t="s">
        <v>2746</v>
      </c>
      <c r="E523" t="s">
        <v>1006</v>
      </c>
      <c r="F523" t="s">
        <v>1007</v>
      </c>
      <c r="H523" t="s">
        <v>2254</v>
      </c>
      <c r="I523">
        <v>3</v>
      </c>
      <c r="J523" t="s">
        <v>1668</v>
      </c>
      <c r="K523" t="s">
        <v>57</v>
      </c>
      <c r="L523">
        <v>397</v>
      </c>
      <c r="N523" t="s">
        <v>2486</v>
      </c>
      <c r="O523">
        <v>2017</v>
      </c>
      <c r="P523">
        <v>2016</v>
      </c>
      <c r="Q523" s="1">
        <v>44481</v>
      </c>
      <c r="R523" s="1">
        <v>44469</v>
      </c>
      <c r="S523" t="s">
        <v>16</v>
      </c>
    </row>
    <row r="524" spans="1:19" x14ac:dyDescent="0.25">
      <c r="A524">
        <v>523</v>
      </c>
      <c r="B524">
        <v>29096381</v>
      </c>
      <c r="C524" t="s">
        <v>1239</v>
      </c>
      <c r="D524" t="s">
        <v>1240</v>
      </c>
      <c r="E524" t="s">
        <v>1156</v>
      </c>
      <c r="F524" t="s">
        <v>1157</v>
      </c>
      <c r="G524" t="s">
        <v>2733</v>
      </c>
      <c r="H524" t="s">
        <v>2255</v>
      </c>
      <c r="I524">
        <v>3</v>
      </c>
      <c r="J524" t="s">
        <v>2492</v>
      </c>
      <c r="K524" t="s">
        <v>112</v>
      </c>
      <c r="L524">
        <v>171</v>
      </c>
      <c r="M524" s="2">
        <v>0.15902777777777777</v>
      </c>
      <c r="N524" t="s">
        <v>2486</v>
      </c>
      <c r="O524">
        <v>2016</v>
      </c>
      <c r="P524">
        <v>2016</v>
      </c>
      <c r="Q524" s="1">
        <v>44471</v>
      </c>
      <c r="R524" s="1">
        <v>44469</v>
      </c>
      <c r="S524" t="s">
        <v>16</v>
      </c>
    </row>
    <row r="525" spans="1:19" x14ac:dyDescent="0.25">
      <c r="A525">
        <v>524</v>
      </c>
      <c r="B525">
        <v>36569799</v>
      </c>
      <c r="C525" t="s">
        <v>1241</v>
      </c>
      <c r="D525" t="s">
        <v>17</v>
      </c>
      <c r="E525" t="s">
        <v>1242</v>
      </c>
      <c r="F525" t="s">
        <v>1243</v>
      </c>
      <c r="H525" t="s">
        <v>2256</v>
      </c>
      <c r="I525">
        <v>1</v>
      </c>
      <c r="J525" t="s">
        <v>2687</v>
      </c>
      <c r="K525" t="s">
        <v>2488</v>
      </c>
      <c r="L525">
        <v>336</v>
      </c>
      <c r="N525" t="s">
        <v>2494</v>
      </c>
      <c r="O525">
        <v>2017</v>
      </c>
      <c r="P525">
        <v>2015</v>
      </c>
      <c r="Q525" s="1">
        <v>44468</v>
      </c>
      <c r="R525" s="1">
        <v>44455</v>
      </c>
      <c r="S525" t="s">
        <v>16</v>
      </c>
    </row>
    <row r="526" spans="1:19" x14ac:dyDescent="0.25">
      <c r="A526">
        <v>525</v>
      </c>
      <c r="B526">
        <v>44417842</v>
      </c>
      <c r="C526" t="s">
        <v>1244</v>
      </c>
      <c r="D526" t="s">
        <v>17</v>
      </c>
      <c r="E526" t="s">
        <v>329</v>
      </c>
      <c r="F526" t="s">
        <v>330</v>
      </c>
      <c r="G526" t="s">
        <v>2747</v>
      </c>
      <c r="H526" t="s">
        <v>2257</v>
      </c>
      <c r="I526">
        <v>4</v>
      </c>
      <c r="J526" t="s">
        <v>2492</v>
      </c>
      <c r="K526" t="s">
        <v>2748</v>
      </c>
      <c r="L526">
        <v>296</v>
      </c>
      <c r="M526" s="2">
        <v>0.35416666666666669</v>
      </c>
      <c r="N526" t="s">
        <v>2486</v>
      </c>
      <c r="O526">
        <v>2019</v>
      </c>
      <c r="P526">
        <v>2019</v>
      </c>
      <c r="Q526" s="1">
        <v>44463</v>
      </c>
      <c r="R526" s="1">
        <v>44459</v>
      </c>
      <c r="S526" t="s">
        <v>16</v>
      </c>
    </row>
    <row r="527" spans="1:19" x14ac:dyDescent="0.25">
      <c r="A527">
        <v>526</v>
      </c>
      <c r="B527">
        <v>38746485</v>
      </c>
      <c r="C527" t="s">
        <v>2749</v>
      </c>
      <c r="D527" t="s">
        <v>17</v>
      </c>
      <c r="E527" t="s">
        <v>1245</v>
      </c>
      <c r="F527" t="s">
        <v>1246</v>
      </c>
      <c r="H527" t="s">
        <v>2258</v>
      </c>
      <c r="I527">
        <v>3</v>
      </c>
      <c r="J527" t="s">
        <v>2532</v>
      </c>
      <c r="K527" t="s">
        <v>112</v>
      </c>
      <c r="L527">
        <v>448</v>
      </c>
      <c r="M527" s="2">
        <v>0.79236111111111107</v>
      </c>
      <c r="N527" t="s">
        <v>2494</v>
      </c>
      <c r="O527">
        <v>2018</v>
      </c>
      <c r="P527">
        <v>2018</v>
      </c>
      <c r="Q527" s="1">
        <v>44456</v>
      </c>
      <c r="R527" s="1">
        <v>44454</v>
      </c>
      <c r="S527" t="s">
        <v>16</v>
      </c>
    </row>
    <row r="528" spans="1:19" x14ac:dyDescent="0.25">
      <c r="A528">
        <v>527</v>
      </c>
      <c r="B528">
        <v>42844737</v>
      </c>
      <c r="C528" t="s">
        <v>1247</v>
      </c>
      <c r="D528" t="s">
        <v>17</v>
      </c>
      <c r="E528" t="s">
        <v>1248</v>
      </c>
      <c r="F528" t="s">
        <v>1249</v>
      </c>
      <c r="H528" t="s">
        <v>2260</v>
      </c>
      <c r="I528">
        <v>3</v>
      </c>
      <c r="J528" t="s">
        <v>1668</v>
      </c>
      <c r="K528" t="s">
        <v>2488</v>
      </c>
      <c r="L528">
        <v>320</v>
      </c>
      <c r="N528" t="s">
        <v>2494</v>
      </c>
      <c r="O528">
        <v>2018</v>
      </c>
      <c r="P528">
        <v>2018</v>
      </c>
      <c r="Q528" s="1">
        <v>44449</v>
      </c>
      <c r="R528" s="1">
        <v>44447</v>
      </c>
      <c r="S528" t="s">
        <v>16</v>
      </c>
    </row>
    <row r="529" spans="1:19" x14ac:dyDescent="0.25">
      <c r="A529">
        <v>528</v>
      </c>
      <c r="B529">
        <v>57828721</v>
      </c>
      <c r="C529" t="s">
        <v>1250</v>
      </c>
      <c r="D529" t="s">
        <v>17</v>
      </c>
      <c r="E529" t="s">
        <v>1251</v>
      </c>
      <c r="F529" t="s">
        <v>1252</v>
      </c>
      <c r="H529" t="s">
        <v>2261</v>
      </c>
      <c r="I529">
        <v>4</v>
      </c>
      <c r="J529" t="s">
        <v>1668</v>
      </c>
      <c r="K529" t="s">
        <v>2488</v>
      </c>
      <c r="L529">
        <v>424</v>
      </c>
      <c r="N529" t="s">
        <v>2494</v>
      </c>
      <c r="O529">
        <v>2021</v>
      </c>
      <c r="P529">
        <v>2019</v>
      </c>
      <c r="Q529" s="1">
        <v>44430</v>
      </c>
      <c r="R529" s="1">
        <v>44350</v>
      </c>
      <c r="S529" t="s">
        <v>16</v>
      </c>
    </row>
    <row r="530" spans="1:19" x14ac:dyDescent="0.25">
      <c r="A530">
        <v>529</v>
      </c>
      <c r="B530">
        <v>40051366</v>
      </c>
      <c r="C530" t="s">
        <v>1253</v>
      </c>
      <c r="D530" t="s">
        <v>17</v>
      </c>
      <c r="E530" t="s">
        <v>228</v>
      </c>
      <c r="F530" t="s">
        <v>229</v>
      </c>
      <c r="H530" t="s">
        <v>2262</v>
      </c>
      <c r="I530">
        <v>5</v>
      </c>
      <c r="J530" t="s">
        <v>1668</v>
      </c>
      <c r="K530" t="s">
        <v>2488</v>
      </c>
      <c r="L530">
        <v>304</v>
      </c>
      <c r="N530" t="s">
        <v>2494</v>
      </c>
      <c r="O530">
        <v>2018</v>
      </c>
      <c r="P530">
        <v>2017</v>
      </c>
      <c r="Q530" s="1">
        <v>44406</v>
      </c>
      <c r="R530" s="1">
        <v>44402</v>
      </c>
      <c r="S530" t="s">
        <v>16</v>
      </c>
    </row>
    <row r="531" spans="1:19" x14ac:dyDescent="0.25">
      <c r="A531">
        <v>530</v>
      </c>
      <c r="B531">
        <v>17312529</v>
      </c>
      <c r="C531" t="s">
        <v>1256</v>
      </c>
      <c r="D531" t="s">
        <v>1257</v>
      </c>
      <c r="E531" t="s">
        <v>62</v>
      </c>
      <c r="F531" t="s">
        <v>63</v>
      </c>
      <c r="H531" t="s">
        <v>2263</v>
      </c>
      <c r="I531">
        <v>4</v>
      </c>
      <c r="J531" t="s">
        <v>1668</v>
      </c>
      <c r="K531" t="s">
        <v>57</v>
      </c>
      <c r="L531">
        <v>375</v>
      </c>
      <c r="N531" t="s">
        <v>2494</v>
      </c>
      <c r="O531">
        <v>2012</v>
      </c>
      <c r="P531">
        <v>2012</v>
      </c>
      <c r="Q531" s="1">
        <v>44367</v>
      </c>
      <c r="R531" s="1">
        <v>44345</v>
      </c>
      <c r="S531" t="s">
        <v>16</v>
      </c>
    </row>
    <row r="532" spans="1:19" x14ac:dyDescent="0.25">
      <c r="A532">
        <v>531</v>
      </c>
      <c r="B532">
        <v>51832906</v>
      </c>
      <c r="C532" t="s">
        <v>1258</v>
      </c>
      <c r="D532" t="s">
        <v>1259</v>
      </c>
      <c r="E532" t="s">
        <v>241</v>
      </c>
      <c r="F532" t="s">
        <v>242</v>
      </c>
      <c r="G532" t="s">
        <v>2750</v>
      </c>
      <c r="H532" t="s">
        <v>2264</v>
      </c>
      <c r="I532">
        <v>3</v>
      </c>
      <c r="J532" t="s">
        <v>2545</v>
      </c>
      <c r="K532" t="s">
        <v>112</v>
      </c>
      <c r="L532">
        <v>672</v>
      </c>
      <c r="M532" s="3">
        <v>1.3333333333333333</v>
      </c>
      <c r="N532" t="s">
        <v>2486</v>
      </c>
      <c r="O532">
        <v>2019</v>
      </c>
      <c r="P532">
        <v>2018</v>
      </c>
      <c r="Q532" s="1">
        <v>44366</v>
      </c>
      <c r="R532" s="1">
        <v>44349</v>
      </c>
      <c r="S532" t="s">
        <v>16</v>
      </c>
    </row>
    <row r="533" spans="1:19" x14ac:dyDescent="0.25">
      <c r="A533">
        <v>532</v>
      </c>
      <c r="B533">
        <v>29541801</v>
      </c>
      <c r="C533" t="s">
        <v>1260</v>
      </c>
      <c r="D533" t="s">
        <v>1261</v>
      </c>
      <c r="E533" t="s">
        <v>241</v>
      </c>
      <c r="F533" t="s">
        <v>242</v>
      </c>
      <c r="G533" t="s">
        <v>2527</v>
      </c>
      <c r="H533" t="s">
        <v>2265</v>
      </c>
      <c r="I533">
        <v>4</v>
      </c>
      <c r="J533" t="s">
        <v>2266</v>
      </c>
      <c r="K533" t="s">
        <v>112</v>
      </c>
      <c r="L533">
        <v>571</v>
      </c>
      <c r="M533" s="2">
        <v>0.95972222222222225</v>
      </c>
      <c r="N533" t="s">
        <v>2486</v>
      </c>
      <c r="O533">
        <v>2016</v>
      </c>
      <c r="P533">
        <v>2015</v>
      </c>
      <c r="Q533" s="1">
        <v>44349</v>
      </c>
      <c r="R533" s="1">
        <v>44339</v>
      </c>
      <c r="S533" t="s">
        <v>16</v>
      </c>
    </row>
    <row r="534" spans="1:19" x14ac:dyDescent="0.25">
      <c r="A534">
        <v>533</v>
      </c>
      <c r="B534">
        <v>57177129</v>
      </c>
      <c r="C534" t="s">
        <v>1262</v>
      </c>
      <c r="D534" t="s">
        <v>17</v>
      </c>
      <c r="E534" t="s">
        <v>1263</v>
      </c>
      <c r="F534" t="s">
        <v>1264</v>
      </c>
      <c r="H534" t="s">
        <v>2267</v>
      </c>
      <c r="I534">
        <v>4</v>
      </c>
      <c r="J534" t="s">
        <v>2217</v>
      </c>
      <c r="K534" t="s">
        <v>57</v>
      </c>
      <c r="L534">
        <v>376</v>
      </c>
      <c r="N534" t="s">
        <v>2494</v>
      </c>
      <c r="O534">
        <v>2021</v>
      </c>
      <c r="P534">
        <v>2020</v>
      </c>
      <c r="Q534" s="1">
        <v>44339</v>
      </c>
      <c r="R534" s="1">
        <v>44326</v>
      </c>
      <c r="S534" t="s">
        <v>16</v>
      </c>
    </row>
    <row r="535" spans="1:19" x14ac:dyDescent="0.25">
      <c r="A535">
        <v>534</v>
      </c>
      <c r="B535">
        <v>23354059</v>
      </c>
      <c r="C535" t="s">
        <v>1265</v>
      </c>
      <c r="D535" t="s">
        <v>1266</v>
      </c>
      <c r="E535" t="s">
        <v>241</v>
      </c>
      <c r="F535" t="s">
        <v>242</v>
      </c>
      <c r="G535" t="s">
        <v>2751</v>
      </c>
      <c r="H535" t="s">
        <v>2268</v>
      </c>
      <c r="I535">
        <v>3</v>
      </c>
      <c r="J535" t="s">
        <v>2266</v>
      </c>
      <c r="K535" t="s">
        <v>112</v>
      </c>
      <c r="L535">
        <v>480</v>
      </c>
      <c r="M535" s="2">
        <v>0.8</v>
      </c>
      <c r="N535" t="s">
        <v>2486</v>
      </c>
      <c r="O535">
        <v>2015</v>
      </c>
      <c r="P535">
        <v>2014</v>
      </c>
      <c r="Q535" s="1">
        <v>44335</v>
      </c>
      <c r="R535" s="1">
        <v>44326</v>
      </c>
      <c r="S535" t="s">
        <v>16</v>
      </c>
    </row>
    <row r="536" spans="1:19" x14ac:dyDescent="0.25">
      <c r="A536">
        <v>535</v>
      </c>
      <c r="B536">
        <v>56587219</v>
      </c>
      <c r="C536" t="s">
        <v>1267</v>
      </c>
      <c r="D536" t="s">
        <v>17</v>
      </c>
      <c r="E536" t="s">
        <v>1251</v>
      </c>
      <c r="F536" t="s">
        <v>1252</v>
      </c>
      <c r="H536" t="s">
        <v>2269</v>
      </c>
      <c r="I536">
        <v>4</v>
      </c>
      <c r="J536" t="s">
        <v>1668</v>
      </c>
      <c r="K536" t="s">
        <v>2488</v>
      </c>
      <c r="L536">
        <v>496</v>
      </c>
      <c r="N536" t="s">
        <v>2494</v>
      </c>
      <c r="O536">
        <v>2021</v>
      </c>
      <c r="P536">
        <v>2018</v>
      </c>
      <c r="Q536" s="1">
        <v>44331</v>
      </c>
      <c r="R536" s="1">
        <v>44326</v>
      </c>
      <c r="S536" t="s">
        <v>16</v>
      </c>
    </row>
    <row r="537" spans="1:19" x14ac:dyDescent="0.25">
      <c r="A537">
        <v>536</v>
      </c>
      <c r="B537">
        <v>20565610</v>
      </c>
      <c r="C537" t="s">
        <v>1268</v>
      </c>
      <c r="D537" t="s">
        <v>1269</v>
      </c>
      <c r="E537" t="s">
        <v>241</v>
      </c>
      <c r="F537" t="s">
        <v>242</v>
      </c>
      <c r="G537" t="s">
        <v>2751</v>
      </c>
      <c r="H537" t="s">
        <v>2270</v>
      </c>
      <c r="I537">
        <v>4</v>
      </c>
      <c r="J537" t="s">
        <v>2266</v>
      </c>
      <c r="K537" t="s">
        <v>112</v>
      </c>
      <c r="L537">
        <v>448</v>
      </c>
      <c r="M537" s="2">
        <v>0.73611111111111116</v>
      </c>
      <c r="N537" t="s">
        <v>2486</v>
      </c>
      <c r="O537">
        <v>2014</v>
      </c>
      <c r="P537">
        <v>2013</v>
      </c>
      <c r="Q537" s="1">
        <v>44326</v>
      </c>
      <c r="R537" s="1">
        <v>44323</v>
      </c>
      <c r="S537" t="s">
        <v>16</v>
      </c>
    </row>
    <row r="538" spans="1:19" x14ac:dyDescent="0.25">
      <c r="A538">
        <v>537</v>
      </c>
      <c r="B538">
        <v>34850181</v>
      </c>
      <c r="C538" t="s">
        <v>1270</v>
      </c>
      <c r="D538" t="s">
        <v>1271</v>
      </c>
      <c r="E538" t="s">
        <v>798</v>
      </c>
      <c r="F538" t="s">
        <v>799</v>
      </c>
      <c r="H538" t="s">
        <v>2271</v>
      </c>
      <c r="I538">
        <v>3</v>
      </c>
      <c r="J538" t="s">
        <v>2272</v>
      </c>
      <c r="K538" t="s">
        <v>57</v>
      </c>
      <c r="L538">
        <v>544</v>
      </c>
      <c r="N538" t="s">
        <v>2603</v>
      </c>
      <c r="O538">
        <v>2017</v>
      </c>
      <c r="P538">
        <v>2017</v>
      </c>
      <c r="Q538" s="1">
        <v>44323</v>
      </c>
      <c r="R538" s="1">
        <v>44286</v>
      </c>
      <c r="S538" t="s">
        <v>16</v>
      </c>
    </row>
    <row r="539" spans="1:19" x14ac:dyDescent="0.25">
      <c r="A539">
        <v>538</v>
      </c>
      <c r="B539">
        <v>13399910</v>
      </c>
      <c r="C539" t="s">
        <v>1272</v>
      </c>
      <c r="D539" t="s">
        <v>17</v>
      </c>
      <c r="E539" t="s">
        <v>1273</v>
      </c>
      <c r="F539" t="s">
        <v>1274</v>
      </c>
      <c r="G539" t="s">
        <v>2719</v>
      </c>
      <c r="H539" t="s">
        <v>2273</v>
      </c>
      <c r="I539">
        <v>4</v>
      </c>
      <c r="J539" t="s">
        <v>2492</v>
      </c>
      <c r="K539" t="s">
        <v>112</v>
      </c>
      <c r="L539">
        <v>575</v>
      </c>
      <c r="M539" s="2">
        <v>0.91388888888888886</v>
      </c>
      <c r="N539" t="s">
        <v>2486</v>
      </c>
      <c r="O539">
        <v>2019</v>
      </c>
      <c r="P539">
        <v>1992</v>
      </c>
      <c r="Q539" s="1">
        <v>44322</v>
      </c>
      <c r="R539" s="1">
        <v>44317</v>
      </c>
      <c r="S539" t="s">
        <v>16</v>
      </c>
    </row>
    <row r="540" spans="1:19" x14ac:dyDescent="0.25">
      <c r="A540">
        <v>539</v>
      </c>
      <c r="B540">
        <v>23120062</v>
      </c>
      <c r="C540" t="s">
        <v>1275</v>
      </c>
      <c r="D540" t="s">
        <v>17</v>
      </c>
      <c r="E540" t="s">
        <v>1276</v>
      </c>
      <c r="F540" t="s">
        <v>1277</v>
      </c>
      <c r="H540" t="s">
        <v>2274</v>
      </c>
      <c r="I540">
        <v>2</v>
      </c>
      <c r="J540" t="s">
        <v>2275</v>
      </c>
      <c r="K540" t="s">
        <v>2488</v>
      </c>
      <c r="L540">
        <v>344</v>
      </c>
      <c r="N540" t="s">
        <v>2494</v>
      </c>
      <c r="O540">
        <v>2014</v>
      </c>
      <c r="P540">
        <v>2012</v>
      </c>
      <c r="Q540" s="1">
        <v>44317</v>
      </c>
      <c r="R540" s="1">
        <v>44311</v>
      </c>
      <c r="S540" t="s">
        <v>16</v>
      </c>
    </row>
    <row r="541" spans="1:19" x14ac:dyDescent="0.25">
      <c r="A541">
        <v>540</v>
      </c>
      <c r="B541">
        <v>44297679</v>
      </c>
      <c r="C541" t="s">
        <v>1278</v>
      </c>
      <c r="D541" t="s">
        <v>17</v>
      </c>
      <c r="E541" t="s">
        <v>1279</v>
      </c>
      <c r="F541" t="s">
        <v>1280</v>
      </c>
      <c r="G541" t="s">
        <v>2752</v>
      </c>
      <c r="H541" t="s">
        <v>2276</v>
      </c>
      <c r="I541">
        <v>4</v>
      </c>
      <c r="J541" t="s">
        <v>2545</v>
      </c>
      <c r="K541" t="s">
        <v>112</v>
      </c>
      <c r="L541">
        <v>320</v>
      </c>
      <c r="M541" s="2">
        <v>0.50069444444444444</v>
      </c>
      <c r="N541" t="s">
        <v>2486</v>
      </c>
      <c r="O541">
        <v>2020</v>
      </c>
      <c r="P541">
        <v>2017</v>
      </c>
      <c r="Q541" s="1">
        <v>44315</v>
      </c>
      <c r="R541" s="1">
        <v>44312</v>
      </c>
      <c r="S541" t="s">
        <v>16</v>
      </c>
    </row>
    <row r="542" spans="1:19" x14ac:dyDescent="0.25">
      <c r="A542">
        <v>541</v>
      </c>
      <c r="B542">
        <v>19219489</v>
      </c>
      <c r="C542" t="s">
        <v>2753</v>
      </c>
      <c r="D542" t="s">
        <v>17</v>
      </c>
      <c r="E542" t="s">
        <v>1281</v>
      </c>
      <c r="F542" t="s">
        <v>1282</v>
      </c>
      <c r="H542" t="str">
        <f>"9788651703747"</f>
        <v>9788651703747</v>
      </c>
      <c r="I542">
        <v>3</v>
      </c>
      <c r="J542" t="s">
        <v>2277</v>
      </c>
      <c r="K542" t="s">
        <v>2488</v>
      </c>
      <c r="L542">
        <v>336</v>
      </c>
      <c r="N542" t="s">
        <v>2494</v>
      </c>
      <c r="O542">
        <v>2011</v>
      </c>
      <c r="P542">
        <v>2011</v>
      </c>
      <c r="Q542" s="1">
        <v>44314</v>
      </c>
      <c r="R542" s="1">
        <v>44301</v>
      </c>
      <c r="S542" t="s">
        <v>16</v>
      </c>
    </row>
    <row r="543" spans="1:19" x14ac:dyDescent="0.25">
      <c r="A543">
        <v>542</v>
      </c>
      <c r="B543">
        <v>33819853</v>
      </c>
      <c r="C543" t="s">
        <v>1283</v>
      </c>
      <c r="D543" t="s">
        <v>17</v>
      </c>
      <c r="E543" t="s">
        <v>329</v>
      </c>
      <c r="F543" t="s">
        <v>330</v>
      </c>
      <c r="G543" t="s">
        <v>2754</v>
      </c>
      <c r="H543" t="s">
        <v>2278</v>
      </c>
      <c r="I543">
        <v>5</v>
      </c>
      <c r="J543" t="s">
        <v>2492</v>
      </c>
      <c r="K543" t="s">
        <v>112</v>
      </c>
      <c r="L543">
        <v>306</v>
      </c>
      <c r="M543" s="2">
        <v>0.3888888888888889</v>
      </c>
      <c r="N543" t="s">
        <v>2486</v>
      </c>
      <c r="O543">
        <v>2018</v>
      </c>
      <c r="P543">
        <v>2017</v>
      </c>
      <c r="Q543" s="1">
        <v>44311</v>
      </c>
      <c r="R543" s="1">
        <v>44305</v>
      </c>
      <c r="S543" t="s">
        <v>16</v>
      </c>
    </row>
    <row r="544" spans="1:19" x14ac:dyDescent="0.25">
      <c r="A544">
        <v>543</v>
      </c>
      <c r="B544">
        <v>23505783</v>
      </c>
      <c r="C544" t="s">
        <v>1284</v>
      </c>
      <c r="D544" t="s">
        <v>1288</v>
      </c>
      <c r="E544" t="s">
        <v>1285</v>
      </c>
      <c r="F544" t="s">
        <v>1286</v>
      </c>
      <c r="G544" t="s">
        <v>2755</v>
      </c>
      <c r="H544" t="s">
        <v>2279</v>
      </c>
      <c r="I544">
        <v>2</v>
      </c>
      <c r="J544" t="s">
        <v>2590</v>
      </c>
      <c r="K544" t="s">
        <v>112</v>
      </c>
      <c r="L544">
        <v>368</v>
      </c>
      <c r="M544" s="2">
        <v>0.52708333333333335</v>
      </c>
      <c r="N544" t="s">
        <v>2486</v>
      </c>
      <c r="O544">
        <v>2015</v>
      </c>
      <c r="P544">
        <v>2013</v>
      </c>
      <c r="Q544" s="1">
        <v>44305</v>
      </c>
      <c r="R544" s="1">
        <v>44300</v>
      </c>
      <c r="S544" t="s">
        <v>16</v>
      </c>
    </row>
    <row r="545" spans="1:19" x14ac:dyDescent="0.25">
      <c r="A545">
        <v>544</v>
      </c>
      <c r="B545">
        <v>6821429</v>
      </c>
      <c r="C545" t="s">
        <v>1287</v>
      </c>
      <c r="D545" t="s">
        <v>1297</v>
      </c>
      <c r="E545" t="s">
        <v>1285</v>
      </c>
      <c r="F545" t="s">
        <v>1286</v>
      </c>
      <c r="G545" t="s">
        <v>2755</v>
      </c>
      <c r="H545" t="s">
        <v>2280</v>
      </c>
      <c r="I545">
        <v>2</v>
      </c>
      <c r="J545" t="s">
        <v>2590</v>
      </c>
      <c r="K545" t="s">
        <v>112</v>
      </c>
      <c r="L545">
        <v>561</v>
      </c>
      <c r="M545" s="2">
        <v>0.88055555555555554</v>
      </c>
      <c r="N545" t="s">
        <v>2486</v>
      </c>
      <c r="O545">
        <v>2017</v>
      </c>
      <c r="P545">
        <v>1999</v>
      </c>
      <c r="Q545" s="1">
        <v>44300</v>
      </c>
      <c r="R545" s="1">
        <v>44287</v>
      </c>
      <c r="S545" t="s">
        <v>16</v>
      </c>
    </row>
    <row r="546" spans="1:19" x14ac:dyDescent="0.25">
      <c r="A546">
        <v>545</v>
      </c>
      <c r="B546">
        <v>28178221</v>
      </c>
      <c r="C546" t="s">
        <v>1289</v>
      </c>
      <c r="D546" t="s">
        <v>1290</v>
      </c>
      <c r="E546" t="s">
        <v>1291</v>
      </c>
      <c r="F546" t="s">
        <v>1292</v>
      </c>
      <c r="H546" t="s">
        <v>2281</v>
      </c>
      <c r="I546">
        <v>3</v>
      </c>
      <c r="J546" t="s">
        <v>1668</v>
      </c>
      <c r="K546" t="s">
        <v>2488</v>
      </c>
      <c r="L546">
        <v>392</v>
      </c>
      <c r="N546" t="s">
        <v>2494</v>
      </c>
      <c r="O546">
        <v>2015</v>
      </c>
      <c r="P546">
        <v>2014</v>
      </c>
      <c r="Q546" s="1">
        <v>44300</v>
      </c>
      <c r="R546" s="1">
        <v>44294</v>
      </c>
      <c r="S546" t="s">
        <v>16</v>
      </c>
    </row>
    <row r="547" spans="1:19" x14ac:dyDescent="0.25">
      <c r="A547">
        <v>546</v>
      </c>
      <c r="B547">
        <v>15840258</v>
      </c>
      <c r="C547" t="s">
        <v>1293</v>
      </c>
      <c r="D547" t="s">
        <v>17</v>
      </c>
      <c r="E547" t="s">
        <v>1294</v>
      </c>
      <c r="F547" t="s">
        <v>1295</v>
      </c>
      <c r="H547" t="s">
        <v>2282</v>
      </c>
      <c r="I547">
        <v>2</v>
      </c>
      <c r="J547" t="s">
        <v>2283</v>
      </c>
      <c r="K547" t="s">
        <v>2488</v>
      </c>
      <c r="L547">
        <v>192</v>
      </c>
      <c r="N547" t="s">
        <v>2486</v>
      </c>
      <c r="O547">
        <v>2012</v>
      </c>
      <c r="P547">
        <v>2009</v>
      </c>
      <c r="Q547" s="1">
        <v>44294</v>
      </c>
      <c r="R547" s="1">
        <v>44274</v>
      </c>
      <c r="S547" t="s">
        <v>16</v>
      </c>
    </row>
    <row r="548" spans="1:19" x14ac:dyDescent="0.25">
      <c r="A548">
        <v>547</v>
      </c>
      <c r="B548">
        <v>6821410</v>
      </c>
      <c r="C548" t="s">
        <v>1296</v>
      </c>
      <c r="D548" t="s">
        <v>1299</v>
      </c>
      <c r="E548" t="s">
        <v>1285</v>
      </c>
      <c r="F548" t="s">
        <v>1286</v>
      </c>
      <c r="G548" t="s">
        <v>2755</v>
      </c>
      <c r="H548" t="s">
        <v>2284</v>
      </c>
      <c r="I548">
        <v>3</v>
      </c>
      <c r="J548" t="s">
        <v>2590</v>
      </c>
      <c r="K548" t="s">
        <v>112</v>
      </c>
      <c r="L548">
        <v>433</v>
      </c>
      <c r="M548" s="2">
        <v>0.72152777777777777</v>
      </c>
      <c r="N548" t="s">
        <v>2486</v>
      </c>
      <c r="O548">
        <v>2017</v>
      </c>
      <c r="P548">
        <v>1997</v>
      </c>
      <c r="Q548" s="1">
        <v>44287</v>
      </c>
      <c r="R548" s="1">
        <v>44280</v>
      </c>
      <c r="S548" t="s">
        <v>16</v>
      </c>
    </row>
    <row r="549" spans="1:19" x14ac:dyDescent="0.25">
      <c r="A549">
        <v>548</v>
      </c>
      <c r="B549">
        <v>5691249</v>
      </c>
      <c r="C549" t="s">
        <v>2756</v>
      </c>
      <c r="D549" t="s">
        <v>17</v>
      </c>
      <c r="E549" t="s">
        <v>1281</v>
      </c>
      <c r="F549" t="s">
        <v>1282</v>
      </c>
      <c r="H549" t="str">
        <f>"9788651703761"</f>
        <v>9788651703761</v>
      </c>
      <c r="I549">
        <v>3</v>
      </c>
      <c r="J549" t="s">
        <v>2285</v>
      </c>
      <c r="K549" t="s">
        <v>2488</v>
      </c>
      <c r="L549">
        <v>462</v>
      </c>
      <c r="N549" t="s">
        <v>2494</v>
      </c>
      <c r="O549">
        <v>2004</v>
      </c>
      <c r="P549">
        <v>2004</v>
      </c>
      <c r="Q549" s="1">
        <v>44286</v>
      </c>
      <c r="R549" s="1">
        <v>44274</v>
      </c>
      <c r="S549" t="s">
        <v>16</v>
      </c>
    </row>
    <row r="550" spans="1:19" x14ac:dyDescent="0.25">
      <c r="A550">
        <v>549</v>
      </c>
      <c r="B550">
        <v>6821374</v>
      </c>
      <c r="C550" t="s">
        <v>1298</v>
      </c>
      <c r="D550" t="s">
        <v>1302</v>
      </c>
      <c r="E550" t="s">
        <v>1285</v>
      </c>
      <c r="F550" t="s">
        <v>1286</v>
      </c>
      <c r="G550" t="s">
        <v>2755</v>
      </c>
      <c r="H550" t="s">
        <v>2286</v>
      </c>
      <c r="I550">
        <v>3</v>
      </c>
      <c r="J550" t="s">
        <v>2590</v>
      </c>
      <c r="K550" t="s">
        <v>112</v>
      </c>
      <c r="L550">
        <v>342</v>
      </c>
      <c r="M550" s="2">
        <v>0.54791666666666672</v>
      </c>
      <c r="N550" t="s">
        <v>2486</v>
      </c>
      <c r="O550">
        <v>2016</v>
      </c>
      <c r="P550">
        <v>1996</v>
      </c>
      <c r="Q550" s="1">
        <v>44280</v>
      </c>
      <c r="R550" s="1">
        <v>44272</v>
      </c>
      <c r="S550" t="s">
        <v>16</v>
      </c>
    </row>
    <row r="551" spans="1:19" x14ac:dyDescent="0.25">
      <c r="A551">
        <v>550</v>
      </c>
      <c r="B551">
        <v>34811896</v>
      </c>
      <c r="C551" t="s">
        <v>801</v>
      </c>
      <c r="D551" t="s">
        <v>1300</v>
      </c>
      <c r="E551" t="s">
        <v>798</v>
      </c>
      <c r="F551" t="s">
        <v>799</v>
      </c>
      <c r="H551" t="s">
        <v>2287</v>
      </c>
      <c r="I551">
        <v>4</v>
      </c>
      <c r="J551" t="s">
        <v>2272</v>
      </c>
      <c r="K551" t="s">
        <v>57</v>
      </c>
      <c r="L551">
        <v>722</v>
      </c>
      <c r="N551" t="s">
        <v>2603</v>
      </c>
      <c r="O551">
        <v>2017</v>
      </c>
      <c r="P551">
        <v>2017</v>
      </c>
      <c r="Q551" s="1">
        <v>44275</v>
      </c>
      <c r="R551" s="1">
        <v>44260</v>
      </c>
      <c r="S551" t="s">
        <v>16</v>
      </c>
    </row>
    <row r="552" spans="1:19" x14ac:dyDescent="0.25">
      <c r="A552">
        <v>551</v>
      </c>
      <c r="B552">
        <v>6821368</v>
      </c>
      <c r="C552" t="s">
        <v>1301</v>
      </c>
      <c r="D552" t="s">
        <v>1306</v>
      </c>
      <c r="E552" t="s">
        <v>1285</v>
      </c>
      <c r="F552" t="s">
        <v>1286</v>
      </c>
      <c r="G552" t="s">
        <v>2755</v>
      </c>
      <c r="H552" t="s">
        <v>2288</v>
      </c>
      <c r="I552">
        <v>2</v>
      </c>
      <c r="J552" t="s">
        <v>2590</v>
      </c>
      <c r="K552" t="s">
        <v>112</v>
      </c>
      <c r="L552">
        <v>330</v>
      </c>
      <c r="M552" s="2">
        <v>0.52847222222222223</v>
      </c>
      <c r="N552" t="s">
        <v>2486</v>
      </c>
      <c r="O552">
        <v>2017</v>
      </c>
      <c r="P552">
        <v>1995</v>
      </c>
      <c r="Q552" s="1">
        <v>44272</v>
      </c>
      <c r="R552" s="1">
        <v>44264</v>
      </c>
      <c r="S552" t="s">
        <v>16</v>
      </c>
    </row>
    <row r="553" spans="1:19" x14ac:dyDescent="0.25">
      <c r="A553">
        <v>552</v>
      </c>
      <c r="B553">
        <v>188497</v>
      </c>
      <c r="C553" t="s">
        <v>2757</v>
      </c>
      <c r="D553" t="s">
        <v>17</v>
      </c>
      <c r="E553" t="s">
        <v>1303</v>
      </c>
      <c r="F553" t="s">
        <v>1304</v>
      </c>
      <c r="H553" t="s">
        <v>2289</v>
      </c>
      <c r="I553">
        <v>4</v>
      </c>
      <c r="J553" t="s">
        <v>1668</v>
      </c>
      <c r="K553" t="s">
        <v>2488</v>
      </c>
      <c r="L553">
        <v>349</v>
      </c>
      <c r="N553" t="s">
        <v>2494</v>
      </c>
      <c r="O553">
        <v>2018</v>
      </c>
      <c r="P553">
        <v>1981</v>
      </c>
      <c r="Q553" s="1">
        <v>44265</v>
      </c>
      <c r="R553" s="1">
        <v>44261</v>
      </c>
      <c r="S553" t="s">
        <v>16</v>
      </c>
    </row>
    <row r="554" spans="1:19" x14ac:dyDescent="0.25">
      <c r="A554">
        <v>553</v>
      </c>
      <c r="B554">
        <v>6821358</v>
      </c>
      <c r="C554" t="s">
        <v>1305</v>
      </c>
      <c r="D554" t="s">
        <v>1313</v>
      </c>
      <c r="E554" t="s">
        <v>1285</v>
      </c>
      <c r="F554" t="s">
        <v>1286</v>
      </c>
      <c r="G554" t="s">
        <v>2755</v>
      </c>
      <c r="H554" t="s">
        <v>2290</v>
      </c>
      <c r="I554">
        <v>3</v>
      </c>
      <c r="J554" t="s">
        <v>2590</v>
      </c>
      <c r="K554" t="s">
        <v>112</v>
      </c>
      <c r="L554">
        <v>306</v>
      </c>
      <c r="M554" s="2">
        <v>0.49166666666666664</v>
      </c>
      <c r="N554" t="s">
        <v>2486</v>
      </c>
      <c r="O554">
        <v>2015</v>
      </c>
      <c r="P554">
        <v>1994</v>
      </c>
      <c r="Q554" s="1">
        <v>44264</v>
      </c>
      <c r="R554" s="1">
        <v>44256</v>
      </c>
      <c r="S554" t="s">
        <v>16</v>
      </c>
    </row>
    <row r="555" spans="1:19" x14ac:dyDescent="0.25">
      <c r="A555">
        <v>554</v>
      </c>
      <c r="B555">
        <v>27801102</v>
      </c>
      <c r="C555" t="s">
        <v>1307</v>
      </c>
      <c r="D555" t="s">
        <v>1308</v>
      </c>
      <c r="E555" t="s">
        <v>798</v>
      </c>
      <c r="F555" t="s">
        <v>799</v>
      </c>
      <c r="H555" t="str">
        <f>"9788025716526"</f>
        <v>9788025716526</v>
      </c>
      <c r="I555">
        <v>3</v>
      </c>
      <c r="J555" t="s">
        <v>1691</v>
      </c>
      <c r="K555" t="s">
        <v>57</v>
      </c>
      <c r="L555">
        <v>264</v>
      </c>
      <c r="N555" t="s">
        <v>2486</v>
      </c>
      <c r="O555">
        <v>2015</v>
      </c>
      <c r="P555">
        <v>2014</v>
      </c>
      <c r="Q555" s="1">
        <v>44260</v>
      </c>
      <c r="R555" s="1">
        <v>44256</v>
      </c>
      <c r="S555" t="s">
        <v>16</v>
      </c>
    </row>
    <row r="556" spans="1:19" x14ac:dyDescent="0.25">
      <c r="A556">
        <v>555</v>
      </c>
      <c r="B556">
        <v>52968293</v>
      </c>
      <c r="C556" t="s">
        <v>1309</v>
      </c>
      <c r="D556" t="s">
        <v>17</v>
      </c>
      <c r="E556" t="s">
        <v>1310</v>
      </c>
      <c r="F556" t="s">
        <v>1311</v>
      </c>
      <c r="H556" t="str">
        <f>"9788089873456"</f>
        <v>9788089873456</v>
      </c>
      <c r="I556">
        <v>4</v>
      </c>
      <c r="J556" t="s">
        <v>1780</v>
      </c>
      <c r="K556" t="s">
        <v>2488</v>
      </c>
      <c r="L556">
        <v>416</v>
      </c>
      <c r="N556" t="s">
        <v>2494</v>
      </c>
      <c r="O556">
        <v>2022</v>
      </c>
      <c r="P556">
        <v>2022</v>
      </c>
      <c r="Q556" s="1">
        <v>44260</v>
      </c>
      <c r="R556" s="1">
        <v>44250</v>
      </c>
      <c r="S556" t="s">
        <v>16</v>
      </c>
    </row>
    <row r="557" spans="1:19" x14ac:dyDescent="0.25">
      <c r="A557">
        <v>556</v>
      </c>
      <c r="B557">
        <v>12664659</v>
      </c>
      <c r="C557" t="s">
        <v>1312</v>
      </c>
      <c r="D557" t="s">
        <v>2758</v>
      </c>
      <c r="E557" t="s">
        <v>1285</v>
      </c>
      <c r="F557" t="s">
        <v>1286</v>
      </c>
      <c r="G557" t="s">
        <v>2755</v>
      </c>
      <c r="H557" t="s">
        <v>2291</v>
      </c>
      <c r="I557">
        <v>3</v>
      </c>
      <c r="J557" t="s">
        <v>2590</v>
      </c>
      <c r="K557" t="s">
        <v>112</v>
      </c>
      <c r="L557">
        <v>394</v>
      </c>
      <c r="M557" s="2">
        <v>0.69861111111111107</v>
      </c>
      <c r="N557" t="s">
        <v>2486</v>
      </c>
      <c r="O557">
        <v>2019</v>
      </c>
      <c r="P557">
        <v>1992</v>
      </c>
      <c r="Q557" s="1">
        <v>44256</v>
      </c>
      <c r="R557" s="1">
        <v>44248</v>
      </c>
      <c r="S557" t="s">
        <v>16</v>
      </c>
    </row>
    <row r="558" spans="1:19" x14ac:dyDescent="0.25">
      <c r="A558">
        <v>557</v>
      </c>
      <c r="B558">
        <v>26118612</v>
      </c>
      <c r="C558" t="s">
        <v>1314</v>
      </c>
      <c r="D558" t="s">
        <v>1315</v>
      </c>
      <c r="E558" t="s">
        <v>798</v>
      </c>
      <c r="F558" t="s">
        <v>799</v>
      </c>
      <c r="H558" t="str">
        <f>"9788025715505"</f>
        <v>9788025715505</v>
      </c>
      <c r="I558">
        <v>3</v>
      </c>
      <c r="J558" t="s">
        <v>1691</v>
      </c>
      <c r="K558" t="s">
        <v>2488</v>
      </c>
      <c r="L558">
        <v>368</v>
      </c>
      <c r="N558" t="s">
        <v>2486</v>
      </c>
      <c r="O558">
        <v>2015</v>
      </c>
      <c r="P558">
        <v>2013</v>
      </c>
      <c r="Q558" s="1">
        <v>44251</v>
      </c>
      <c r="R558" s="1">
        <v>44236</v>
      </c>
      <c r="S558" t="s">
        <v>16</v>
      </c>
    </row>
    <row r="559" spans="1:19" x14ac:dyDescent="0.25">
      <c r="A559">
        <v>558</v>
      </c>
      <c r="B559">
        <v>33867160</v>
      </c>
      <c r="C559" t="s">
        <v>1316</v>
      </c>
      <c r="D559" t="s">
        <v>17</v>
      </c>
      <c r="E559" t="s">
        <v>1317</v>
      </c>
      <c r="F559" t="s">
        <v>1318</v>
      </c>
      <c r="H559" t="s">
        <v>2292</v>
      </c>
      <c r="I559">
        <v>3</v>
      </c>
      <c r="J559" t="s">
        <v>1673</v>
      </c>
      <c r="K559" t="s">
        <v>2488</v>
      </c>
      <c r="L559">
        <v>391</v>
      </c>
      <c r="N559" t="s">
        <v>2494</v>
      </c>
      <c r="O559">
        <v>2016</v>
      </c>
      <c r="P559">
        <v>2016</v>
      </c>
      <c r="Q559" s="1">
        <v>44248</v>
      </c>
      <c r="R559" s="1">
        <v>44243</v>
      </c>
      <c r="S559" t="s">
        <v>16</v>
      </c>
    </row>
    <row r="560" spans="1:19" x14ac:dyDescent="0.25">
      <c r="A560">
        <v>559</v>
      </c>
      <c r="B560">
        <v>22401179</v>
      </c>
      <c r="C560" t="s">
        <v>1319</v>
      </c>
      <c r="D560" t="s">
        <v>2759</v>
      </c>
      <c r="E560" t="s">
        <v>1285</v>
      </c>
      <c r="F560" t="s">
        <v>1286</v>
      </c>
      <c r="G560" t="s">
        <v>2755</v>
      </c>
      <c r="H560" t="str">
        <f>"9788056640074"</f>
        <v>9788056640074</v>
      </c>
      <c r="I560">
        <v>3</v>
      </c>
      <c r="J560" t="s">
        <v>2590</v>
      </c>
      <c r="K560" t="s">
        <v>112</v>
      </c>
      <c r="L560">
        <v>360</v>
      </c>
      <c r="M560" s="2">
        <v>0.55277777777777781</v>
      </c>
      <c r="N560" t="s">
        <v>2486</v>
      </c>
      <c r="O560">
        <v>2013</v>
      </c>
      <c r="P560">
        <v>1986</v>
      </c>
      <c r="Q560" s="1">
        <v>44248</v>
      </c>
      <c r="R560" s="1">
        <v>44243</v>
      </c>
      <c r="S560" t="s">
        <v>16</v>
      </c>
    </row>
    <row r="561" spans="1:19" x14ac:dyDescent="0.25">
      <c r="A561">
        <v>560</v>
      </c>
      <c r="B561">
        <v>10305231</v>
      </c>
      <c r="C561" t="s">
        <v>2760</v>
      </c>
      <c r="D561" t="s">
        <v>1320</v>
      </c>
      <c r="E561" t="s">
        <v>1321</v>
      </c>
      <c r="F561" t="s">
        <v>1322</v>
      </c>
      <c r="H561" t="s">
        <v>2293</v>
      </c>
      <c r="I561">
        <v>3</v>
      </c>
      <c r="J561" t="s">
        <v>2227</v>
      </c>
      <c r="K561" t="s">
        <v>2488</v>
      </c>
      <c r="L561">
        <v>320</v>
      </c>
      <c r="N561" t="s">
        <v>2494</v>
      </c>
      <c r="O561">
        <v>2011</v>
      </c>
      <c r="P561">
        <v>2011</v>
      </c>
      <c r="Q561" s="1">
        <v>44243</v>
      </c>
      <c r="R561" s="1">
        <v>44236</v>
      </c>
      <c r="S561" t="s">
        <v>16</v>
      </c>
    </row>
    <row r="562" spans="1:19" x14ac:dyDescent="0.25">
      <c r="A562">
        <v>561</v>
      </c>
      <c r="B562">
        <v>25515376</v>
      </c>
      <c r="C562" t="s">
        <v>1323</v>
      </c>
      <c r="D562" t="s">
        <v>1324</v>
      </c>
      <c r="E562" t="s">
        <v>798</v>
      </c>
      <c r="F562" t="s">
        <v>799</v>
      </c>
      <c r="H562" t="s">
        <v>2294</v>
      </c>
      <c r="I562">
        <v>4</v>
      </c>
      <c r="J562" t="s">
        <v>1691</v>
      </c>
      <c r="K562" t="s">
        <v>57</v>
      </c>
      <c r="L562">
        <v>440</v>
      </c>
      <c r="N562" t="s">
        <v>2486</v>
      </c>
      <c r="O562">
        <v>2015</v>
      </c>
      <c r="P562">
        <v>2013</v>
      </c>
      <c r="Q562" s="1">
        <v>44232</v>
      </c>
      <c r="R562" s="1">
        <v>44126</v>
      </c>
      <c r="S562" t="s">
        <v>16</v>
      </c>
    </row>
    <row r="563" spans="1:19" x14ac:dyDescent="0.25">
      <c r="A563">
        <v>562</v>
      </c>
      <c r="B563">
        <v>35992336</v>
      </c>
      <c r="C563" t="s">
        <v>1325</v>
      </c>
      <c r="D563" t="s">
        <v>17</v>
      </c>
      <c r="E563" t="s">
        <v>1281</v>
      </c>
      <c r="F563" t="s">
        <v>1282</v>
      </c>
      <c r="H563" t="s">
        <v>2295</v>
      </c>
      <c r="I563">
        <v>3</v>
      </c>
      <c r="J563" t="s">
        <v>2227</v>
      </c>
      <c r="K563" t="s">
        <v>2488</v>
      </c>
      <c r="L563">
        <v>336</v>
      </c>
      <c r="N563" t="s">
        <v>2494</v>
      </c>
      <c r="O563">
        <v>2017</v>
      </c>
      <c r="P563">
        <v>2017</v>
      </c>
      <c r="Q563" s="1">
        <v>44231</v>
      </c>
      <c r="R563" s="1">
        <v>44221</v>
      </c>
      <c r="S563" t="s">
        <v>16</v>
      </c>
    </row>
    <row r="564" spans="1:19" x14ac:dyDescent="0.25">
      <c r="A564">
        <v>563</v>
      </c>
      <c r="B564">
        <v>20416926</v>
      </c>
      <c r="C564" t="s">
        <v>1326</v>
      </c>
      <c r="D564" t="s">
        <v>17</v>
      </c>
      <c r="E564" t="s">
        <v>1115</v>
      </c>
      <c r="F564" t="s">
        <v>1116</v>
      </c>
      <c r="H564" t="s">
        <v>2296</v>
      </c>
      <c r="I564">
        <v>3</v>
      </c>
      <c r="J564" t="s">
        <v>2185</v>
      </c>
      <c r="K564" t="s">
        <v>2488</v>
      </c>
      <c r="L564">
        <v>384</v>
      </c>
      <c r="N564" t="s">
        <v>2494</v>
      </c>
      <c r="O564">
        <v>2014</v>
      </c>
      <c r="P564">
        <v>2012</v>
      </c>
      <c r="Q564" s="1">
        <v>44226</v>
      </c>
      <c r="R564" s="1">
        <v>44179</v>
      </c>
      <c r="S564" t="s">
        <v>16</v>
      </c>
    </row>
    <row r="565" spans="1:19" x14ac:dyDescent="0.25">
      <c r="A565">
        <v>564</v>
      </c>
      <c r="B565">
        <v>55825011</v>
      </c>
      <c r="C565" t="s">
        <v>1327</v>
      </c>
      <c r="D565" t="s">
        <v>17</v>
      </c>
      <c r="E565" t="s">
        <v>1328</v>
      </c>
      <c r="F565" t="s">
        <v>1329</v>
      </c>
      <c r="H565" t="s">
        <v>2297</v>
      </c>
      <c r="I565">
        <v>4</v>
      </c>
      <c r="J565" t="s">
        <v>1668</v>
      </c>
      <c r="K565" t="s">
        <v>2488</v>
      </c>
      <c r="L565">
        <v>320</v>
      </c>
      <c r="N565" t="s">
        <v>2494</v>
      </c>
      <c r="O565">
        <v>2020</v>
      </c>
      <c r="P565">
        <v>2020</v>
      </c>
      <c r="Q565" s="1">
        <v>44220</v>
      </c>
      <c r="R565" s="1">
        <v>44154</v>
      </c>
      <c r="S565" t="s">
        <v>16</v>
      </c>
    </row>
    <row r="566" spans="1:19" x14ac:dyDescent="0.25">
      <c r="A566">
        <v>565</v>
      </c>
      <c r="B566">
        <v>55670529</v>
      </c>
      <c r="C566" t="s">
        <v>1330</v>
      </c>
      <c r="D566" t="s">
        <v>17</v>
      </c>
      <c r="E566" t="s">
        <v>1331</v>
      </c>
      <c r="F566" t="s">
        <v>1332</v>
      </c>
      <c r="H566" t="s">
        <v>2298</v>
      </c>
      <c r="I566">
        <v>4</v>
      </c>
      <c r="J566" t="s">
        <v>1668</v>
      </c>
      <c r="K566" t="s">
        <v>2488</v>
      </c>
      <c r="L566">
        <v>400</v>
      </c>
      <c r="N566" t="s">
        <v>2494</v>
      </c>
      <c r="O566">
        <v>2020</v>
      </c>
      <c r="P566">
        <v>2019</v>
      </c>
      <c r="Q566" s="1">
        <v>44206</v>
      </c>
      <c r="R566" s="1">
        <v>44154</v>
      </c>
      <c r="S566" t="s">
        <v>16</v>
      </c>
    </row>
    <row r="567" spans="1:19" x14ac:dyDescent="0.25">
      <c r="A567">
        <v>566</v>
      </c>
      <c r="B567">
        <v>39349029</v>
      </c>
      <c r="C567" t="s">
        <v>1333</v>
      </c>
      <c r="D567" t="s">
        <v>1334</v>
      </c>
      <c r="E567" t="s">
        <v>364</v>
      </c>
      <c r="F567" t="s">
        <v>365</v>
      </c>
      <c r="H567" t="s">
        <v>2299</v>
      </c>
      <c r="I567">
        <v>5</v>
      </c>
      <c r="J567" t="s">
        <v>2121</v>
      </c>
      <c r="K567" t="s">
        <v>57</v>
      </c>
      <c r="L567">
        <v>423</v>
      </c>
      <c r="N567" t="s">
        <v>2486</v>
      </c>
      <c r="O567">
        <v>2018</v>
      </c>
      <c r="P567">
        <v>2014</v>
      </c>
      <c r="Q567" s="1">
        <v>44199</v>
      </c>
      <c r="R567" s="1">
        <v>44189</v>
      </c>
      <c r="S567" t="s">
        <v>16</v>
      </c>
    </row>
    <row r="568" spans="1:19" x14ac:dyDescent="0.25">
      <c r="A568">
        <v>567</v>
      </c>
      <c r="B568">
        <v>54841852</v>
      </c>
      <c r="C568" t="s">
        <v>1335</v>
      </c>
      <c r="D568" t="s">
        <v>17</v>
      </c>
      <c r="E568" t="s">
        <v>969</v>
      </c>
      <c r="F568" t="s">
        <v>970</v>
      </c>
      <c r="H568" t="s">
        <v>2300</v>
      </c>
      <c r="I568">
        <v>4</v>
      </c>
      <c r="J568" t="s">
        <v>1668</v>
      </c>
      <c r="K568" t="s">
        <v>2488</v>
      </c>
      <c r="L568">
        <v>296</v>
      </c>
      <c r="N568" t="s">
        <v>2494</v>
      </c>
      <c r="O568">
        <v>2020</v>
      </c>
      <c r="P568">
        <v>2020</v>
      </c>
      <c r="Q568" s="1">
        <v>44189</v>
      </c>
      <c r="R568" s="1">
        <v>44174</v>
      </c>
      <c r="S568" t="s">
        <v>16</v>
      </c>
    </row>
    <row r="569" spans="1:19" x14ac:dyDescent="0.25">
      <c r="A569">
        <v>568</v>
      </c>
      <c r="B569">
        <v>33845482</v>
      </c>
      <c r="C569" t="s">
        <v>1336</v>
      </c>
      <c r="D569" t="s">
        <v>1337</v>
      </c>
      <c r="E569" t="s">
        <v>364</v>
      </c>
      <c r="F569" t="s">
        <v>365</v>
      </c>
      <c r="H569" t="s">
        <v>2301</v>
      </c>
      <c r="I569">
        <v>4</v>
      </c>
      <c r="J569" t="s">
        <v>2121</v>
      </c>
      <c r="K569" t="s">
        <v>57</v>
      </c>
      <c r="L569">
        <v>352</v>
      </c>
      <c r="N569" t="s">
        <v>2486</v>
      </c>
      <c r="O569">
        <v>2017</v>
      </c>
      <c r="P569">
        <v>2013</v>
      </c>
      <c r="Q569" s="1">
        <v>44187</v>
      </c>
      <c r="R569" s="1">
        <v>44116</v>
      </c>
      <c r="S569" t="s">
        <v>16</v>
      </c>
    </row>
    <row r="570" spans="1:19" x14ac:dyDescent="0.25">
      <c r="A570">
        <v>569</v>
      </c>
      <c r="B570">
        <v>35904878</v>
      </c>
      <c r="C570" t="s">
        <v>1338</v>
      </c>
      <c r="D570" t="s">
        <v>2761</v>
      </c>
      <c r="E570" t="s">
        <v>1006</v>
      </c>
      <c r="F570" t="s">
        <v>1007</v>
      </c>
      <c r="H570" t="s">
        <v>2302</v>
      </c>
      <c r="I570">
        <v>4</v>
      </c>
      <c r="J570" t="s">
        <v>1673</v>
      </c>
      <c r="K570" t="s">
        <v>2488</v>
      </c>
      <c r="L570">
        <v>456</v>
      </c>
      <c r="N570" t="s">
        <v>2494</v>
      </c>
      <c r="O570">
        <v>2017</v>
      </c>
      <c r="P570">
        <v>2015</v>
      </c>
      <c r="Q570" s="1">
        <v>44173</v>
      </c>
      <c r="R570" s="1">
        <v>44157</v>
      </c>
      <c r="S570" t="s">
        <v>16</v>
      </c>
    </row>
    <row r="571" spans="1:19" x14ac:dyDescent="0.25">
      <c r="A571">
        <v>570</v>
      </c>
      <c r="B571">
        <v>52157624</v>
      </c>
      <c r="C571" t="s">
        <v>1339</v>
      </c>
      <c r="D571" t="s">
        <v>17</v>
      </c>
      <c r="E571" t="s">
        <v>503</v>
      </c>
      <c r="F571" t="s">
        <v>504</v>
      </c>
      <c r="H571" t="s">
        <v>2303</v>
      </c>
      <c r="I571">
        <v>4</v>
      </c>
      <c r="J571" t="s">
        <v>1668</v>
      </c>
      <c r="K571" t="s">
        <v>2488</v>
      </c>
      <c r="L571">
        <v>336</v>
      </c>
      <c r="N571" t="s">
        <v>2494</v>
      </c>
      <c r="O571">
        <v>2020</v>
      </c>
      <c r="P571">
        <v>2019</v>
      </c>
      <c r="Q571" s="1">
        <v>44162</v>
      </c>
      <c r="R571" s="1">
        <v>44154</v>
      </c>
      <c r="S571" t="s">
        <v>16</v>
      </c>
    </row>
    <row r="572" spans="1:19" x14ac:dyDescent="0.25">
      <c r="A572">
        <v>571</v>
      </c>
      <c r="B572">
        <v>41813075</v>
      </c>
      <c r="C572" t="s">
        <v>1342</v>
      </c>
      <c r="D572" t="s">
        <v>17</v>
      </c>
      <c r="E572" t="s">
        <v>1343</v>
      </c>
      <c r="F572" t="s">
        <v>1344</v>
      </c>
      <c r="H572" t="s">
        <v>2304</v>
      </c>
      <c r="I572">
        <v>4</v>
      </c>
      <c r="J572" t="s">
        <v>1673</v>
      </c>
      <c r="K572" t="s">
        <v>2488</v>
      </c>
      <c r="L572">
        <v>240</v>
      </c>
      <c r="N572" t="s">
        <v>2494</v>
      </c>
      <c r="O572">
        <v>2018</v>
      </c>
      <c r="P572">
        <v>2016</v>
      </c>
      <c r="Q572" s="1">
        <v>44153</v>
      </c>
      <c r="R572" s="1">
        <v>44151</v>
      </c>
      <c r="S572" t="s">
        <v>16</v>
      </c>
    </row>
    <row r="573" spans="1:19" x14ac:dyDescent="0.25">
      <c r="A573">
        <v>572</v>
      </c>
      <c r="B573">
        <v>40363335</v>
      </c>
      <c r="C573" t="s">
        <v>2762</v>
      </c>
      <c r="D573" t="s">
        <v>17</v>
      </c>
      <c r="E573" t="s">
        <v>1345</v>
      </c>
      <c r="F573" t="s">
        <v>1346</v>
      </c>
      <c r="H573" t="s">
        <v>2305</v>
      </c>
      <c r="I573">
        <v>5</v>
      </c>
      <c r="J573" t="s">
        <v>1668</v>
      </c>
      <c r="K573" t="s">
        <v>2488</v>
      </c>
      <c r="L573">
        <v>256</v>
      </c>
      <c r="N573" t="s">
        <v>2494</v>
      </c>
      <c r="O573">
        <v>2020</v>
      </c>
      <c r="P573">
        <v>2019</v>
      </c>
      <c r="Q573" s="1">
        <v>44144</v>
      </c>
      <c r="R573" s="1">
        <v>44126</v>
      </c>
      <c r="S573" t="s">
        <v>16</v>
      </c>
    </row>
    <row r="574" spans="1:19" x14ac:dyDescent="0.25">
      <c r="A574">
        <v>573</v>
      </c>
      <c r="B574">
        <v>38944698</v>
      </c>
      <c r="C574" t="s">
        <v>2763</v>
      </c>
      <c r="D574" t="s">
        <v>17</v>
      </c>
      <c r="E574" t="s">
        <v>1347</v>
      </c>
      <c r="F574" t="s">
        <v>1348</v>
      </c>
      <c r="H574" t="s">
        <v>2306</v>
      </c>
      <c r="I574">
        <v>4</v>
      </c>
      <c r="J574" t="s">
        <v>2189</v>
      </c>
      <c r="K574" t="s">
        <v>2488</v>
      </c>
      <c r="L574">
        <v>337</v>
      </c>
      <c r="N574" t="s">
        <v>2494</v>
      </c>
      <c r="O574">
        <v>2020</v>
      </c>
      <c r="P574">
        <v>2018</v>
      </c>
      <c r="Q574" s="1">
        <v>44142</v>
      </c>
      <c r="R574" s="1">
        <v>44126</v>
      </c>
      <c r="S574" t="s">
        <v>16</v>
      </c>
    </row>
    <row r="575" spans="1:19" x14ac:dyDescent="0.25">
      <c r="A575">
        <v>574</v>
      </c>
      <c r="B575">
        <v>3377535</v>
      </c>
      <c r="C575" t="s">
        <v>2764</v>
      </c>
      <c r="D575" t="s">
        <v>17</v>
      </c>
      <c r="E575" t="s">
        <v>1349</v>
      </c>
      <c r="F575" t="s">
        <v>1350</v>
      </c>
      <c r="H575" t="s">
        <v>2307</v>
      </c>
      <c r="I575">
        <v>4</v>
      </c>
      <c r="J575" t="s">
        <v>1770</v>
      </c>
      <c r="K575" t="s">
        <v>2488</v>
      </c>
      <c r="L575">
        <v>184</v>
      </c>
      <c r="N575" t="s">
        <v>2494</v>
      </c>
      <c r="O575">
        <v>2019</v>
      </c>
      <c r="P575">
        <v>2007</v>
      </c>
      <c r="Q575" s="1">
        <v>44136</v>
      </c>
      <c r="R575" s="1">
        <v>44119</v>
      </c>
      <c r="S575" t="s">
        <v>16</v>
      </c>
    </row>
    <row r="576" spans="1:19" x14ac:dyDescent="0.25">
      <c r="A576">
        <v>575</v>
      </c>
      <c r="B576">
        <v>34321018</v>
      </c>
      <c r="C576" t="s">
        <v>1351</v>
      </c>
      <c r="D576" t="s">
        <v>2765</v>
      </c>
      <c r="E576" t="s">
        <v>1006</v>
      </c>
      <c r="F576" t="s">
        <v>1007</v>
      </c>
      <c r="H576" t="s">
        <v>2308</v>
      </c>
      <c r="I576">
        <v>4</v>
      </c>
      <c r="J576" t="s">
        <v>1668</v>
      </c>
      <c r="K576" t="s">
        <v>2488</v>
      </c>
      <c r="L576">
        <v>392</v>
      </c>
      <c r="N576" t="s">
        <v>2494</v>
      </c>
      <c r="O576">
        <v>2017</v>
      </c>
      <c r="P576">
        <v>2015</v>
      </c>
      <c r="Q576" s="1">
        <v>44126</v>
      </c>
      <c r="R576" s="1">
        <v>44116</v>
      </c>
      <c r="S576" t="s">
        <v>16</v>
      </c>
    </row>
    <row r="577" spans="1:19" x14ac:dyDescent="0.25">
      <c r="A577">
        <v>576</v>
      </c>
      <c r="B577">
        <v>31019823</v>
      </c>
      <c r="C577" t="s">
        <v>1352</v>
      </c>
      <c r="D577" t="s">
        <v>1353</v>
      </c>
      <c r="E577" t="s">
        <v>530</v>
      </c>
      <c r="F577" t="s">
        <v>531</v>
      </c>
      <c r="H577" t="s">
        <v>2309</v>
      </c>
      <c r="I577">
        <v>5</v>
      </c>
      <c r="J577" t="s">
        <v>1668</v>
      </c>
      <c r="K577" t="s">
        <v>2488</v>
      </c>
      <c r="L577">
        <v>336</v>
      </c>
      <c r="N577" t="s">
        <v>2494</v>
      </c>
      <c r="O577">
        <v>2016</v>
      </c>
      <c r="P577">
        <v>2007</v>
      </c>
      <c r="Q577" s="1">
        <v>44113</v>
      </c>
      <c r="R577" s="1">
        <v>44110</v>
      </c>
      <c r="S577" t="s">
        <v>16</v>
      </c>
    </row>
    <row r="578" spans="1:19" x14ac:dyDescent="0.25">
      <c r="A578">
        <v>577</v>
      </c>
      <c r="B578">
        <v>20941133</v>
      </c>
      <c r="C578" t="s">
        <v>1354</v>
      </c>
      <c r="D578" t="s">
        <v>17</v>
      </c>
      <c r="E578" t="s">
        <v>1355</v>
      </c>
      <c r="F578" t="s">
        <v>1356</v>
      </c>
      <c r="H578" t="str">
        <f>"808660649x"</f>
        <v>808660649x</v>
      </c>
      <c r="I578">
        <v>3</v>
      </c>
      <c r="J578" t="s">
        <v>2310</v>
      </c>
      <c r="K578" t="s">
        <v>57</v>
      </c>
      <c r="L578">
        <v>208</v>
      </c>
      <c r="N578" t="s">
        <v>2486</v>
      </c>
      <c r="O578">
        <v>2006</v>
      </c>
      <c r="P578">
        <v>2006</v>
      </c>
      <c r="Q578" s="1">
        <v>44108</v>
      </c>
      <c r="R578" s="1">
        <v>44108</v>
      </c>
      <c r="S578" t="s">
        <v>16</v>
      </c>
    </row>
    <row r="579" spans="1:19" x14ac:dyDescent="0.25">
      <c r="A579">
        <v>578</v>
      </c>
      <c r="B579">
        <v>50615338</v>
      </c>
      <c r="C579" t="s">
        <v>1357</v>
      </c>
      <c r="D579" t="s">
        <v>17</v>
      </c>
      <c r="E579" t="s">
        <v>1358</v>
      </c>
      <c r="F579" t="s">
        <v>1359</v>
      </c>
      <c r="G579" t="s">
        <v>2766</v>
      </c>
      <c r="H579" t="s">
        <v>2311</v>
      </c>
      <c r="I579">
        <v>4</v>
      </c>
      <c r="J579" t="s">
        <v>2532</v>
      </c>
      <c r="K579" t="s">
        <v>112</v>
      </c>
      <c r="L579">
        <v>376</v>
      </c>
      <c r="M579" s="2">
        <v>0.52083333333333337</v>
      </c>
      <c r="N579" t="s">
        <v>2494</v>
      </c>
      <c r="O579">
        <v>2020</v>
      </c>
      <c r="P579">
        <v>2019</v>
      </c>
      <c r="Q579" s="1">
        <v>44092</v>
      </c>
      <c r="R579" s="1">
        <v>44089</v>
      </c>
      <c r="S579" t="s">
        <v>16</v>
      </c>
    </row>
    <row r="580" spans="1:19" x14ac:dyDescent="0.25">
      <c r="A580">
        <v>579</v>
      </c>
      <c r="B580">
        <v>45014624</v>
      </c>
      <c r="C580" t="s">
        <v>1360</v>
      </c>
      <c r="D580" t="s">
        <v>17</v>
      </c>
      <c r="E580" t="s">
        <v>1361</v>
      </c>
      <c r="F580" t="s">
        <v>1362</v>
      </c>
      <c r="H580" t="s">
        <v>2312</v>
      </c>
      <c r="I580">
        <v>2</v>
      </c>
      <c r="J580" t="s">
        <v>1668</v>
      </c>
      <c r="K580" t="s">
        <v>2488</v>
      </c>
      <c r="L580">
        <v>144</v>
      </c>
      <c r="N580" t="s">
        <v>2494</v>
      </c>
      <c r="O580">
        <v>2018</v>
      </c>
      <c r="P580">
        <v>2018</v>
      </c>
      <c r="Q580" s="1">
        <v>44076</v>
      </c>
      <c r="R580" s="1">
        <v>44075</v>
      </c>
      <c r="S580" t="s">
        <v>16</v>
      </c>
    </row>
    <row r="581" spans="1:19" x14ac:dyDescent="0.25">
      <c r="A581">
        <v>580</v>
      </c>
      <c r="B581">
        <v>30288809</v>
      </c>
      <c r="C581" t="s">
        <v>1363</v>
      </c>
      <c r="D581" t="s">
        <v>1364</v>
      </c>
      <c r="E581" t="s">
        <v>364</v>
      </c>
      <c r="F581" t="s">
        <v>365</v>
      </c>
      <c r="H581" t="s">
        <v>2313</v>
      </c>
      <c r="I581">
        <v>3</v>
      </c>
      <c r="J581" t="s">
        <v>2121</v>
      </c>
      <c r="K581" t="s">
        <v>57</v>
      </c>
      <c r="L581">
        <v>364</v>
      </c>
      <c r="N581" t="s">
        <v>2486</v>
      </c>
      <c r="O581">
        <v>2016</v>
      </c>
      <c r="P581">
        <v>2012</v>
      </c>
      <c r="Q581" s="1">
        <v>44057</v>
      </c>
      <c r="R581" s="1">
        <v>44056</v>
      </c>
      <c r="S581" t="s">
        <v>16</v>
      </c>
    </row>
    <row r="582" spans="1:19" x14ac:dyDescent="0.25">
      <c r="A582">
        <v>581</v>
      </c>
      <c r="B582">
        <v>35356382</v>
      </c>
      <c r="C582" t="s">
        <v>2767</v>
      </c>
      <c r="D582" t="s">
        <v>17</v>
      </c>
      <c r="E582" t="s">
        <v>934</v>
      </c>
      <c r="F582" t="s">
        <v>935</v>
      </c>
      <c r="H582" t="s">
        <v>2314</v>
      </c>
      <c r="I582">
        <v>3</v>
      </c>
      <c r="J582" t="s">
        <v>1668</v>
      </c>
      <c r="K582" t="s">
        <v>2488</v>
      </c>
      <c r="L582">
        <v>280</v>
      </c>
      <c r="N582" t="s">
        <v>2494</v>
      </c>
      <c r="O582">
        <v>2018</v>
      </c>
      <c r="P582">
        <v>2018</v>
      </c>
      <c r="Q582" s="1">
        <v>44018</v>
      </c>
      <c r="R582" s="1">
        <v>44049</v>
      </c>
      <c r="S582" t="s">
        <v>16</v>
      </c>
    </row>
    <row r="583" spans="1:19" x14ac:dyDescent="0.25">
      <c r="A583">
        <v>582</v>
      </c>
      <c r="B583">
        <v>20423680</v>
      </c>
      <c r="C583" t="s">
        <v>2768</v>
      </c>
      <c r="D583" t="s">
        <v>1365</v>
      </c>
      <c r="E583" t="s">
        <v>750</v>
      </c>
      <c r="F583" t="s">
        <v>751</v>
      </c>
      <c r="H583" t="s">
        <v>2315</v>
      </c>
      <c r="I583">
        <v>4</v>
      </c>
      <c r="J583" t="s">
        <v>2275</v>
      </c>
      <c r="K583" t="s">
        <v>2488</v>
      </c>
      <c r="L583">
        <v>294</v>
      </c>
      <c r="N583" t="s">
        <v>2494</v>
      </c>
      <c r="O583">
        <v>2014</v>
      </c>
      <c r="P583">
        <v>2014</v>
      </c>
      <c r="Q583" s="1">
        <v>44037</v>
      </c>
      <c r="R583" s="1">
        <v>44034</v>
      </c>
      <c r="S583" t="s">
        <v>16</v>
      </c>
    </row>
    <row r="584" spans="1:19" x14ac:dyDescent="0.25">
      <c r="A584">
        <v>583</v>
      </c>
      <c r="B584">
        <v>17920175</v>
      </c>
      <c r="C584" t="s">
        <v>2769</v>
      </c>
      <c r="D584" t="s">
        <v>1366</v>
      </c>
      <c r="E584" t="s">
        <v>750</v>
      </c>
      <c r="F584" t="s">
        <v>751</v>
      </c>
      <c r="H584" t="s">
        <v>2316</v>
      </c>
      <c r="I584">
        <v>4</v>
      </c>
      <c r="J584" t="s">
        <v>2275</v>
      </c>
      <c r="K584" t="s">
        <v>2488</v>
      </c>
      <c r="L584">
        <v>298</v>
      </c>
      <c r="N584" t="s">
        <v>2494</v>
      </c>
      <c r="O584">
        <v>2013</v>
      </c>
      <c r="P584">
        <v>2013</v>
      </c>
      <c r="Q584" s="1">
        <v>44034</v>
      </c>
      <c r="R584" s="1">
        <v>44030</v>
      </c>
      <c r="S584" t="s">
        <v>16</v>
      </c>
    </row>
    <row r="585" spans="1:19" x14ac:dyDescent="0.25">
      <c r="A585">
        <v>584</v>
      </c>
      <c r="B585">
        <v>15096164</v>
      </c>
      <c r="C585" t="s">
        <v>2770</v>
      </c>
      <c r="D585" t="s">
        <v>1367</v>
      </c>
      <c r="E585" t="s">
        <v>750</v>
      </c>
      <c r="F585" t="s">
        <v>751</v>
      </c>
      <c r="H585" t="s">
        <v>2317</v>
      </c>
      <c r="I585">
        <v>4</v>
      </c>
      <c r="J585" t="s">
        <v>2275</v>
      </c>
      <c r="K585" t="s">
        <v>2488</v>
      </c>
      <c r="L585">
        <v>307</v>
      </c>
      <c r="N585" t="s">
        <v>2494</v>
      </c>
      <c r="O585">
        <v>2012</v>
      </c>
      <c r="P585">
        <v>2012</v>
      </c>
      <c r="Q585" s="1">
        <v>44030</v>
      </c>
      <c r="R585" s="1">
        <v>44026</v>
      </c>
      <c r="S585" t="s">
        <v>16</v>
      </c>
    </row>
    <row r="586" spans="1:19" x14ac:dyDescent="0.25">
      <c r="A586">
        <v>585</v>
      </c>
      <c r="B586">
        <v>23149749</v>
      </c>
      <c r="C586" t="s">
        <v>2771</v>
      </c>
      <c r="D586" t="s">
        <v>17</v>
      </c>
      <c r="E586" t="s">
        <v>1169</v>
      </c>
      <c r="F586" t="s">
        <v>1170</v>
      </c>
      <c r="H586" t="s">
        <v>2318</v>
      </c>
      <c r="I586">
        <v>4</v>
      </c>
      <c r="J586" t="s">
        <v>2047</v>
      </c>
      <c r="K586" t="s">
        <v>2488</v>
      </c>
      <c r="L586">
        <v>288</v>
      </c>
      <c r="N586" t="s">
        <v>2494</v>
      </c>
      <c r="O586">
        <v>2014</v>
      </c>
      <c r="P586">
        <v>2008</v>
      </c>
      <c r="Q586" s="1">
        <v>44016</v>
      </c>
      <c r="R586" s="1">
        <v>44015</v>
      </c>
      <c r="S586" t="s">
        <v>16</v>
      </c>
    </row>
    <row r="587" spans="1:19" x14ac:dyDescent="0.25">
      <c r="A587">
        <v>586</v>
      </c>
      <c r="B587">
        <v>34829748</v>
      </c>
      <c r="C587" t="s">
        <v>1368</v>
      </c>
      <c r="D587" t="s">
        <v>17</v>
      </c>
      <c r="E587" t="s">
        <v>750</v>
      </c>
      <c r="F587" t="s">
        <v>751</v>
      </c>
      <c r="H587" t="s">
        <v>2319</v>
      </c>
      <c r="I587">
        <v>5</v>
      </c>
      <c r="J587" t="s">
        <v>2208</v>
      </c>
      <c r="K587" t="s">
        <v>2488</v>
      </c>
      <c r="L587">
        <v>320</v>
      </c>
      <c r="N587" t="s">
        <v>2486</v>
      </c>
      <c r="O587">
        <v>2017</v>
      </c>
      <c r="P587">
        <v>2016</v>
      </c>
      <c r="Q587" s="1">
        <v>44014</v>
      </c>
      <c r="R587" s="1">
        <v>44013</v>
      </c>
      <c r="S587" t="s">
        <v>16</v>
      </c>
    </row>
    <row r="588" spans="1:19" x14ac:dyDescent="0.25">
      <c r="A588">
        <v>587</v>
      </c>
      <c r="B588">
        <v>46017438</v>
      </c>
      <c r="C588" t="s">
        <v>1369</v>
      </c>
      <c r="D588" t="s">
        <v>17</v>
      </c>
      <c r="E588" t="s">
        <v>1370</v>
      </c>
      <c r="F588" t="s">
        <v>1371</v>
      </c>
      <c r="H588" t="s">
        <v>2320</v>
      </c>
      <c r="I588">
        <v>1</v>
      </c>
      <c r="J588" t="s">
        <v>1668</v>
      </c>
      <c r="K588" t="s">
        <v>2488</v>
      </c>
      <c r="L588">
        <v>544</v>
      </c>
      <c r="N588" t="s">
        <v>2494</v>
      </c>
      <c r="O588">
        <v>2019</v>
      </c>
      <c r="P588">
        <v>2018</v>
      </c>
      <c r="Q588" s="1">
        <v>44012</v>
      </c>
      <c r="R588" s="1">
        <v>43997</v>
      </c>
      <c r="S588" t="s">
        <v>16</v>
      </c>
    </row>
    <row r="589" spans="1:19" x14ac:dyDescent="0.25">
      <c r="A589">
        <v>588</v>
      </c>
      <c r="B589">
        <v>33706134</v>
      </c>
      <c r="C589" t="s">
        <v>1372</v>
      </c>
      <c r="D589" t="s">
        <v>1373</v>
      </c>
      <c r="E589" t="s">
        <v>364</v>
      </c>
      <c r="F589" t="s">
        <v>365</v>
      </c>
      <c r="H589" t="s">
        <v>2321</v>
      </c>
      <c r="I589">
        <v>3</v>
      </c>
      <c r="J589" t="s">
        <v>2121</v>
      </c>
      <c r="K589" t="s">
        <v>57</v>
      </c>
      <c r="L589">
        <v>304</v>
      </c>
      <c r="N589" t="s">
        <v>2486</v>
      </c>
      <c r="O589">
        <v>2016</v>
      </c>
      <c r="P589">
        <v>2011</v>
      </c>
      <c r="Q589" s="1">
        <v>44008</v>
      </c>
      <c r="R589" s="1">
        <v>44002</v>
      </c>
      <c r="S589" t="s">
        <v>16</v>
      </c>
    </row>
    <row r="590" spans="1:19" x14ac:dyDescent="0.25">
      <c r="A590">
        <v>589</v>
      </c>
      <c r="B590">
        <v>23301507</v>
      </c>
      <c r="C590" t="s">
        <v>1374</v>
      </c>
      <c r="D590" t="s">
        <v>17</v>
      </c>
      <c r="E590" t="s">
        <v>62</v>
      </c>
      <c r="F590" t="s">
        <v>63</v>
      </c>
      <c r="H590" t="s">
        <v>2322</v>
      </c>
      <c r="I590">
        <v>5</v>
      </c>
      <c r="J590" t="s">
        <v>1668</v>
      </c>
      <c r="K590" t="s">
        <v>2488</v>
      </c>
      <c r="L590">
        <v>328</v>
      </c>
      <c r="N590" t="s">
        <v>2494</v>
      </c>
      <c r="O590">
        <v>2014</v>
      </c>
      <c r="P590">
        <v>2014</v>
      </c>
      <c r="Q590" s="1">
        <v>43944</v>
      </c>
      <c r="R590" s="1">
        <v>43944</v>
      </c>
      <c r="S590" t="s">
        <v>16</v>
      </c>
    </row>
    <row r="591" spans="1:19" x14ac:dyDescent="0.25">
      <c r="A591">
        <v>590</v>
      </c>
      <c r="B591">
        <v>18691070</v>
      </c>
      <c r="C591" t="s">
        <v>2774</v>
      </c>
      <c r="D591" t="s">
        <v>1375</v>
      </c>
      <c r="E591" t="s">
        <v>1376</v>
      </c>
      <c r="F591" t="s">
        <v>1377</v>
      </c>
      <c r="H591" t="s">
        <v>2323</v>
      </c>
      <c r="I591">
        <v>4</v>
      </c>
      <c r="J591" t="s">
        <v>1668</v>
      </c>
      <c r="K591" t="s">
        <v>2488</v>
      </c>
      <c r="L591">
        <v>320</v>
      </c>
      <c r="N591" t="s">
        <v>2494</v>
      </c>
      <c r="O591">
        <v>2014</v>
      </c>
      <c r="P591">
        <v>2014</v>
      </c>
      <c r="Q591" s="1">
        <v>43940</v>
      </c>
      <c r="R591" s="1">
        <v>43939</v>
      </c>
      <c r="S591" t="s">
        <v>16</v>
      </c>
    </row>
    <row r="592" spans="1:19" x14ac:dyDescent="0.25">
      <c r="A592">
        <v>591</v>
      </c>
      <c r="B592">
        <v>16046748</v>
      </c>
      <c r="C592" t="s">
        <v>2773</v>
      </c>
      <c r="D592" t="s">
        <v>1378</v>
      </c>
      <c r="E592" t="s">
        <v>1376</v>
      </c>
      <c r="F592" t="s">
        <v>1377</v>
      </c>
      <c r="H592" t="str">
        <f>"9788055145273"</f>
        <v>9788055145273</v>
      </c>
      <c r="I592">
        <v>3</v>
      </c>
      <c r="J592" t="s">
        <v>1668</v>
      </c>
      <c r="K592" t="s">
        <v>2488</v>
      </c>
      <c r="L592">
        <v>316</v>
      </c>
      <c r="N592" t="s">
        <v>2494</v>
      </c>
      <c r="O592">
        <v>2013</v>
      </c>
      <c r="P592">
        <v>2013</v>
      </c>
      <c r="Q592" s="1">
        <v>43939</v>
      </c>
      <c r="R592" s="1">
        <v>43937</v>
      </c>
      <c r="S592" t="s">
        <v>16</v>
      </c>
    </row>
    <row r="593" spans="1:19" x14ac:dyDescent="0.25">
      <c r="A593">
        <v>592</v>
      </c>
      <c r="B593">
        <v>13330370</v>
      </c>
      <c r="C593" t="s">
        <v>2772</v>
      </c>
      <c r="D593" t="s">
        <v>1379</v>
      </c>
      <c r="E593" t="s">
        <v>1376</v>
      </c>
      <c r="F593" t="s">
        <v>1377</v>
      </c>
      <c r="H593" t="s">
        <v>2324</v>
      </c>
      <c r="I593">
        <v>3</v>
      </c>
      <c r="J593" t="s">
        <v>1668</v>
      </c>
      <c r="K593" t="s">
        <v>2488</v>
      </c>
      <c r="L593">
        <v>316</v>
      </c>
      <c r="N593" t="s">
        <v>2494</v>
      </c>
      <c r="O593">
        <v>2012</v>
      </c>
      <c r="P593">
        <v>2012</v>
      </c>
      <c r="Q593" s="1">
        <v>43936</v>
      </c>
      <c r="R593" s="1">
        <v>43934</v>
      </c>
      <c r="S593" t="s">
        <v>16</v>
      </c>
    </row>
    <row r="594" spans="1:19" x14ac:dyDescent="0.25">
      <c r="A594">
        <v>593</v>
      </c>
      <c r="B594">
        <v>53098069</v>
      </c>
      <c r="C594" t="s">
        <v>1380</v>
      </c>
      <c r="D594" t="s">
        <v>17</v>
      </c>
      <c r="E594" t="s">
        <v>62</v>
      </c>
      <c r="F594" t="s">
        <v>63</v>
      </c>
      <c r="H594" t="s">
        <v>2325</v>
      </c>
      <c r="I594">
        <v>5</v>
      </c>
      <c r="J594" t="s">
        <v>1668</v>
      </c>
      <c r="K594" t="s">
        <v>2488</v>
      </c>
      <c r="L594">
        <v>424</v>
      </c>
      <c r="N594" t="s">
        <v>2494</v>
      </c>
      <c r="O594">
        <v>2019</v>
      </c>
      <c r="P594">
        <v>2019</v>
      </c>
      <c r="Q594" s="1">
        <v>43892</v>
      </c>
      <c r="R594" s="1">
        <v>43878</v>
      </c>
      <c r="S594" t="s">
        <v>16</v>
      </c>
    </row>
    <row r="595" spans="1:19" x14ac:dyDescent="0.25">
      <c r="A595">
        <v>594</v>
      </c>
      <c r="B595">
        <v>45165349</v>
      </c>
      <c r="C595" t="s">
        <v>1381</v>
      </c>
      <c r="D595" t="s">
        <v>17</v>
      </c>
      <c r="E595" t="s">
        <v>1382</v>
      </c>
      <c r="F595" t="s">
        <v>1383</v>
      </c>
      <c r="H595" t="s">
        <v>2326</v>
      </c>
      <c r="I595">
        <v>3</v>
      </c>
      <c r="J595" t="s">
        <v>1950</v>
      </c>
      <c r="K595" t="s">
        <v>2488</v>
      </c>
      <c r="L595">
        <v>251</v>
      </c>
      <c r="N595" t="s">
        <v>2494</v>
      </c>
      <c r="O595">
        <v>2019</v>
      </c>
      <c r="P595">
        <v>2019</v>
      </c>
      <c r="Q595" s="1">
        <v>43902</v>
      </c>
      <c r="R595" s="1">
        <v>43900</v>
      </c>
      <c r="S595" t="s">
        <v>16</v>
      </c>
    </row>
    <row r="596" spans="1:19" x14ac:dyDescent="0.25">
      <c r="A596">
        <v>595</v>
      </c>
      <c r="B596">
        <v>48576936</v>
      </c>
      <c r="C596" t="s">
        <v>1384</v>
      </c>
      <c r="D596" t="s">
        <v>17</v>
      </c>
      <c r="E596" t="s">
        <v>1385</v>
      </c>
      <c r="F596" t="s">
        <v>1386</v>
      </c>
      <c r="H596" t="s">
        <v>2327</v>
      </c>
      <c r="I596">
        <v>4</v>
      </c>
      <c r="J596" t="s">
        <v>2328</v>
      </c>
      <c r="K596" t="s">
        <v>2488</v>
      </c>
      <c r="L596">
        <v>320</v>
      </c>
      <c r="N596" t="s">
        <v>2494</v>
      </c>
      <c r="O596">
        <v>2019</v>
      </c>
      <c r="P596">
        <v>2019</v>
      </c>
      <c r="Q596" s="1">
        <v>43895</v>
      </c>
      <c r="R596" s="1">
        <v>43893</v>
      </c>
      <c r="S596" t="s">
        <v>16</v>
      </c>
    </row>
    <row r="597" spans="1:19" x14ac:dyDescent="0.25">
      <c r="A597">
        <v>596</v>
      </c>
      <c r="B597">
        <v>28391650</v>
      </c>
      <c r="C597" t="s">
        <v>1387</v>
      </c>
      <c r="D597" t="s">
        <v>1388</v>
      </c>
      <c r="E597" t="s">
        <v>62</v>
      </c>
      <c r="F597" t="s">
        <v>63</v>
      </c>
      <c r="H597" t="s">
        <v>2329</v>
      </c>
      <c r="I597">
        <v>5</v>
      </c>
      <c r="J597" t="s">
        <v>1668</v>
      </c>
      <c r="K597" t="s">
        <v>2488</v>
      </c>
      <c r="L597">
        <v>448</v>
      </c>
      <c r="N597" t="s">
        <v>2494</v>
      </c>
      <c r="O597">
        <v>2015</v>
      </c>
      <c r="P597">
        <v>2015</v>
      </c>
      <c r="Q597" s="1">
        <v>43886</v>
      </c>
      <c r="R597" s="1">
        <v>43881</v>
      </c>
      <c r="S597" t="s">
        <v>16</v>
      </c>
    </row>
    <row r="598" spans="1:19" x14ac:dyDescent="0.25">
      <c r="A598">
        <v>597</v>
      </c>
      <c r="B598">
        <v>48615034</v>
      </c>
      <c r="C598" t="s">
        <v>1389</v>
      </c>
      <c r="D598" t="s">
        <v>17</v>
      </c>
      <c r="E598" t="s">
        <v>1390</v>
      </c>
      <c r="F598" t="s">
        <v>1391</v>
      </c>
      <c r="H598" t="s">
        <v>2330</v>
      </c>
      <c r="I598">
        <v>4</v>
      </c>
      <c r="J598" t="s">
        <v>2331</v>
      </c>
      <c r="K598" t="s">
        <v>2488</v>
      </c>
      <c r="L598">
        <v>368</v>
      </c>
      <c r="N598" t="s">
        <v>2494</v>
      </c>
      <c r="O598">
        <v>2019</v>
      </c>
      <c r="P598">
        <v>2019</v>
      </c>
      <c r="Q598" s="1">
        <v>43883</v>
      </c>
      <c r="R598" s="1">
        <v>43877</v>
      </c>
      <c r="S598" t="s">
        <v>16</v>
      </c>
    </row>
    <row r="599" spans="1:19" x14ac:dyDescent="0.25">
      <c r="A599">
        <v>598</v>
      </c>
      <c r="B599">
        <v>22916782</v>
      </c>
      <c r="C599" t="s">
        <v>1392</v>
      </c>
      <c r="D599" t="s">
        <v>17</v>
      </c>
      <c r="E599" t="s">
        <v>1393</v>
      </c>
      <c r="F599" t="s">
        <v>1394</v>
      </c>
      <c r="H599" t="s">
        <v>2332</v>
      </c>
      <c r="I599">
        <v>3</v>
      </c>
      <c r="J599" t="s">
        <v>1668</v>
      </c>
      <c r="K599" t="s">
        <v>2488</v>
      </c>
      <c r="L599">
        <v>264</v>
      </c>
      <c r="N599" t="s">
        <v>2494</v>
      </c>
      <c r="O599">
        <v>2014</v>
      </c>
      <c r="P599">
        <v>2014</v>
      </c>
      <c r="Q599" s="1">
        <v>43864</v>
      </c>
      <c r="R599" s="1">
        <v>43856</v>
      </c>
      <c r="S599" t="s">
        <v>16</v>
      </c>
    </row>
    <row r="600" spans="1:19" x14ac:dyDescent="0.25">
      <c r="A600">
        <v>599</v>
      </c>
      <c r="B600">
        <v>17899704</v>
      </c>
      <c r="C600" t="s">
        <v>2775</v>
      </c>
      <c r="D600" t="s">
        <v>17</v>
      </c>
      <c r="E600" t="s">
        <v>1395</v>
      </c>
      <c r="F600" t="s">
        <v>1396</v>
      </c>
      <c r="H600" t="s">
        <v>2333</v>
      </c>
      <c r="I600">
        <v>3</v>
      </c>
      <c r="J600" t="s">
        <v>2776</v>
      </c>
      <c r="K600" t="s">
        <v>2488</v>
      </c>
      <c r="L600">
        <v>240</v>
      </c>
      <c r="N600" t="s">
        <v>2494</v>
      </c>
      <c r="O600">
        <v>2014</v>
      </c>
      <c r="P600">
        <v>2014</v>
      </c>
      <c r="Q600" s="1">
        <v>43834</v>
      </c>
      <c r="R600" s="1">
        <v>43832</v>
      </c>
      <c r="S600" t="s">
        <v>16</v>
      </c>
    </row>
    <row r="601" spans="1:19" x14ac:dyDescent="0.25">
      <c r="A601">
        <v>600</v>
      </c>
      <c r="B601">
        <v>49211103</v>
      </c>
      <c r="C601" t="s">
        <v>1397</v>
      </c>
      <c r="D601" t="s">
        <v>17</v>
      </c>
      <c r="E601" t="s">
        <v>1398</v>
      </c>
      <c r="F601" t="s">
        <v>1399</v>
      </c>
      <c r="H601" t="s">
        <v>2334</v>
      </c>
      <c r="I601">
        <v>3</v>
      </c>
      <c r="J601" t="s">
        <v>1668</v>
      </c>
      <c r="K601" t="s">
        <v>2488</v>
      </c>
      <c r="L601">
        <v>400</v>
      </c>
      <c r="N601" t="s">
        <v>2494</v>
      </c>
      <c r="O601">
        <v>2019</v>
      </c>
      <c r="P601">
        <v>2019</v>
      </c>
      <c r="Q601" s="1">
        <v>43833</v>
      </c>
      <c r="R601" s="1">
        <v>43832</v>
      </c>
      <c r="S601" t="s">
        <v>16</v>
      </c>
    </row>
    <row r="602" spans="1:19" x14ac:dyDescent="0.25">
      <c r="A602">
        <v>601</v>
      </c>
      <c r="B602">
        <v>37863852</v>
      </c>
      <c r="C602" t="s">
        <v>2777</v>
      </c>
      <c r="D602" t="s">
        <v>1400</v>
      </c>
      <c r="E602" t="s">
        <v>954</v>
      </c>
      <c r="F602" t="s">
        <v>955</v>
      </c>
      <c r="H602" t="s">
        <v>2335</v>
      </c>
      <c r="I602">
        <v>3</v>
      </c>
      <c r="J602" t="s">
        <v>1770</v>
      </c>
      <c r="K602" t="s">
        <v>2488</v>
      </c>
      <c r="L602">
        <v>369</v>
      </c>
      <c r="N602" t="s">
        <v>2494</v>
      </c>
      <c r="O602">
        <v>2018</v>
      </c>
      <c r="P602">
        <v>2018</v>
      </c>
      <c r="Q602" s="1"/>
      <c r="R602" s="1">
        <v>43832</v>
      </c>
      <c r="S602" t="s">
        <v>16</v>
      </c>
    </row>
    <row r="603" spans="1:19" x14ac:dyDescent="0.25">
      <c r="A603">
        <v>602</v>
      </c>
      <c r="B603">
        <v>38750904</v>
      </c>
      <c r="C603" t="s">
        <v>2778</v>
      </c>
      <c r="D603" t="s">
        <v>1401</v>
      </c>
      <c r="E603" t="s">
        <v>70</v>
      </c>
      <c r="F603" t="s">
        <v>71</v>
      </c>
      <c r="H603" t="s">
        <v>2336</v>
      </c>
      <c r="I603">
        <v>4</v>
      </c>
      <c r="J603" t="s">
        <v>1668</v>
      </c>
      <c r="K603" t="s">
        <v>2488</v>
      </c>
      <c r="L603">
        <v>448</v>
      </c>
      <c r="N603" t="s">
        <v>2494</v>
      </c>
      <c r="O603">
        <v>2018</v>
      </c>
      <c r="P603">
        <v>2018</v>
      </c>
      <c r="Q603" s="1"/>
      <c r="R603" s="1">
        <v>43832</v>
      </c>
      <c r="S603" t="s">
        <v>16</v>
      </c>
    </row>
    <row r="604" spans="1:19" x14ac:dyDescent="0.25">
      <c r="A604">
        <v>603</v>
      </c>
      <c r="B604">
        <v>36347907</v>
      </c>
      <c r="C604" t="s">
        <v>1402</v>
      </c>
      <c r="D604" t="s">
        <v>17</v>
      </c>
      <c r="E604" t="s">
        <v>1328</v>
      </c>
      <c r="F604" t="s">
        <v>1329</v>
      </c>
      <c r="H604" t="s">
        <v>2337</v>
      </c>
      <c r="I604">
        <v>3</v>
      </c>
      <c r="J604" t="s">
        <v>1668</v>
      </c>
      <c r="K604" t="s">
        <v>2488</v>
      </c>
      <c r="L604">
        <v>320</v>
      </c>
      <c r="N604" t="s">
        <v>2494</v>
      </c>
      <c r="O604">
        <v>2017</v>
      </c>
      <c r="P604">
        <v>2017</v>
      </c>
      <c r="Q604" s="1"/>
      <c r="R604" s="1">
        <v>43832</v>
      </c>
      <c r="S604" t="s">
        <v>16</v>
      </c>
    </row>
    <row r="605" spans="1:19" x14ac:dyDescent="0.25">
      <c r="A605">
        <v>604</v>
      </c>
      <c r="B605">
        <v>42205516</v>
      </c>
      <c r="C605" t="s">
        <v>1403</v>
      </c>
      <c r="D605" t="s">
        <v>17</v>
      </c>
      <c r="E605" t="s">
        <v>1328</v>
      </c>
      <c r="F605" t="s">
        <v>1329</v>
      </c>
      <c r="H605" t="str">
        <f>"9788055172705"</f>
        <v>9788055172705</v>
      </c>
      <c r="I605">
        <v>3</v>
      </c>
      <c r="J605" t="s">
        <v>1668</v>
      </c>
      <c r="K605" t="s">
        <v>2488</v>
      </c>
      <c r="L605">
        <v>336</v>
      </c>
      <c r="N605" t="s">
        <v>2494</v>
      </c>
      <c r="O605">
        <v>2018</v>
      </c>
      <c r="P605">
        <v>2018</v>
      </c>
      <c r="Q605" s="1"/>
      <c r="R605" s="1">
        <v>43832</v>
      </c>
      <c r="S605" t="s">
        <v>16</v>
      </c>
    </row>
    <row r="606" spans="1:19" x14ac:dyDescent="0.25">
      <c r="A606">
        <v>605</v>
      </c>
      <c r="B606">
        <v>42117522</v>
      </c>
      <c r="C606" t="s">
        <v>1404</v>
      </c>
      <c r="D606" t="s">
        <v>17</v>
      </c>
      <c r="E606" t="s">
        <v>1390</v>
      </c>
      <c r="F606" t="s">
        <v>1391</v>
      </c>
      <c r="H606" t="s">
        <v>2338</v>
      </c>
      <c r="I606">
        <v>4</v>
      </c>
      <c r="J606" t="s">
        <v>2339</v>
      </c>
      <c r="K606" t="s">
        <v>2488</v>
      </c>
      <c r="L606">
        <v>306</v>
      </c>
      <c r="N606" t="s">
        <v>2494</v>
      </c>
      <c r="O606">
        <v>2018</v>
      </c>
      <c r="P606">
        <v>2018</v>
      </c>
      <c r="Q606" s="1"/>
      <c r="R606" s="1">
        <v>43832</v>
      </c>
      <c r="S606" t="s">
        <v>16</v>
      </c>
    </row>
    <row r="607" spans="1:19" x14ac:dyDescent="0.25">
      <c r="A607">
        <v>606</v>
      </c>
      <c r="B607">
        <v>34928122</v>
      </c>
      <c r="C607" t="s">
        <v>1405</v>
      </c>
      <c r="D607" t="s">
        <v>17</v>
      </c>
      <c r="E607" t="s">
        <v>901</v>
      </c>
      <c r="F607" t="s">
        <v>902</v>
      </c>
      <c r="H607" t="s">
        <v>2340</v>
      </c>
      <c r="I607">
        <v>4</v>
      </c>
      <c r="J607" t="s">
        <v>2259</v>
      </c>
      <c r="K607" t="s">
        <v>2488</v>
      </c>
      <c r="L607">
        <v>305</v>
      </c>
      <c r="N607" t="s">
        <v>2494</v>
      </c>
      <c r="O607">
        <v>2017</v>
      </c>
      <c r="P607">
        <v>2017</v>
      </c>
      <c r="Q607" s="1"/>
      <c r="R607" s="1">
        <v>43832</v>
      </c>
      <c r="S607" t="s">
        <v>16</v>
      </c>
    </row>
    <row r="608" spans="1:19" x14ac:dyDescent="0.25">
      <c r="A608">
        <v>607</v>
      </c>
      <c r="B608">
        <v>38359036</v>
      </c>
      <c r="C608" t="s">
        <v>1406</v>
      </c>
      <c r="D608" t="s">
        <v>1407</v>
      </c>
      <c r="E608" t="s">
        <v>1408</v>
      </c>
      <c r="F608" t="s">
        <v>1409</v>
      </c>
      <c r="H608" t="s">
        <v>2341</v>
      </c>
      <c r="I608">
        <v>3</v>
      </c>
      <c r="J608" t="s">
        <v>2342</v>
      </c>
      <c r="K608" t="s">
        <v>2488</v>
      </c>
      <c r="L608">
        <v>272</v>
      </c>
      <c r="N608" t="s">
        <v>2603</v>
      </c>
      <c r="O608">
        <v>2018</v>
      </c>
      <c r="P608">
        <v>2018</v>
      </c>
      <c r="Q608" s="1"/>
      <c r="R608" s="1">
        <v>43832</v>
      </c>
      <c r="S608" t="s">
        <v>16</v>
      </c>
    </row>
    <row r="609" spans="1:19" x14ac:dyDescent="0.25">
      <c r="A609">
        <v>608</v>
      </c>
      <c r="B609">
        <v>41715791</v>
      </c>
      <c r="C609" t="s">
        <v>1410</v>
      </c>
      <c r="D609" t="s">
        <v>17</v>
      </c>
      <c r="E609" t="s">
        <v>62</v>
      </c>
      <c r="F609" t="s">
        <v>63</v>
      </c>
      <c r="H609" t="s">
        <v>2343</v>
      </c>
      <c r="I609">
        <v>3</v>
      </c>
      <c r="J609" t="s">
        <v>1668</v>
      </c>
      <c r="K609" t="s">
        <v>2488</v>
      </c>
      <c r="L609">
        <v>272</v>
      </c>
      <c r="N609" t="s">
        <v>2494</v>
      </c>
      <c r="O609">
        <v>2018</v>
      </c>
      <c r="P609">
        <v>2018</v>
      </c>
      <c r="Q609" s="1"/>
      <c r="R609" s="1">
        <v>43832</v>
      </c>
      <c r="S609" t="s">
        <v>16</v>
      </c>
    </row>
    <row r="610" spans="1:19" x14ac:dyDescent="0.25">
      <c r="A610">
        <v>609</v>
      </c>
      <c r="B610">
        <v>36354944</v>
      </c>
      <c r="C610" t="s">
        <v>1411</v>
      </c>
      <c r="D610" t="s">
        <v>17</v>
      </c>
      <c r="E610" t="s">
        <v>62</v>
      </c>
      <c r="F610" t="s">
        <v>63</v>
      </c>
      <c r="H610" t="s">
        <v>2344</v>
      </c>
      <c r="I610">
        <v>3</v>
      </c>
      <c r="J610" t="s">
        <v>1668</v>
      </c>
      <c r="K610" t="s">
        <v>2488</v>
      </c>
      <c r="L610">
        <v>664</v>
      </c>
      <c r="N610" t="s">
        <v>2494</v>
      </c>
      <c r="O610">
        <v>2017</v>
      </c>
      <c r="P610">
        <v>2017</v>
      </c>
      <c r="Q610" s="1"/>
      <c r="R610" s="1">
        <v>43832</v>
      </c>
      <c r="S610" t="s">
        <v>16</v>
      </c>
    </row>
    <row r="611" spans="1:19" x14ac:dyDescent="0.25">
      <c r="A611">
        <v>610</v>
      </c>
      <c r="B611">
        <v>18486104</v>
      </c>
      <c r="C611" t="s">
        <v>1412</v>
      </c>
      <c r="D611" t="s">
        <v>17</v>
      </c>
      <c r="E611" t="s">
        <v>1413</v>
      </c>
      <c r="F611" t="s">
        <v>1414</v>
      </c>
      <c r="H611" t="s">
        <v>2345</v>
      </c>
      <c r="I611">
        <v>4</v>
      </c>
      <c r="J611" t="s">
        <v>2346</v>
      </c>
      <c r="K611" t="s">
        <v>2488</v>
      </c>
      <c r="L611">
        <v>240</v>
      </c>
      <c r="N611" t="s">
        <v>2494</v>
      </c>
      <c r="O611">
        <v>2008</v>
      </c>
      <c r="P611">
        <v>2006</v>
      </c>
      <c r="Q611" s="1"/>
      <c r="R611" s="1">
        <v>43832</v>
      </c>
      <c r="S611" t="s">
        <v>16</v>
      </c>
    </row>
    <row r="612" spans="1:19" x14ac:dyDescent="0.25">
      <c r="A612">
        <v>611</v>
      </c>
      <c r="B612">
        <v>25331732</v>
      </c>
      <c r="C612" t="s">
        <v>2779</v>
      </c>
      <c r="D612" t="s">
        <v>17</v>
      </c>
      <c r="E612" t="s">
        <v>2780</v>
      </c>
      <c r="F612" t="s">
        <v>2781</v>
      </c>
      <c r="H612" t="str">
        <f>"9788022208437"</f>
        <v>9788022208437</v>
      </c>
      <c r="I612">
        <v>3</v>
      </c>
      <c r="J612" t="s">
        <v>1723</v>
      </c>
      <c r="K612" t="s">
        <v>2488</v>
      </c>
      <c r="L612">
        <v>244</v>
      </c>
      <c r="N612" t="s">
        <v>2494</v>
      </c>
      <c r="O612">
        <v>2015</v>
      </c>
      <c r="P612">
        <v>2015</v>
      </c>
      <c r="Q612" s="1"/>
      <c r="R612" s="1">
        <v>43832</v>
      </c>
      <c r="S612" t="s">
        <v>16</v>
      </c>
    </row>
    <row r="613" spans="1:19" x14ac:dyDescent="0.25">
      <c r="A613">
        <v>612</v>
      </c>
      <c r="B613">
        <v>28952542</v>
      </c>
      <c r="C613" t="s">
        <v>2782</v>
      </c>
      <c r="D613" t="s">
        <v>17</v>
      </c>
      <c r="E613" t="s">
        <v>1415</v>
      </c>
      <c r="F613" t="s">
        <v>1416</v>
      </c>
      <c r="H613" t="s">
        <v>2347</v>
      </c>
      <c r="I613">
        <v>4</v>
      </c>
      <c r="J613" t="s">
        <v>1668</v>
      </c>
      <c r="K613" t="s">
        <v>2488</v>
      </c>
      <c r="L613">
        <v>368</v>
      </c>
      <c r="N613" t="s">
        <v>2494</v>
      </c>
      <c r="O613">
        <v>2016</v>
      </c>
      <c r="P613">
        <v>2014</v>
      </c>
      <c r="Q613" s="1"/>
      <c r="R613" s="1">
        <v>43832</v>
      </c>
      <c r="S613" t="s">
        <v>16</v>
      </c>
    </row>
    <row r="614" spans="1:19" x14ac:dyDescent="0.25">
      <c r="A614">
        <v>613</v>
      </c>
      <c r="B614">
        <v>33369264</v>
      </c>
      <c r="C614" t="s">
        <v>2783</v>
      </c>
      <c r="D614" t="s">
        <v>17</v>
      </c>
      <c r="E614" t="s">
        <v>170</v>
      </c>
      <c r="F614" t="s">
        <v>171</v>
      </c>
      <c r="H614" t="s">
        <v>2348</v>
      </c>
      <c r="I614">
        <v>5</v>
      </c>
      <c r="J614" t="s">
        <v>2686</v>
      </c>
      <c r="K614" t="s">
        <v>2488</v>
      </c>
      <c r="L614">
        <v>316</v>
      </c>
      <c r="N614" t="s">
        <v>2486</v>
      </c>
      <c r="O614">
        <v>2017</v>
      </c>
      <c r="P614">
        <v>2012</v>
      </c>
      <c r="Q614" s="1"/>
      <c r="R614" s="1">
        <v>43832</v>
      </c>
      <c r="S614" t="s">
        <v>16</v>
      </c>
    </row>
    <row r="615" spans="1:19" x14ac:dyDescent="0.25">
      <c r="A615">
        <v>614</v>
      </c>
      <c r="B615">
        <v>769016</v>
      </c>
      <c r="C615" t="s">
        <v>2784</v>
      </c>
      <c r="D615" t="s">
        <v>17</v>
      </c>
      <c r="E615" t="s">
        <v>1227</v>
      </c>
      <c r="F615" t="s">
        <v>1228</v>
      </c>
      <c r="H615" t="s">
        <v>2349</v>
      </c>
      <c r="I615">
        <v>3</v>
      </c>
      <c r="J615" t="s">
        <v>2785</v>
      </c>
      <c r="K615" t="s">
        <v>2488</v>
      </c>
      <c r="L615">
        <v>286</v>
      </c>
      <c r="N615" t="s">
        <v>2494</v>
      </c>
      <c r="O615">
        <v>2016</v>
      </c>
      <c r="P615">
        <v>1980</v>
      </c>
      <c r="Q615" s="1"/>
      <c r="R615" s="1">
        <v>43832</v>
      </c>
      <c r="S615" t="s">
        <v>16</v>
      </c>
    </row>
    <row r="616" spans="1:19" x14ac:dyDescent="0.25">
      <c r="A616">
        <v>615</v>
      </c>
      <c r="B616">
        <v>29537167</v>
      </c>
      <c r="C616" t="s">
        <v>2786</v>
      </c>
      <c r="D616" t="s">
        <v>17</v>
      </c>
      <c r="E616" t="s">
        <v>1417</v>
      </c>
      <c r="F616" t="s">
        <v>1418</v>
      </c>
      <c r="H616" t="s">
        <v>2350</v>
      </c>
      <c r="I616">
        <v>3</v>
      </c>
      <c r="J616" t="s">
        <v>2787</v>
      </c>
      <c r="K616" t="s">
        <v>2488</v>
      </c>
      <c r="L616">
        <v>192</v>
      </c>
      <c r="N616" t="s">
        <v>2494</v>
      </c>
      <c r="O616">
        <v>2016</v>
      </c>
      <c r="P616">
        <v>2016</v>
      </c>
      <c r="Q616" s="1"/>
      <c r="R616" s="1">
        <v>43832</v>
      </c>
      <c r="S616" t="s">
        <v>16</v>
      </c>
    </row>
    <row r="617" spans="1:19" x14ac:dyDescent="0.25">
      <c r="A617">
        <v>616</v>
      </c>
      <c r="B617">
        <v>32953221</v>
      </c>
      <c r="C617" t="s">
        <v>1419</v>
      </c>
      <c r="D617" t="s">
        <v>17</v>
      </c>
      <c r="E617" t="s">
        <v>1420</v>
      </c>
      <c r="F617" t="s">
        <v>1421</v>
      </c>
      <c r="H617" t="s">
        <v>2351</v>
      </c>
      <c r="I617">
        <v>5</v>
      </c>
      <c r="J617" t="s">
        <v>1668</v>
      </c>
      <c r="K617" t="s">
        <v>2488</v>
      </c>
      <c r="L617">
        <v>368</v>
      </c>
      <c r="N617" t="s">
        <v>2494</v>
      </c>
      <c r="O617">
        <v>2016</v>
      </c>
      <c r="P617">
        <v>2016</v>
      </c>
      <c r="Q617" s="1"/>
      <c r="R617" s="1">
        <v>43832</v>
      </c>
      <c r="S617" t="s">
        <v>16</v>
      </c>
    </row>
    <row r="618" spans="1:19" x14ac:dyDescent="0.25">
      <c r="A618">
        <v>617</v>
      </c>
      <c r="B618">
        <v>20929191</v>
      </c>
      <c r="C618" t="s">
        <v>2788</v>
      </c>
      <c r="D618" t="s">
        <v>17</v>
      </c>
      <c r="E618" t="s">
        <v>1422</v>
      </c>
      <c r="F618" t="s">
        <v>1423</v>
      </c>
      <c r="H618" t="s">
        <v>2352</v>
      </c>
      <c r="I618">
        <v>4</v>
      </c>
      <c r="J618" t="s">
        <v>1668</v>
      </c>
      <c r="K618" t="s">
        <v>57</v>
      </c>
      <c r="L618">
        <v>315</v>
      </c>
      <c r="N618" t="s">
        <v>2494</v>
      </c>
      <c r="O618">
        <v>2013</v>
      </c>
      <c r="P618">
        <v>2013</v>
      </c>
      <c r="Q618" s="1"/>
      <c r="R618" s="1">
        <v>43832</v>
      </c>
      <c r="S618" t="s">
        <v>16</v>
      </c>
    </row>
    <row r="619" spans="1:19" x14ac:dyDescent="0.25">
      <c r="A619">
        <v>618</v>
      </c>
      <c r="B619">
        <v>32064868</v>
      </c>
      <c r="C619" t="s">
        <v>1424</v>
      </c>
      <c r="D619" t="s">
        <v>17</v>
      </c>
      <c r="E619" t="s">
        <v>1393</v>
      </c>
      <c r="F619" t="s">
        <v>1394</v>
      </c>
      <c r="H619" t="s">
        <v>2353</v>
      </c>
      <c r="I619">
        <v>3</v>
      </c>
      <c r="J619" t="s">
        <v>1668</v>
      </c>
      <c r="K619" t="s">
        <v>2488</v>
      </c>
      <c r="L619">
        <v>256</v>
      </c>
      <c r="N619" t="s">
        <v>2494</v>
      </c>
      <c r="O619">
        <v>2016</v>
      </c>
      <c r="P619">
        <v>2016</v>
      </c>
      <c r="Q619" s="1"/>
      <c r="R619" s="1">
        <v>43832</v>
      </c>
      <c r="S619" t="s">
        <v>16</v>
      </c>
    </row>
    <row r="620" spans="1:19" x14ac:dyDescent="0.25">
      <c r="A620">
        <v>619</v>
      </c>
      <c r="B620">
        <v>29056083</v>
      </c>
      <c r="C620" t="s">
        <v>1425</v>
      </c>
      <c r="D620" t="s">
        <v>1426</v>
      </c>
      <c r="E620" t="s">
        <v>1427</v>
      </c>
      <c r="F620" t="s">
        <v>1428</v>
      </c>
      <c r="H620" t="s">
        <v>2354</v>
      </c>
      <c r="I620">
        <v>4</v>
      </c>
      <c r="J620" t="s">
        <v>2355</v>
      </c>
      <c r="K620" t="s">
        <v>57</v>
      </c>
      <c r="L620">
        <v>343</v>
      </c>
      <c r="N620" t="s">
        <v>2486</v>
      </c>
      <c r="O620">
        <v>2016</v>
      </c>
      <c r="P620">
        <v>2016</v>
      </c>
      <c r="Q620" s="1"/>
      <c r="R620" s="1">
        <v>43832</v>
      </c>
      <c r="S620" t="s">
        <v>16</v>
      </c>
    </row>
    <row r="621" spans="1:19" x14ac:dyDescent="0.25">
      <c r="A621">
        <v>620</v>
      </c>
      <c r="B621">
        <v>32336502</v>
      </c>
      <c r="C621" t="s">
        <v>1429</v>
      </c>
      <c r="D621" t="s">
        <v>17</v>
      </c>
      <c r="E621" t="s">
        <v>62</v>
      </c>
      <c r="F621" t="s">
        <v>63</v>
      </c>
      <c r="H621" t="s">
        <v>2356</v>
      </c>
      <c r="I621">
        <v>5</v>
      </c>
      <c r="J621" t="s">
        <v>1668</v>
      </c>
      <c r="K621" t="s">
        <v>57</v>
      </c>
      <c r="L621">
        <v>368</v>
      </c>
      <c r="N621" t="s">
        <v>2494</v>
      </c>
      <c r="O621">
        <v>2016</v>
      </c>
      <c r="P621">
        <v>2016</v>
      </c>
      <c r="Q621" s="1"/>
      <c r="R621" s="1">
        <v>43832</v>
      </c>
      <c r="S621" t="s">
        <v>16</v>
      </c>
    </row>
    <row r="622" spans="1:19" x14ac:dyDescent="0.25">
      <c r="A622">
        <v>621</v>
      </c>
      <c r="B622">
        <v>33797433</v>
      </c>
      <c r="C622" t="s">
        <v>1430</v>
      </c>
      <c r="D622" t="s">
        <v>17</v>
      </c>
      <c r="E622" t="s">
        <v>1431</v>
      </c>
      <c r="F622" t="s">
        <v>1432</v>
      </c>
      <c r="H622" t="str">
        <f>"9788055149165"</f>
        <v>9788055149165</v>
      </c>
      <c r="I622">
        <v>3</v>
      </c>
      <c r="J622" t="s">
        <v>1668</v>
      </c>
      <c r="K622" t="s">
        <v>2488</v>
      </c>
      <c r="L622">
        <v>237</v>
      </c>
      <c r="N622" t="s">
        <v>2494</v>
      </c>
      <c r="O622">
        <v>2016</v>
      </c>
      <c r="P622">
        <v>2016</v>
      </c>
      <c r="Q622" s="1"/>
      <c r="R622" s="1">
        <v>43832</v>
      </c>
      <c r="S622" t="s">
        <v>16</v>
      </c>
    </row>
    <row r="623" spans="1:19" x14ac:dyDescent="0.25">
      <c r="A623">
        <v>622</v>
      </c>
      <c r="B623">
        <v>30185040</v>
      </c>
      <c r="C623" t="s">
        <v>1433</v>
      </c>
      <c r="D623" t="s">
        <v>17</v>
      </c>
      <c r="E623" t="s">
        <v>1254</v>
      </c>
      <c r="F623" t="s">
        <v>1255</v>
      </c>
      <c r="H623" t="s">
        <v>2357</v>
      </c>
      <c r="I623">
        <v>4</v>
      </c>
      <c r="J623" t="s">
        <v>1730</v>
      </c>
      <c r="K623" t="s">
        <v>2488</v>
      </c>
      <c r="L623">
        <v>224</v>
      </c>
      <c r="N623" t="s">
        <v>2494</v>
      </c>
      <c r="O623">
        <v>2016</v>
      </c>
      <c r="P623">
        <v>2016</v>
      </c>
      <c r="Q623" s="1"/>
      <c r="R623" s="1">
        <v>43832</v>
      </c>
      <c r="S623" t="s">
        <v>16</v>
      </c>
    </row>
    <row r="624" spans="1:19" x14ac:dyDescent="0.25">
      <c r="A624">
        <v>623</v>
      </c>
      <c r="B624">
        <v>9969571</v>
      </c>
      <c r="C624" t="s">
        <v>1434</v>
      </c>
      <c r="D624" t="s">
        <v>1435</v>
      </c>
      <c r="E624" t="s">
        <v>871</v>
      </c>
      <c r="F624" t="s">
        <v>872</v>
      </c>
      <c r="H624" t="s">
        <v>2358</v>
      </c>
      <c r="I624">
        <v>4</v>
      </c>
      <c r="J624" t="s">
        <v>1668</v>
      </c>
      <c r="K624" t="s">
        <v>57</v>
      </c>
      <c r="L624">
        <v>480</v>
      </c>
      <c r="N624" t="s">
        <v>2494</v>
      </c>
      <c r="O624">
        <v>2011</v>
      </c>
      <c r="P624">
        <v>2011</v>
      </c>
      <c r="Q624" s="1"/>
      <c r="R624" s="1">
        <v>43832</v>
      </c>
      <c r="S624" t="s">
        <v>16</v>
      </c>
    </row>
    <row r="625" spans="1:19" x14ac:dyDescent="0.25">
      <c r="A625">
        <v>624</v>
      </c>
      <c r="B625">
        <v>39280444</v>
      </c>
      <c r="C625" t="s">
        <v>2789</v>
      </c>
      <c r="D625" t="s">
        <v>17</v>
      </c>
      <c r="E625" t="s">
        <v>1436</v>
      </c>
      <c r="F625" t="s">
        <v>1437</v>
      </c>
      <c r="H625" t="s">
        <v>2359</v>
      </c>
      <c r="I625">
        <v>3</v>
      </c>
      <c r="J625" t="s">
        <v>2047</v>
      </c>
      <c r="K625" t="s">
        <v>2488</v>
      </c>
      <c r="L625">
        <v>224</v>
      </c>
      <c r="N625" t="s">
        <v>2494</v>
      </c>
      <c r="O625">
        <v>2019</v>
      </c>
      <c r="P625">
        <v>1999</v>
      </c>
      <c r="Q625" s="1"/>
      <c r="R625" s="1">
        <v>43832</v>
      </c>
      <c r="S625" t="s">
        <v>16</v>
      </c>
    </row>
    <row r="626" spans="1:19" x14ac:dyDescent="0.25">
      <c r="A626">
        <v>625</v>
      </c>
      <c r="B626">
        <v>33113864</v>
      </c>
      <c r="C626" t="s">
        <v>1438</v>
      </c>
      <c r="D626" t="s">
        <v>1439</v>
      </c>
      <c r="E626" t="s">
        <v>250</v>
      </c>
      <c r="F626" t="s">
        <v>251</v>
      </c>
      <c r="H626" t="s">
        <v>2360</v>
      </c>
      <c r="I626">
        <v>4</v>
      </c>
      <c r="J626" t="s">
        <v>1668</v>
      </c>
      <c r="K626" t="s">
        <v>2488</v>
      </c>
      <c r="L626">
        <v>497</v>
      </c>
      <c r="N626" t="s">
        <v>2494</v>
      </c>
      <c r="O626">
        <v>2016</v>
      </c>
      <c r="P626">
        <v>2015</v>
      </c>
      <c r="Q626" s="1"/>
      <c r="R626" s="1">
        <v>43832</v>
      </c>
      <c r="S626" t="s">
        <v>16</v>
      </c>
    </row>
    <row r="627" spans="1:19" x14ac:dyDescent="0.25">
      <c r="A627">
        <v>626</v>
      </c>
      <c r="B627">
        <v>23492671</v>
      </c>
      <c r="C627" t="s">
        <v>2790</v>
      </c>
      <c r="D627" t="s">
        <v>1440</v>
      </c>
      <c r="E627" t="s">
        <v>1441</v>
      </c>
      <c r="F627" t="s">
        <v>1442</v>
      </c>
      <c r="H627" t="s">
        <v>2361</v>
      </c>
      <c r="I627">
        <v>2</v>
      </c>
      <c r="J627" t="s">
        <v>2776</v>
      </c>
      <c r="K627" t="s">
        <v>2488</v>
      </c>
      <c r="L627">
        <v>368</v>
      </c>
      <c r="N627" t="s">
        <v>2494</v>
      </c>
      <c r="O627">
        <v>2015</v>
      </c>
      <c r="P627">
        <v>2014</v>
      </c>
      <c r="Q627" s="1"/>
      <c r="R627" s="1">
        <v>43832</v>
      </c>
      <c r="S627" t="s">
        <v>16</v>
      </c>
    </row>
    <row r="628" spans="1:19" x14ac:dyDescent="0.25">
      <c r="A628">
        <v>627</v>
      </c>
      <c r="B628">
        <v>17913699</v>
      </c>
      <c r="C628" t="s">
        <v>1443</v>
      </c>
      <c r="D628" t="s">
        <v>17</v>
      </c>
      <c r="E628" t="s">
        <v>1444</v>
      </c>
      <c r="F628" t="s">
        <v>1445</v>
      </c>
      <c r="H628" t="s">
        <v>2362</v>
      </c>
      <c r="I628">
        <v>4</v>
      </c>
      <c r="J628" t="s">
        <v>1668</v>
      </c>
      <c r="K628" t="s">
        <v>2488</v>
      </c>
      <c r="L628">
        <v>288</v>
      </c>
      <c r="N628" t="s">
        <v>2494</v>
      </c>
      <c r="O628">
        <v>2013</v>
      </c>
      <c r="P628">
        <v>2013</v>
      </c>
      <c r="Q628" s="1"/>
      <c r="R628" s="1">
        <v>43832</v>
      </c>
      <c r="S628" t="s">
        <v>16</v>
      </c>
    </row>
    <row r="629" spans="1:19" x14ac:dyDescent="0.25">
      <c r="A629">
        <v>628</v>
      </c>
      <c r="B629">
        <v>26156140</v>
      </c>
      <c r="C629" t="s">
        <v>2791</v>
      </c>
      <c r="D629" t="s">
        <v>17</v>
      </c>
      <c r="E629" t="s">
        <v>70</v>
      </c>
      <c r="F629" t="s">
        <v>71</v>
      </c>
      <c r="H629" t="s">
        <v>2363</v>
      </c>
      <c r="I629">
        <v>3</v>
      </c>
      <c r="J629" t="s">
        <v>1668</v>
      </c>
      <c r="K629" t="s">
        <v>2488</v>
      </c>
      <c r="L629">
        <v>312</v>
      </c>
      <c r="N629" t="s">
        <v>2494</v>
      </c>
      <c r="O629">
        <v>2016</v>
      </c>
      <c r="P629">
        <v>2015</v>
      </c>
      <c r="Q629" s="1"/>
      <c r="R629" s="1">
        <v>43832</v>
      </c>
      <c r="S629" t="s">
        <v>16</v>
      </c>
    </row>
    <row r="630" spans="1:19" x14ac:dyDescent="0.25">
      <c r="A630">
        <v>629</v>
      </c>
      <c r="B630">
        <v>33567307</v>
      </c>
      <c r="C630" t="s">
        <v>1446</v>
      </c>
      <c r="D630" t="s">
        <v>17</v>
      </c>
      <c r="E630" t="s">
        <v>1447</v>
      </c>
      <c r="F630" t="s">
        <v>1448</v>
      </c>
      <c r="H630" t="s">
        <v>2364</v>
      </c>
      <c r="I630">
        <v>3</v>
      </c>
      <c r="J630" t="s">
        <v>1668</v>
      </c>
      <c r="K630" t="s">
        <v>2488</v>
      </c>
      <c r="L630">
        <v>384</v>
      </c>
      <c r="N630" t="s">
        <v>2494</v>
      </c>
      <c r="O630">
        <v>2017</v>
      </c>
      <c r="P630">
        <v>2017</v>
      </c>
      <c r="Q630" s="1"/>
      <c r="R630" s="1">
        <v>43832</v>
      </c>
      <c r="S630" t="s">
        <v>16</v>
      </c>
    </row>
    <row r="631" spans="1:19" x14ac:dyDescent="0.25">
      <c r="A631">
        <v>630</v>
      </c>
      <c r="B631">
        <v>26123982</v>
      </c>
      <c r="C631" t="s">
        <v>1449</v>
      </c>
      <c r="D631" t="s">
        <v>17</v>
      </c>
      <c r="E631" t="s">
        <v>1447</v>
      </c>
      <c r="F631" t="s">
        <v>1448</v>
      </c>
      <c r="H631" t="s">
        <v>2365</v>
      </c>
      <c r="I631">
        <v>4</v>
      </c>
      <c r="J631" t="s">
        <v>1668</v>
      </c>
      <c r="K631" t="s">
        <v>2488</v>
      </c>
      <c r="L631">
        <v>295</v>
      </c>
      <c r="N631" t="s">
        <v>2494</v>
      </c>
      <c r="O631">
        <v>2015</v>
      </c>
      <c r="P631">
        <v>2015</v>
      </c>
      <c r="Q631" s="1"/>
      <c r="R631" s="1">
        <v>43832</v>
      </c>
      <c r="S631" t="s">
        <v>16</v>
      </c>
    </row>
    <row r="632" spans="1:19" x14ac:dyDescent="0.25">
      <c r="A632">
        <v>631</v>
      </c>
      <c r="B632">
        <v>22237225</v>
      </c>
      <c r="C632" t="s">
        <v>2792</v>
      </c>
      <c r="D632" t="s">
        <v>17</v>
      </c>
      <c r="E632" t="s">
        <v>1450</v>
      </c>
      <c r="F632" t="s">
        <v>1451</v>
      </c>
      <c r="H632" t="s">
        <v>2366</v>
      </c>
      <c r="I632">
        <v>2</v>
      </c>
      <c r="J632" t="s">
        <v>1668</v>
      </c>
      <c r="K632" t="s">
        <v>57</v>
      </c>
      <c r="L632">
        <v>258</v>
      </c>
      <c r="N632" t="s">
        <v>2494</v>
      </c>
      <c r="O632">
        <v>2015</v>
      </c>
      <c r="P632">
        <v>2015</v>
      </c>
      <c r="Q632" s="1"/>
      <c r="R632" s="1">
        <v>43832</v>
      </c>
      <c r="S632" t="s">
        <v>16</v>
      </c>
    </row>
    <row r="633" spans="1:19" x14ac:dyDescent="0.25">
      <c r="A633">
        <v>632</v>
      </c>
      <c r="B633">
        <v>22554261</v>
      </c>
      <c r="C633" t="s">
        <v>1452</v>
      </c>
      <c r="D633" t="s">
        <v>1453</v>
      </c>
      <c r="E633" t="s">
        <v>184</v>
      </c>
      <c r="F633" t="s">
        <v>185</v>
      </c>
      <c r="H633" t="s">
        <v>2367</v>
      </c>
      <c r="I633">
        <v>5</v>
      </c>
      <c r="J633" t="s">
        <v>1668</v>
      </c>
      <c r="K633" t="s">
        <v>57</v>
      </c>
      <c r="L633">
        <v>603</v>
      </c>
      <c r="N633" t="s">
        <v>2486</v>
      </c>
      <c r="O633">
        <v>2014</v>
      </c>
      <c r="P633">
        <v>2014</v>
      </c>
      <c r="Q633" s="1"/>
      <c r="R633" s="1">
        <v>43832</v>
      </c>
      <c r="S633" t="s">
        <v>16</v>
      </c>
    </row>
    <row r="634" spans="1:19" x14ac:dyDescent="0.25">
      <c r="A634">
        <v>633</v>
      </c>
      <c r="B634">
        <v>27300577</v>
      </c>
      <c r="C634" t="s">
        <v>2793</v>
      </c>
      <c r="D634" t="s">
        <v>17</v>
      </c>
      <c r="E634" t="s">
        <v>250</v>
      </c>
      <c r="F634" t="s">
        <v>251</v>
      </c>
      <c r="H634" t="s">
        <v>2368</v>
      </c>
      <c r="I634">
        <v>4</v>
      </c>
      <c r="J634" t="s">
        <v>1668</v>
      </c>
      <c r="K634" t="s">
        <v>2488</v>
      </c>
      <c r="L634">
        <v>626</v>
      </c>
      <c r="N634" t="s">
        <v>2494</v>
      </c>
      <c r="O634">
        <v>2015</v>
      </c>
      <c r="P634">
        <v>2013</v>
      </c>
      <c r="Q634" s="1"/>
      <c r="R634" s="1">
        <v>43832</v>
      </c>
      <c r="S634" t="s">
        <v>16</v>
      </c>
    </row>
    <row r="635" spans="1:19" x14ac:dyDescent="0.25">
      <c r="A635">
        <v>634</v>
      </c>
      <c r="B635">
        <v>7864437</v>
      </c>
      <c r="C635" t="s">
        <v>2794</v>
      </c>
      <c r="D635" t="s">
        <v>1454</v>
      </c>
      <c r="E635" t="s">
        <v>1455</v>
      </c>
      <c r="F635" t="s">
        <v>1456</v>
      </c>
      <c r="H635" t="s">
        <v>2369</v>
      </c>
      <c r="I635">
        <v>4</v>
      </c>
      <c r="J635" t="s">
        <v>2047</v>
      </c>
      <c r="K635" t="s">
        <v>57</v>
      </c>
      <c r="L635">
        <v>325</v>
      </c>
      <c r="N635" t="s">
        <v>2486</v>
      </c>
      <c r="O635">
        <v>2011</v>
      </c>
      <c r="P635">
        <v>2011</v>
      </c>
      <c r="Q635" s="1"/>
      <c r="R635" s="1">
        <v>43832</v>
      </c>
      <c r="S635" t="s">
        <v>16</v>
      </c>
    </row>
    <row r="636" spans="1:19" x14ac:dyDescent="0.25">
      <c r="A636">
        <v>635</v>
      </c>
      <c r="B636">
        <v>7631105</v>
      </c>
      <c r="C636" t="s">
        <v>2795</v>
      </c>
      <c r="D636" t="s">
        <v>1457</v>
      </c>
      <c r="E636" t="s">
        <v>1455</v>
      </c>
      <c r="F636" t="s">
        <v>1456</v>
      </c>
      <c r="H636" t="s">
        <v>2370</v>
      </c>
      <c r="I636">
        <v>4</v>
      </c>
      <c r="J636" t="s">
        <v>2047</v>
      </c>
      <c r="K636" t="s">
        <v>57</v>
      </c>
      <c r="L636">
        <v>362</v>
      </c>
      <c r="N636" t="s">
        <v>2486</v>
      </c>
      <c r="O636">
        <v>2010</v>
      </c>
      <c r="P636">
        <v>2010</v>
      </c>
      <c r="Q636" s="1"/>
      <c r="R636" s="1">
        <v>43832</v>
      </c>
      <c r="S636" t="s">
        <v>16</v>
      </c>
    </row>
    <row r="637" spans="1:19" x14ac:dyDescent="0.25">
      <c r="A637">
        <v>636</v>
      </c>
      <c r="B637">
        <v>18361982</v>
      </c>
      <c r="C637" t="s">
        <v>1458</v>
      </c>
      <c r="D637" t="s">
        <v>1459</v>
      </c>
      <c r="E637" t="s">
        <v>1460</v>
      </c>
      <c r="F637" t="s">
        <v>1461</v>
      </c>
      <c r="H637" t="str">
        <f>"9780007501502"</f>
        <v>9780007501502</v>
      </c>
      <c r="I637">
        <v>3</v>
      </c>
      <c r="J637" t="s">
        <v>2107</v>
      </c>
      <c r="K637" t="s">
        <v>57</v>
      </c>
      <c r="L637">
        <v>369</v>
      </c>
      <c r="N637" t="s">
        <v>2603</v>
      </c>
      <c r="O637">
        <v>2013</v>
      </c>
      <c r="P637">
        <v>2013</v>
      </c>
      <c r="Q637" s="1"/>
      <c r="R637" s="1">
        <v>43832</v>
      </c>
      <c r="S637" t="s">
        <v>16</v>
      </c>
    </row>
    <row r="638" spans="1:19" x14ac:dyDescent="0.25">
      <c r="A638">
        <v>637</v>
      </c>
      <c r="B638">
        <v>17855756</v>
      </c>
      <c r="C638" t="s">
        <v>2797</v>
      </c>
      <c r="D638" t="s">
        <v>1462</v>
      </c>
      <c r="E638" t="s">
        <v>94</v>
      </c>
      <c r="F638" t="s">
        <v>95</v>
      </c>
      <c r="H638" t="s">
        <v>2371</v>
      </c>
      <c r="I638">
        <v>5</v>
      </c>
      <c r="J638" t="s">
        <v>2208</v>
      </c>
      <c r="K638" t="s">
        <v>57</v>
      </c>
      <c r="L638">
        <v>458</v>
      </c>
      <c r="N638" t="s">
        <v>2486</v>
      </c>
      <c r="O638">
        <v>2013</v>
      </c>
      <c r="P638">
        <v>2013</v>
      </c>
      <c r="Q638" s="1"/>
      <c r="R638" s="1">
        <v>43832</v>
      </c>
      <c r="S638" t="s">
        <v>16</v>
      </c>
    </row>
    <row r="639" spans="1:19" x14ac:dyDescent="0.25">
      <c r="A639">
        <v>638</v>
      </c>
      <c r="B639">
        <v>17306293</v>
      </c>
      <c r="C639" t="s">
        <v>2798</v>
      </c>
      <c r="D639" t="s">
        <v>1463</v>
      </c>
      <c r="E639" t="s">
        <v>94</v>
      </c>
      <c r="F639" t="s">
        <v>95</v>
      </c>
      <c r="H639" t="str">
        <f>"9788028411954"</f>
        <v>9788028411954</v>
      </c>
      <c r="I639">
        <v>5</v>
      </c>
      <c r="J639" t="s">
        <v>2208</v>
      </c>
      <c r="K639" t="s">
        <v>57</v>
      </c>
      <c r="L639">
        <v>579</v>
      </c>
      <c r="N639" t="s">
        <v>2486</v>
      </c>
      <c r="O639">
        <v>2013</v>
      </c>
      <c r="P639">
        <v>2013</v>
      </c>
      <c r="Q639" s="1"/>
      <c r="R639" s="1">
        <v>43832</v>
      </c>
      <c r="S639" t="s">
        <v>16</v>
      </c>
    </row>
    <row r="640" spans="1:19" x14ac:dyDescent="0.25">
      <c r="A640">
        <v>639</v>
      </c>
      <c r="B640">
        <v>13453029</v>
      </c>
      <c r="C640" t="s">
        <v>2796</v>
      </c>
      <c r="D640" t="s">
        <v>1464</v>
      </c>
      <c r="E640" t="s">
        <v>94</v>
      </c>
      <c r="F640" t="s">
        <v>95</v>
      </c>
      <c r="H640" t="str">
        <f>"9788056640258"</f>
        <v>9788056640258</v>
      </c>
      <c r="I640">
        <v>5</v>
      </c>
      <c r="J640" t="s">
        <v>1770</v>
      </c>
      <c r="K640" t="s">
        <v>2488</v>
      </c>
      <c r="L640">
        <v>509</v>
      </c>
      <c r="N640" t="s">
        <v>2494</v>
      </c>
      <c r="O640">
        <v>2012</v>
      </c>
      <c r="P640">
        <v>2012</v>
      </c>
      <c r="Q640" s="1"/>
      <c r="R640" s="1">
        <v>43832</v>
      </c>
      <c r="S640" t="s">
        <v>16</v>
      </c>
    </row>
    <row r="641" spans="1:19" x14ac:dyDescent="0.25">
      <c r="A641">
        <v>640</v>
      </c>
      <c r="B641">
        <v>9245915</v>
      </c>
      <c r="C641" t="s">
        <v>1465</v>
      </c>
      <c r="D641" t="s">
        <v>17</v>
      </c>
      <c r="E641" t="s">
        <v>1340</v>
      </c>
      <c r="F641" t="s">
        <v>1341</v>
      </c>
      <c r="H641" t="s">
        <v>2372</v>
      </c>
      <c r="I641">
        <v>5</v>
      </c>
      <c r="J641" t="s">
        <v>2235</v>
      </c>
      <c r="K641" t="s">
        <v>2488</v>
      </c>
      <c r="L641">
        <v>280</v>
      </c>
      <c r="N641" t="s">
        <v>2494</v>
      </c>
      <c r="O641">
        <v>2009</v>
      </c>
      <c r="P641">
        <v>2009</v>
      </c>
      <c r="Q641" s="1"/>
      <c r="R641" s="1">
        <v>43832</v>
      </c>
      <c r="S641" t="s">
        <v>16</v>
      </c>
    </row>
    <row r="642" spans="1:19" x14ac:dyDescent="0.25">
      <c r="A642">
        <v>641</v>
      </c>
      <c r="B642">
        <v>21396277</v>
      </c>
      <c r="C642" t="s">
        <v>1466</v>
      </c>
      <c r="D642" t="s">
        <v>2597</v>
      </c>
      <c r="E642" t="s">
        <v>215</v>
      </c>
      <c r="F642" t="s">
        <v>216</v>
      </c>
      <c r="H642" t="s">
        <v>2373</v>
      </c>
      <c r="I642">
        <v>3</v>
      </c>
      <c r="J642" t="s">
        <v>1759</v>
      </c>
      <c r="K642" t="s">
        <v>2488</v>
      </c>
      <c r="L642">
        <v>304</v>
      </c>
      <c r="N642" t="s">
        <v>2494</v>
      </c>
      <c r="O642">
        <v>2014</v>
      </c>
      <c r="P642">
        <v>2014</v>
      </c>
      <c r="Q642" s="1"/>
      <c r="R642" s="1">
        <v>43832</v>
      </c>
      <c r="S642" t="s">
        <v>16</v>
      </c>
    </row>
    <row r="643" spans="1:19" x14ac:dyDescent="0.25">
      <c r="A643">
        <v>642</v>
      </c>
      <c r="B643">
        <v>16131489</v>
      </c>
      <c r="C643" t="s">
        <v>2801</v>
      </c>
      <c r="D643" t="s">
        <v>1467</v>
      </c>
      <c r="E643" t="s">
        <v>1468</v>
      </c>
      <c r="F643" t="s">
        <v>1469</v>
      </c>
      <c r="H643" t="s">
        <v>2374</v>
      </c>
      <c r="I643">
        <v>4</v>
      </c>
      <c r="J643" t="s">
        <v>1723</v>
      </c>
      <c r="K643" t="s">
        <v>57</v>
      </c>
      <c r="L643">
        <v>338</v>
      </c>
      <c r="N643" t="s">
        <v>2486</v>
      </c>
      <c r="O643">
        <v>2016</v>
      </c>
      <c r="P643">
        <v>2016</v>
      </c>
      <c r="Q643" s="1"/>
      <c r="R643" s="1">
        <v>43832</v>
      </c>
      <c r="S643" t="s">
        <v>16</v>
      </c>
    </row>
    <row r="644" spans="1:19" x14ac:dyDescent="0.25">
      <c r="A644">
        <v>643</v>
      </c>
      <c r="B644">
        <v>16131484</v>
      </c>
      <c r="C644" t="s">
        <v>2800</v>
      </c>
      <c r="D644" t="s">
        <v>1470</v>
      </c>
      <c r="E644" t="s">
        <v>1468</v>
      </c>
      <c r="F644" t="s">
        <v>1469</v>
      </c>
      <c r="H644" t="s">
        <v>2375</v>
      </c>
      <c r="I644">
        <v>4</v>
      </c>
      <c r="J644" t="s">
        <v>1723</v>
      </c>
      <c r="K644" t="s">
        <v>57</v>
      </c>
      <c r="L644">
        <v>320</v>
      </c>
      <c r="N644" t="s">
        <v>2486</v>
      </c>
      <c r="O644">
        <v>2014</v>
      </c>
      <c r="P644">
        <v>2014</v>
      </c>
      <c r="Q644" s="1"/>
      <c r="R644" s="1">
        <v>43832</v>
      </c>
      <c r="S644" t="s">
        <v>16</v>
      </c>
    </row>
    <row r="645" spans="1:19" x14ac:dyDescent="0.25">
      <c r="A645">
        <v>644</v>
      </c>
      <c r="B645">
        <v>16101128</v>
      </c>
      <c r="C645" t="s">
        <v>2799</v>
      </c>
      <c r="D645" t="s">
        <v>1471</v>
      </c>
      <c r="E645" t="s">
        <v>1468</v>
      </c>
      <c r="F645" t="s">
        <v>1469</v>
      </c>
      <c r="H645" t="s">
        <v>2376</v>
      </c>
      <c r="I645">
        <v>5</v>
      </c>
      <c r="J645" t="s">
        <v>1723</v>
      </c>
      <c r="K645" t="s">
        <v>57</v>
      </c>
      <c r="L645">
        <v>457</v>
      </c>
      <c r="N645" t="s">
        <v>2486</v>
      </c>
      <c r="O645">
        <v>2013</v>
      </c>
      <c r="P645">
        <v>2013</v>
      </c>
      <c r="Q645" s="1"/>
      <c r="R645" s="1">
        <v>43831</v>
      </c>
      <c r="S645" t="s">
        <v>16</v>
      </c>
    </row>
    <row r="646" spans="1:19" x14ac:dyDescent="0.25">
      <c r="A646">
        <v>645</v>
      </c>
      <c r="B646">
        <v>18888566</v>
      </c>
      <c r="C646" t="s">
        <v>1472</v>
      </c>
      <c r="D646" t="s">
        <v>17</v>
      </c>
      <c r="E646" t="s">
        <v>1473</v>
      </c>
      <c r="F646" t="s">
        <v>1474</v>
      </c>
      <c r="H646" t="str">
        <f>"9788072436927"</f>
        <v>9788072436927</v>
      </c>
      <c r="I646">
        <v>3</v>
      </c>
      <c r="J646" t="s">
        <v>2377</v>
      </c>
      <c r="K646" t="s">
        <v>2488</v>
      </c>
      <c r="L646">
        <v>130</v>
      </c>
      <c r="N646" t="s">
        <v>2494</v>
      </c>
      <c r="O646">
        <v>2013</v>
      </c>
      <c r="P646">
        <v>2013</v>
      </c>
      <c r="Q646" s="1"/>
      <c r="R646" s="1">
        <v>43832</v>
      </c>
      <c r="S646" t="s">
        <v>16</v>
      </c>
    </row>
    <row r="647" spans="1:19" x14ac:dyDescent="0.25">
      <c r="A647">
        <v>646</v>
      </c>
      <c r="B647">
        <v>15729261</v>
      </c>
      <c r="C647" t="s">
        <v>2802</v>
      </c>
      <c r="D647" t="s">
        <v>1475</v>
      </c>
      <c r="E647" t="s">
        <v>1476</v>
      </c>
      <c r="F647" t="s">
        <v>1477</v>
      </c>
      <c r="H647" t="str">
        <f>"9788055138404"</f>
        <v>9788055138404</v>
      </c>
      <c r="I647">
        <v>4</v>
      </c>
      <c r="J647" t="s">
        <v>1668</v>
      </c>
      <c r="K647" t="s">
        <v>2488</v>
      </c>
      <c r="L647">
        <v>328</v>
      </c>
      <c r="N647" t="s">
        <v>2494</v>
      </c>
      <c r="O647">
        <v>2012</v>
      </c>
      <c r="P647">
        <v>2012</v>
      </c>
      <c r="Q647" s="1"/>
      <c r="R647" s="1">
        <v>43832</v>
      </c>
      <c r="S647" t="s">
        <v>16</v>
      </c>
    </row>
    <row r="648" spans="1:19" x14ac:dyDescent="0.25">
      <c r="A648">
        <v>647</v>
      </c>
      <c r="B648">
        <v>13131625</v>
      </c>
      <c r="C648" t="s">
        <v>2803</v>
      </c>
      <c r="D648" t="s">
        <v>17</v>
      </c>
      <c r="E648" t="s">
        <v>1478</v>
      </c>
      <c r="F648" t="s">
        <v>1479</v>
      </c>
      <c r="H648" t="s">
        <v>2378</v>
      </c>
      <c r="I648">
        <v>3</v>
      </c>
      <c r="J648" t="s">
        <v>1668</v>
      </c>
      <c r="K648" t="s">
        <v>2488</v>
      </c>
      <c r="L648">
        <v>336</v>
      </c>
      <c r="N648" t="s">
        <v>2494</v>
      </c>
      <c r="O648">
        <v>2013</v>
      </c>
      <c r="P648">
        <v>2013</v>
      </c>
      <c r="Q648" s="1"/>
      <c r="R648" s="1">
        <v>43832</v>
      </c>
      <c r="S648" t="s">
        <v>16</v>
      </c>
    </row>
    <row r="649" spans="1:19" x14ac:dyDescent="0.25">
      <c r="A649">
        <v>648</v>
      </c>
      <c r="B649">
        <v>30965660</v>
      </c>
      <c r="C649" t="s">
        <v>2804</v>
      </c>
      <c r="D649" t="s">
        <v>1480</v>
      </c>
      <c r="E649" t="s">
        <v>1291</v>
      </c>
      <c r="F649" t="s">
        <v>1292</v>
      </c>
      <c r="H649" t="s">
        <v>2379</v>
      </c>
      <c r="I649">
        <v>4</v>
      </c>
      <c r="J649" t="s">
        <v>1668</v>
      </c>
      <c r="K649" t="s">
        <v>2488</v>
      </c>
      <c r="L649">
        <v>767</v>
      </c>
      <c r="N649" t="s">
        <v>2494</v>
      </c>
      <c r="O649">
        <v>2017</v>
      </c>
      <c r="P649">
        <v>2016</v>
      </c>
      <c r="Q649" s="1"/>
      <c r="R649" s="1">
        <v>43832</v>
      </c>
      <c r="S649" t="s">
        <v>16</v>
      </c>
    </row>
    <row r="650" spans="1:19" x14ac:dyDescent="0.25">
      <c r="A650">
        <v>649</v>
      </c>
      <c r="B650">
        <v>21094993</v>
      </c>
      <c r="C650" t="s">
        <v>2805</v>
      </c>
      <c r="D650" t="s">
        <v>17</v>
      </c>
      <c r="E650" t="s">
        <v>70</v>
      </c>
      <c r="F650" t="s">
        <v>71</v>
      </c>
      <c r="H650" t="s">
        <v>2380</v>
      </c>
      <c r="I650">
        <v>5</v>
      </c>
      <c r="J650" t="s">
        <v>1668</v>
      </c>
      <c r="K650" t="s">
        <v>2488</v>
      </c>
      <c r="L650">
        <v>421</v>
      </c>
      <c r="N650" t="s">
        <v>2494</v>
      </c>
      <c r="O650">
        <v>2014</v>
      </c>
      <c r="P650">
        <v>2013</v>
      </c>
      <c r="Q650" s="1"/>
      <c r="R650" s="1">
        <v>43832</v>
      </c>
      <c r="S650" t="s">
        <v>16</v>
      </c>
    </row>
    <row r="651" spans="1:19" x14ac:dyDescent="0.25">
      <c r="A651">
        <v>650</v>
      </c>
      <c r="B651">
        <v>14165516</v>
      </c>
      <c r="C651" t="s">
        <v>2806</v>
      </c>
      <c r="D651" t="s">
        <v>1481</v>
      </c>
      <c r="E651" t="s">
        <v>1476</v>
      </c>
      <c r="F651" t="s">
        <v>1477</v>
      </c>
      <c r="H651" t="str">
        <f>"9788055138022"</f>
        <v>9788055138022</v>
      </c>
      <c r="I651">
        <v>4</v>
      </c>
      <c r="J651" t="s">
        <v>1668</v>
      </c>
      <c r="K651" t="s">
        <v>2488</v>
      </c>
      <c r="L651">
        <v>328</v>
      </c>
      <c r="N651" t="s">
        <v>2494</v>
      </c>
      <c r="O651">
        <v>2012</v>
      </c>
      <c r="P651">
        <v>2012</v>
      </c>
      <c r="Q651" s="1"/>
      <c r="R651" s="1">
        <v>43832</v>
      </c>
      <c r="S651" t="s">
        <v>16</v>
      </c>
    </row>
    <row r="652" spans="1:19" x14ac:dyDescent="0.25">
      <c r="A652">
        <v>651</v>
      </c>
      <c r="B652">
        <v>15803181</v>
      </c>
      <c r="C652" t="s">
        <v>2807</v>
      </c>
      <c r="D652" t="s">
        <v>17</v>
      </c>
      <c r="E652" t="s">
        <v>1482</v>
      </c>
      <c r="F652" t="s">
        <v>1483</v>
      </c>
      <c r="H652" t="s">
        <v>2381</v>
      </c>
      <c r="I652">
        <v>2</v>
      </c>
      <c r="J652" t="s">
        <v>1668</v>
      </c>
      <c r="K652" t="s">
        <v>2488</v>
      </c>
      <c r="L652">
        <v>256</v>
      </c>
      <c r="N652" t="s">
        <v>2494</v>
      </c>
      <c r="O652">
        <v>2013</v>
      </c>
      <c r="P652">
        <v>2013</v>
      </c>
      <c r="Q652" s="1"/>
      <c r="R652" s="1">
        <v>43832</v>
      </c>
      <c r="S652" t="s">
        <v>16</v>
      </c>
    </row>
    <row r="653" spans="1:19" x14ac:dyDescent="0.25">
      <c r="A653">
        <v>652</v>
      </c>
      <c r="B653">
        <v>18710190</v>
      </c>
      <c r="C653" t="s">
        <v>2808</v>
      </c>
      <c r="D653" t="s">
        <v>1484</v>
      </c>
      <c r="E653" t="s">
        <v>813</v>
      </c>
      <c r="F653" t="s">
        <v>814</v>
      </c>
      <c r="H653" t="s">
        <v>2382</v>
      </c>
      <c r="I653">
        <v>5</v>
      </c>
      <c r="J653" t="s">
        <v>1668</v>
      </c>
      <c r="K653" t="s">
        <v>57</v>
      </c>
      <c r="L653">
        <v>531</v>
      </c>
      <c r="N653" t="s">
        <v>2494</v>
      </c>
      <c r="O653">
        <v>2013</v>
      </c>
      <c r="P653">
        <v>2013</v>
      </c>
      <c r="Q653" s="1"/>
      <c r="R653" s="1">
        <v>43832</v>
      </c>
      <c r="S653" t="s">
        <v>16</v>
      </c>
    </row>
    <row r="654" spans="1:19" x14ac:dyDescent="0.25">
      <c r="A654">
        <v>653</v>
      </c>
      <c r="B654">
        <v>1239618</v>
      </c>
      <c r="C654" t="s">
        <v>1485</v>
      </c>
      <c r="D654" t="s">
        <v>17</v>
      </c>
      <c r="E654" t="s">
        <v>1115</v>
      </c>
      <c r="F654" t="s">
        <v>1116</v>
      </c>
      <c r="H654" t="s">
        <v>2383</v>
      </c>
      <c r="I654">
        <v>4</v>
      </c>
      <c r="J654" t="s">
        <v>2811</v>
      </c>
      <c r="K654" t="s">
        <v>57</v>
      </c>
      <c r="L654">
        <v>310</v>
      </c>
      <c r="N654" t="s">
        <v>2603</v>
      </c>
      <c r="O654">
        <v>2000</v>
      </c>
      <c r="P654">
        <v>2000</v>
      </c>
      <c r="Q654" s="1"/>
      <c r="R654" s="1">
        <v>43832</v>
      </c>
      <c r="S654" t="s">
        <v>16</v>
      </c>
    </row>
    <row r="655" spans="1:19" x14ac:dyDescent="0.25">
      <c r="A655">
        <v>654</v>
      </c>
      <c r="B655">
        <v>23190986</v>
      </c>
      <c r="C655" t="s">
        <v>2812</v>
      </c>
      <c r="D655" t="s">
        <v>1486</v>
      </c>
      <c r="E655" t="s">
        <v>302</v>
      </c>
      <c r="F655" t="s">
        <v>303</v>
      </c>
      <c r="H655" t="str">
        <f>"9788022206914"</f>
        <v>9788022206914</v>
      </c>
      <c r="I655">
        <v>5</v>
      </c>
      <c r="J655" t="s">
        <v>1723</v>
      </c>
      <c r="K655" t="s">
        <v>2488</v>
      </c>
      <c r="L655">
        <v>968</v>
      </c>
      <c r="N655" t="s">
        <v>2494</v>
      </c>
      <c r="O655">
        <v>2014</v>
      </c>
      <c r="P655">
        <v>2014</v>
      </c>
      <c r="Q655" s="1"/>
      <c r="R655" s="1">
        <v>43832</v>
      </c>
      <c r="S655" t="s">
        <v>16</v>
      </c>
    </row>
    <row r="656" spans="1:19" x14ac:dyDescent="0.25">
      <c r="A656">
        <v>655</v>
      </c>
      <c r="B656">
        <v>12959233</v>
      </c>
      <c r="C656" t="s">
        <v>2813</v>
      </c>
      <c r="D656" t="s">
        <v>1487</v>
      </c>
      <c r="E656" t="s">
        <v>302</v>
      </c>
      <c r="F656" t="s">
        <v>303</v>
      </c>
      <c r="H656" t="s">
        <v>2384</v>
      </c>
      <c r="I656">
        <v>5</v>
      </c>
      <c r="J656" t="s">
        <v>1723</v>
      </c>
      <c r="K656" t="s">
        <v>2488</v>
      </c>
      <c r="L656">
        <v>940</v>
      </c>
      <c r="N656" t="s">
        <v>2494</v>
      </c>
      <c r="O656">
        <v>2012</v>
      </c>
      <c r="P656">
        <v>2012</v>
      </c>
      <c r="Q656" s="1"/>
      <c r="R656" s="1">
        <v>43832</v>
      </c>
      <c r="S656" t="s">
        <v>16</v>
      </c>
    </row>
    <row r="657" spans="1:19" x14ac:dyDescent="0.25">
      <c r="A657">
        <v>656</v>
      </c>
      <c r="B657">
        <v>7315573</v>
      </c>
      <c r="C657" t="s">
        <v>2814</v>
      </c>
      <c r="D657" t="s">
        <v>1488</v>
      </c>
      <c r="E657" t="s">
        <v>302</v>
      </c>
      <c r="F657" t="s">
        <v>303</v>
      </c>
      <c r="H657" t="s">
        <v>2385</v>
      </c>
      <c r="I657">
        <v>5</v>
      </c>
      <c r="J657" t="s">
        <v>1723</v>
      </c>
      <c r="K657" t="s">
        <v>2488</v>
      </c>
      <c r="L657">
        <v>985</v>
      </c>
      <c r="N657" t="s">
        <v>2494</v>
      </c>
      <c r="O657">
        <v>2010</v>
      </c>
      <c r="P657">
        <v>2005</v>
      </c>
      <c r="Q657" s="1"/>
      <c r="R657" s="1">
        <v>43832</v>
      </c>
      <c r="S657" t="s">
        <v>16</v>
      </c>
    </row>
    <row r="658" spans="1:19" x14ac:dyDescent="0.25">
      <c r="A658">
        <v>657</v>
      </c>
      <c r="B658">
        <v>13648243</v>
      </c>
      <c r="C658" t="s">
        <v>1489</v>
      </c>
      <c r="D658" t="s">
        <v>1490</v>
      </c>
      <c r="E658" t="s">
        <v>1491</v>
      </c>
      <c r="F658" t="s">
        <v>1492</v>
      </c>
      <c r="H658" t="s">
        <v>2387</v>
      </c>
      <c r="I658">
        <v>3</v>
      </c>
      <c r="J658" t="s">
        <v>2388</v>
      </c>
      <c r="K658" t="s">
        <v>2488</v>
      </c>
      <c r="L658">
        <v>270</v>
      </c>
      <c r="N658" t="s">
        <v>2494</v>
      </c>
      <c r="O658">
        <v>2012</v>
      </c>
      <c r="P658">
        <v>2012</v>
      </c>
      <c r="Q658" s="1"/>
      <c r="R658" s="1">
        <v>43832</v>
      </c>
      <c r="S658" t="s">
        <v>16</v>
      </c>
    </row>
    <row r="659" spans="1:19" x14ac:dyDescent="0.25">
      <c r="A659">
        <v>658</v>
      </c>
      <c r="B659">
        <v>6202661</v>
      </c>
      <c r="C659" t="s">
        <v>2815</v>
      </c>
      <c r="D659" t="s">
        <v>1493</v>
      </c>
      <c r="E659" t="s">
        <v>1460</v>
      </c>
      <c r="F659" t="s">
        <v>1461</v>
      </c>
      <c r="H659" t="s">
        <v>2389</v>
      </c>
      <c r="I659">
        <v>4</v>
      </c>
      <c r="J659" t="s">
        <v>2816</v>
      </c>
      <c r="K659" t="s">
        <v>2488</v>
      </c>
      <c r="L659">
        <v>307</v>
      </c>
      <c r="N659" t="s">
        <v>2486</v>
      </c>
      <c r="O659">
        <v>2009</v>
      </c>
      <c r="P659">
        <v>2009</v>
      </c>
      <c r="Q659" s="1"/>
      <c r="R659" s="1">
        <v>43832</v>
      </c>
      <c r="S659" t="s">
        <v>16</v>
      </c>
    </row>
    <row r="660" spans="1:19" x14ac:dyDescent="0.25">
      <c r="A660">
        <v>659</v>
      </c>
      <c r="B660">
        <v>13486122</v>
      </c>
      <c r="C660" t="s">
        <v>2817</v>
      </c>
      <c r="D660" t="s">
        <v>1494</v>
      </c>
      <c r="E660" t="s">
        <v>1476</v>
      </c>
      <c r="F660" t="s">
        <v>1477</v>
      </c>
      <c r="H660" t="s">
        <v>2390</v>
      </c>
      <c r="I660">
        <v>4</v>
      </c>
      <c r="J660" t="s">
        <v>1668</v>
      </c>
      <c r="K660" t="s">
        <v>2488</v>
      </c>
      <c r="L660">
        <v>248</v>
      </c>
      <c r="N660" t="s">
        <v>2494</v>
      </c>
      <c r="O660">
        <v>2012</v>
      </c>
      <c r="P660">
        <v>2010</v>
      </c>
      <c r="Q660" s="1"/>
      <c r="R660" s="1">
        <v>43832</v>
      </c>
      <c r="S660" t="s">
        <v>16</v>
      </c>
    </row>
    <row r="661" spans="1:19" x14ac:dyDescent="0.25">
      <c r="A661">
        <v>660</v>
      </c>
      <c r="B661">
        <v>7992964</v>
      </c>
      <c r="C661" t="s">
        <v>1495</v>
      </c>
      <c r="D661" t="s">
        <v>17</v>
      </c>
      <c r="E661" t="s">
        <v>1115</v>
      </c>
      <c r="F661" t="s">
        <v>1116</v>
      </c>
      <c r="H661" t="s">
        <v>2391</v>
      </c>
      <c r="I661">
        <v>5</v>
      </c>
      <c r="J661" t="s">
        <v>2392</v>
      </c>
      <c r="K661" t="s">
        <v>57</v>
      </c>
      <c r="L661">
        <v>387</v>
      </c>
      <c r="N661" t="s">
        <v>2603</v>
      </c>
      <c r="O661">
        <v>2010</v>
      </c>
      <c r="P661">
        <v>2010</v>
      </c>
      <c r="Q661" s="1"/>
      <c r="R661" s="1">
        <v>43832</v>
      </c>
      <c r="S661" t="s">
        <v>16</v>
      </c>
    </row>
    <row r="662" spans="1:19" x14ac:dyDescent="0.25">
      <c r="A662">
        <v>661</v>
      </c>
      <c r="B662">
        <v>16158525</v>
      </c>
      <c r="C662" t="s">
        <v>2818</v>
      </c>
      <c r="D662" t="s">
        <v>17</v>
      </c>
      <c r="E662" t="s">
        <v>1496</v>
      </c>
      <c r="F662" t="s">
        <v>1497</v>
      </c>
      <c r="H662" t="s">
        <v>2393</v>
      </c>
      <c r="I662">
        <v>5</v>
      </c>
      <c r="J662" t="s">
        <v>1668</v>
      </c>
      <c r="K662" t="s">
        <v>2488</v>
      </c>
      <c r="L662">
        <v>303</v>
      </c>
      <c r="N662" t="s">
        <v>2494</v>
      </c>
      <c r="O662">
        <v>2013</v>
      </c>
      <c r="P662">
        <v>2013</v>
      </c>
      <c r="Q662" s="1"/>
      <c r="R662" s="1">
        <v>43832</v>
      </c>
      <c r="S662" t="s">
        <v>16</v>
      </c>
    </row>
    <row r="663" spans="1:19" x14ac:dyDescent="0.25">
      <c r="A663">
        <v>662</v>
      </c>
      <c r="B663">
        <v>36578942</v>
      </c>
      <c r="C663" t="s">
        <v>2819</v>
      </c>
      <c r="D663" t="s">
        <v>1498</v>
      </c>
      <c r="E663" t="s">
        <v>70</v>
      </c>
      <c r="F663" t="s">
        <v>71</v>
      </c>
      <c r="H663" t="str">
        <f>"9788055135083"</f>
        <v>9788055135083</v>
      </c>
      <c r="I663">
        <v>5</v>
      </c>
      <c r="J663" t="s">
        <v>1668</v>
      </c>
      <c r="K663" t="s">
        <v>2488</v>
      </c>
      <c r="L663">
        <v>396</v>
      </c>
      <c r="N663" t="s">
        <v>2494</v>
      </c>
      <c r="O663">
        <v>2012</v>
      </c>
      <c r="P663">
        <v>2009</v>
      </c>
      <c r="Q663" s="1"/>
      <c r="R663" s="1">
        <v>43832</v>
      </c>
      <c r="S663" t="s">
        <v>16</v>
      </c>
    </row>
    <row r="664" spans="1:19" x14ac:dyDescent="0.25">
      <c r="A664">
        <v>663</v>
      </c>
      <c r="B664">
        <v>13057652</v>
      </c>
      <c r="C664" t="s">
        <v>2820</v>
      </c>
      <c r="D664" t="s">
        <v>1499</v>
      </c>
      <c r="E664" t="s">
        <v>184</v>
      </c>
      <c r="F664" t="s">
        <v>185</v>
      </c>
      <c r="H664" t="s">
        <v>2394</v>
      </c>
      <c r="I664">
        <v>3</v>
      </c>
      <c r="J664" t="s">
        <v>1668</v>
      </c>
      <c r="K664" t="s">
        <v>2488</v>
      </c>
      <c r="L664">
        <v>576</v>
      </c>
      <c r="N664" t="s">
        <v>2494</v>
      </c>
      <c r="O664">
        <v>2013</v>
      </c>
      <c r="P664">
        <v>2011</v>
      </c>
      <c r="Q664" s="1"/>
      <c r="R664" s="1">
        <v>43832</v>
      </c>
      <c r="S664" t="s">
        <v>16</v>
      </c>
    </row>
    <row r="665" spans="1:19" x14ac:dyDescent="0.25">
      <c r="A665">
        <v>664</v>
      </c>
      <c r="B665">
        <v>13497818</v>
      </c>
      <c r="C665" t="s">
        <v>2821</v>
      </c>
      <c r="D665" t="s">
        <v>17</v>
      </c>
      <c r="E665" t="s">
        <v>1427</v>
      </c>
      <c r="F665" t="s">
        <v>1428</v>
      </c>
      <c r="H665" t="s">
        <v>2395</v>
      </c>
      <c r="I665">
        <v>2</v>
      </c>
      <c r="J665" t="s">
        <v>2266</v>
      </c>
      <c r="K665" t="s">
        <v>2488</v>
      </c>
      <c r="L665">
        <v>503</v>
      </c>
      <c r="N665" t="s">
        <v>2494</v>
      </c>
      <c r="O665">
        <v>2013</v>
      </c>
      <c r="P665">
        <v>2012</v>
      </c>
      <c r="Q665" s="1"/>
      <c r="R665" s="1">
        <v>43832</v>
      </c>
      <c r="S665" t="s">
        <v>16</v>
      </c>
    </row>
    <row r="666" spans="1:19" x14ac:dyDescent="0.25">
      <c r="A666">
        <v>665</v>
      </c>
      <c r="B666">
        <v>17887732</v>
      </c>
      <c r="C666" t="s">
        <v>1500</v>
      </c>
      <c r="D666" t="s">
        <v>17</v>
      </c>
      <c r="E666" t="s">
        <v>1501</v>
      </c>
      <c r="F666" t="s">
        <v>1502</v>
      </c>
      <c r="H666" t="s">
        <v>2396</v>
      </c>
      <c r="I666">
        <v>2</v>
      </c>
      <c r="J666" t="s">
        <v>1668</v>
      </c>
      <c r="K666" t="s">
        <v>2488</v>
      </c>
      <c r="L666">
        <v>128</v>
      </c>
      <c r="N666" t="s">
        <v>2494</v>
      </c>
      <c r="O666">
        <v>2013</v>
      </c>
      <c r="P666">
        <v>2013</v>
      </c>
      <c r="Q666" s="1"/>
      <c r="R666" s="1">
        <v>43832</v>
      </c>
      <c r="S666" t="s">
        <v>16</v>
      </c>
    </row>
    <row r="667" spans="1:19" x14ac:dyDescent="0.25">
      <c r="A667">
        <v>666</v>
      </c>
      <c r="B667">
        <v>17332049</v>
      </c>
      <c r="C667" t="s">
        <v>1503</v>
      </c>
      <c r="D667" t="s">
        <v>17</v>
      </c>
      <c r="E667" t="s">
        <v>1504</v>
      </c>
      <c r="F667" t="s">
        <v>1505</v>
      </c>
      <c r="H667" t="s">
        <v>2397</v>
      </c>
      <c r="I667">
        <v>3</v>
      </c>
      <c r="J667" t="s">
        <v>2235</v>
      </c>
      <c r="K667" t="s">
        <v>2488</v>
      </c>
      <c r="L667">
        <v>183</v>
      </c>
      <c r="N667" t="s">
        <v>2494</v>
      </c>
      <c r="O667">
        <v>2013</v>
      </c>
      <c r="P667">
        <v>2013</v>
      </c>
      <c r="Q667" s="1"/>
      <c r="R667" s="1">
        <v>43832</v>
      </c>
      <c r="S667" t="s">
        <v>16</v>
      </c>
    </row>
    <row r="668" spans="1:19" x14ac:dyDescent="0.25">
      <c r="A668">
        <v>667</v>
      </c>
      <c r="B668">
        <v>26891429</v>
      </c>
      <c r="C668" t="s">
        <v>2822</v>
      </c>
      <c r="D668" t="s">
        <v>1506</v>
      </c>
      <c r="E668" t="s">
        <v>1507</v>
      </c>
      <c r="F668" t="s">
        <v>1508</v>
      </c>
      <c r="H668" t="s">
        <v>2398</v>
      </c>
      <c r="I668">
        <v>5</v>
      </c>
      <c r="J668" t="s">
        <v>1668</v>
      </c>
      <c r="K668" t="s">
        <v>2488</v>
      </c>
      <c r="L668">
        <v>602</v>
      </c>
      <c r="N668" t="s">
        <v>2494</v>
      </c>
      <c r="O668">
        <v>2016</v>
      </c>
      <c r="P668">
        <v>2016</v>
      </c>
      <c r="Q668" s="1"/>
      <c r="R668" s="1">
        <v>43832</v>
      </c>
      <c r="S668" t="s">
        <v>16</v>
      </c>
    </row>
    <row r="669" spans="1:19" x14ac:dyDescent="0.25">
      <c r="A669">
        <v>668</v>
      </c>
      <c r="B669">
        <v>13281368</v>
      </c>
      <c r="C669" t="s">
        <v>2823</v>
      </c>
      <c r="D669" t="s">
        <v>1509</v>
      </c>
      <c r="E669" t="s">
        <v>1507</v>
      </c>
      <c r="F669" t="s">
        <v>1508</v>
      </c>
      <c r="H669" t="s">
        <v>2399</v>
      </c>
      <c r="I669">
        <v>5</v>
      </c>
      <c r="J669" t="s">
        <v>1668</v>
      </c>
      <c r="K669" t="s">
        <v>2488</v>
      </c>
      <c r="L669">
        <v>592</v>
      </c>
      <c r="N669" t="s">
        <v>2494</v>
      </c>
      <c r="O669">
        <v>2012</v>
      </c>
      <c r="P669">
        <v>2012</v>
      </c>
      <c r="Q669" s="1"/>
      <c r="R669" s="1">
        <v>43832</v>
      </c>
      <c r="S669" t="s">
        <v>16</v>
      </c>
    </row>
    <row r="670" spans="1:19" x14ac:dyDescent="0.25">
      <c r="A670">
        <v>669</v>
      </c>
      <c r="B670">
        <v>12135994</v>
      </c>
      <c r="C670" t="s">
        <v>1510</v>
      </c>
      <c r="D670" t="s">
        <v>17</v>
      </c>
      <c r="E670" t="s">
        <v>1511</v>
      </c>
      <c r="F670" t="s">
        <v>1512</v>
      </c>
      <c r="H670" t="s">
        <v>2400</v>
      </c>
      <c r="I670">
        <v>5</v>
      </c>
      <c r="J670" t="s">
        <v>1703</v>
      </c>
      <c r="K670" t="s">
        <v>2488</v>
      </c>
      <c r="L670">
        <v>260</v>
      </c>
      <c r="N670" t="s">
        <v>2494</v>
      </c>
      <c r="O670">
        <v>2012</v>
      </c>
      <c r="P670">
        <v>2009</v>
      </c>
      <c r="Q670" s="1"/>
      <c r="R670" s="1">
        <v>43832</v>
      </c>
      <c r="S670" t="s">
        <v>16</v>
      </c>
    </row>
    <row r="671" spans="1:19" x14ac:dyDescent="0.25">
      <c r="A671">
        <v>670</v>
      </c>
      <c r="B671">
        <v>5063647</v>
      </c>
      <c r="C671" t="s">
        <v>1513</v>
      </c>
      <c r="D671" t="s">
        <v>17</v>
      </c>
      <c r="E671" t="s">
        <v>1115</v>
      </c>
      <c r="F671" t="s">
        <v>1116</v>
      </c>
      <c r="H671" t="s">
        <v>2401</v>
      </c>
      <c r="I671">
        <v>4</v>
      </c>
      <c r="J671" t="s">
        <v>2402</v>
      </c>
      <c r="K671" t="s">
        <v>57</v>
      </c>
      <c r="L671">
        <v>370</v>
      </c>
      <c r="N671" t="s">
        <v>2603</v>
      </c>
      <c r="O671">
        <v>2009</v>
      </c>
      <c r="P671">
        <v>2008</v>
      </c>
      <c r="Q671" s="1"/>
      <c r="R671" s="1">
        <v>43832</v>
      </c>
      <c r="S671" t="s">
        <v>16</v>
      </c>
    </row>
    <row r="672" spans="1:19" x14ac:dyDescent="0.25">
      <c r="A672">
        <v>671</v>
      </c>
      <c r="B672">
        <v>16046973</v>
      </c>
      <c r="C672" t="s">
        <v>1514</v>
      </c>
      <c r="D672" t="s">
        <v>17</v>
      </c>
      <c r="E672" t="s">
        <v>1515</v>
      </c>
      <c r="F672" t="s">
        <v>1516</v>
      </c>
      <c r="H672" t="s">
        <v>2403</v>
      </c>
      <c r="I672">
        <v>3</v>
      </c>
      <c r="J672" t="s">
        <v>1730</v>
      </c>
      <c r="K672" t="s">
        <v>2488</v>
      </c>
      <c r="L672">
        <v>216</v>
      </c>
      <c r="N672" t="s">
        <v>2494</v>
      </c>
      <c r="O672">
        <v>2012</v>
      </c>
      <c r="P672">
        <v>2012</v>
      </c>
      <c r="Q672" s="1"/>
      <c r="R672" s="1">
        <v>43832</v>
      </c>
      <c r="S672" t="s">
        <v>16</v>
      </c>
    </row>
    <row r="673" spans="1:19" x14ac:dyDescent="0.25">
      <c r="A673">
        <v>672</v>
      </c>
      <c r="B673">
        <v>49628</v>
      </c>
      <c r="C673" t="s">
        <v>2825</v>
      </c>
      <c r="D673" t="s">
        <v>17</v>
      </c>
      <c r="E673" t="s">
        <v>1517</v>
      </c>
      <c r="F673" t="s">
        <v>1518</v>
      </c>
      <c r="H673" t="s">
        <v>2404</v>
      </c>
      <c r="I673">
        <v>4</v>
      </c>
      <c r="J673" t="s">
        <v>2346</v>
      </c>
      <c r="K673" t="s">
        <v>57</v>
      </c>
      <c r="L673">
        <v>509</v>
      </c>
      <c r="N673" t="s">
        <v>2486</v>
      </c>
      <c r="O673">
        <v>2004</v>
      </c>
      <c r="P673">
        <v>2004</v>
      </c>
      <c r="Q673" s="1"/>
      <c r="R673" s="1">
        <v>43832</v>
      </c>
      <c r="S673" t="s">
        <v>16</v>
      </c>
    </row>
    <row r="674" spans="1:19" x14ac:dyDescent="0.25">
      <c r="A674">
        <v>673</v>
      </c>
      <c r="B674">
        <v>905885</v>
      </c>
      <c r="C674" t="s">
        <v>2826</v>
      </c>
      <c r="D674" t="s">
        <v>17</v>
      </c>
      <c r="E674" t="s">
        <v>1115</v>
      </c>
      <c r="F674" t="s">
        <v>1116</v>
      </c>
      <c r="H674" t="s">
        <v>2405</v>
      </c>
      <c r="I674">
        <v>4</v>
      </c>
      <c r="J674" t="s">
        <v>2221</v>
      </c>
      <c r="K674" t="s">
        <v>2488</v>
      </c>
      <c r="L674">
        <v>358</v>
      </c>
      <c r="N674" t="s">
        <v>2494</v>
      </c>
      <c r="O674">
        <v>2012</v>
      </c>
      <c r="P674">
        <v>2006</v>
      </c>
      <c r="Q674" s="1"/>
      <c r="R674" s="1">
        <v>43832</v>
      </c>
      <c r="S674" t="s">
        <v>16</v>
      </c>
    </row>
    <row r="675" spans="1:19" x14ac:dyDescent="0.25">
      <c r="A675">
        <v>674</v>
      </c>
      <c r="B675">
        <v>13536860</v>
      </c>
      <c r="C675" t="s">
        <v>2827</v>
      </c>
      <c r="D675" t="s">
        <v>1519</v>
      </c>
      <c r="E675" t="s">
        <v>1520</v>
      </c>
      <c r="F675" t="s">
        <v>1521</v>
      </c>
      <c r="H675" t="s">
        <v>2406</v>
      </c>
      <c r="I675">
        <v>2</v>
      </c>
      <c r="J675" t="s">
        <v>2198</v>
      </c>
      <c r="K675" t="s">
        <v>57</v>
      </c>
      <c r="L675">
        <v>579</v>
      </c>
      <c r="N675" t="s">
        <v>2486</v>
      </c>
      <c r="O675">
        <v>2013</v>
      </c>
      <c r="P675">
        <v>2012</v>
      </c>
      <c r="Q675" s="1"/>
      <c r="R675" s="1">
        <v>43832</v>
      </c>
      <c r="S675" t="s">
        <v>16</v>
      </c>
    </row>
    <row r="676" spans="1:19" x14ac:dyDescent="0.25">
      <c r="A676">
        <v>675</v>
      </c>
      <c r="B676">
        <v>11857408</v>
      </c>
      <c r="C676" t="s">
        <v>2828</v>
      </c>
      <c r="D676" t="s">
        <v>1522</v>
      </c>
      <c r="E676" t="s">
        <v>1520</v>
      </c>
      <c r="F676" t="s">
        <v>1521</v>
      </c>
      <c r="H676" t="s">
        <v>2407</v>
      </c>
      <c r="I676">
        <v>2</v>
      </c>
      <c r="J676" t="s">
        <v>2198</v>
      </c>
      <c r="K676" t="s">
        <v>57</v>
      </c>
      <c r="L676">
        <v>532</v>
      </c>
      <c r="N676" t="s">
        <v>2486</v>
      </c>
      <c r="O676">
        <v>2013</v>
      </c>
      <c r="P676">
        <v>2011</v>
      </c>
      <c r="Q676" s="1"/>
      <c r="R676" s="1">
        <v>43832</v>
      </c>
      <c r="S676" t="s">
        <v>16</v>
      </c>
    </row>
    <row r="677" spans="1:19" x14ac:dyDescent="0.25">
      <c r="A677">
        <v>676</v>
      </c>
      <c r="B677">
        <v>12476820</v>
      </c>
      <c r="C677" t="s">
        <v>2830</v>
      </c>
      <c r="D677" t="s">
        <v>1523</v>
      </c>
      <c r="E677" t="s">
        <v>1088</v>
      </c>
      <c r="F677" t="s">
        <v>1089</v>
      </c>
      <c r="H677" t="s">
        <v>2408</v>
      </c>
      <c r="I677">
        <v>4</v>
      </c>
      <c r="J677" t="s">
        <v>1668</v>
      </c>
      <c r="K677" t="s">
        <v>2488</v>
      </c>
      <c r="L677">
        <v>468</v>
      </c>
      <c r="N677" t="s">
        <v>2494</v>
      </c>
      <c r="O677">
        <v>2012</v>
      </c>
      <c r="P677">
        <v>2012</v>
      </c>
      <c r="Q677" s="1"/>
      <c r="R677" s="1">
        <v>43832</v>
      </c>
      <c r="S677" t="s">
        <v>16</v>
      </c>
    </row>
    <row r="678" spans="1:19" x14ac:dyDescent="0.25">
      <c r="A678">
        <v>677</v>
      </c>
      <c r="B678">
        <v>8492825</v>
      </c>
      <c r="C678" t="s">
        <v>1524</v>
      </c>
      <c r="D678" t="s">
        <v>1525</v>
      </c>
      <c r="E678" t="s">
        <v>1526</v>
      </c>
      <c r="F678" t="s">
        <v>1527</v>
      </c>
      <c r="H678" t="s">
        <v>2409</v>
      </c>
      <c r="I678">
        <v>4</v>
      </c>
      <c r="J678" t="s">
        <v>2410</v>
      </c>
      <c r="K678" t="s">
        <v>57</v>
      </c>
      <c r="L678">
        <v>264</v>
      </c>
      <c r="N678" t="s">
        <v>2603</v>
      </c>
      <c r="O678">
        <v>2011</v>
      </c>
      <c r="P678">
        <v>2011</v>
      </c>
      <c r="Q678" s="1"/>
      <c r="R678" s="1">
        <v>43832</v>
      </c>
      <c r="S678" t="s">
        <v>16</v>
      </c>
    </row>
    <row r="679" spans="1:19" x14ac:dyDescent="0.25">
      <c r="A679">
        <v>678</v>
      </c>
      <c r="B679">
        <v>4374400</v>
      </c>
      <c r="C679" t="s">
        <v>1528</v>
      </c>
      <c r="D679" t="s">
        <v>1529</v>
      </c>
      <c r="E679" t="s">
        <v>1526</v>
      </c>
      <c r="F679" t="s">
        <v>1527</v>
      </c>
      <c r="H679" t="s">
        <v>2411</v>
      </c>
      <c r="I679">
        <v>4</v>
      </c>
      <c r="J679" t="s">
        <v>2386</v>
      </c>
      <c r="K679" t="s">
        <v>57</v>
      </c>
      <c r="L679">
        <v>208</v>
      </c>
      <c r="N679" t="s">
        <v>2603</v>
      </c>
      <c r="O679">
        <v>2009</v>
      </c>
      <c r="P679">
        <v>2009</v>
      </c>
      <c r="Q679" s="1"/>
      <c r="R679" s="1">
        <v>43832</v>
      </c>
      <c r="S679" t="s">
        <v>16</v>
      </c>
    </row>
    <row r="680" spans="1:19" x14ac:dyDescent="0.25">
      <c r="A680">
        <v>679</v>
      </c>
      <c r="B680">
        <v>15743897</v>
      </c>
      <c r="C680" t="s">
        <v>1530</v>
      </c>
      <c r="D680" t="s">
        <v>17</v>
      </c>
      <c r="E680" t="s">
        <v>1531</v>
      </c>
      <c r="F680" t="s">
        <v>1532</v>
      </c>
      <c r="H680" t="s">
        <v>2412</v>
      </c>
      <c r="I680">
        <v>4</v>
      </c>
      <c r="J680" t="s">
        <v>2235</v>
      </c>
      <c r="K680" t="s">
        <v>2488</v>
      </c>
      <c r="L680">
        <v>270</v>
      </c>
      <c r="N680" t="s">
        <v>2494</v>
      </c>
      <c r="O680">
        <v>2012</v>
      </c>
      <c r="P680">
        <v>2012</v>
      </c>
      <c r="Q680" s="1"/>
      <c r="R680" s="1">
        <v>43832</v>
      </c>
      <c r="S680" t="s">
        <v>16</v>
      </c>
    </row>
    <row r="681" spans="1:19" x14ac:dyDescent="0.25">
      <c r="A681">
        <v>680</v>
      </c>
      <c r="B681">
        <v>11533149</v>
      </c>
      <c r="C681" t="s">
        <v>2831</v>
      </c>
      <c r="D681" t="s">
        <v>1533</v>
      </c>
      <c r="E681" t="s">
        <v>1534</v>
      </c>
      <c r="F681" t="s">
        <v>1535</v>
      </c>
      <c r="H681" t="s">
        <v>2413</v>
      </c>
      <c r="I681">
        <v>3</v>
      </c>
      <c r="J681" t="s">
        <v>1668</v>
      </c>
      <c r="K681" t="s">
        <v>2488</v>
      </c>
      <c r="L681">
        <v>352</v>
      </c>
      <c r="N681" t="s">
        <v>2494</v>
      </c>
      <c r="O681">
        <v>2011</v>
      </c>
      <c r="P681">
        <v>2012</v>
      </c>
      <c r="Q681" s="1"/>
      <c r="R681" s="1">
        <v>43832</v>
      </c>
      <c r="S681" t="s">
        <v>16</v>
      </c>
    </row>
    <row r="682" spans="1:19" x14ac:dyDescent="0.25">
      <c r="A682">
        <v>681</v>
      </c>
      <c r="B682">
        <v>15997975</v>
      </c>
      <c r="C682" t="s">
        <v>2834</v>
      </c>
      <c r="D682" t="s">
        <v>1536</v>
      </c>
      <c r="E682" t="s">
        <v>1537</v>
      </c>
      <c r="F682" t="s">
        <v>1538</v>
      </c>
      <c r="H682" t="s">
        <v>2414</v>
      </c>
      <c r="I682">
        <v>2</v>
      </c>
      <c r="J682" t="s">
        <v>1668</v>
      </c>
      <c r="K682" t="s">
        <v>57</v>
      </c>
      <c r="L682">
        <v>512</v>
      </c>
      <c r="N682" t="s">
        <v>2486</v>
      </c>
      <c r="O682">
        <v>2013</v>
      </c>
      <c r="P682">
        <v>2013</v>
      </c>
      <c r="Q682" s="1"/>
      <c r="R682" s="1">
        <v>43832</v>
      </c>
      <c r="S682" t="s">
        <v>16</v>
      </c>
    </row>
    <row r="683" spans="1:19" x14ac:dyDescent="0.25">
      <c r="A683">
        <v>682</v>
      </c>
      <c r="B683">
        <v>7260188</v>
      </c>
      <c r="C683" t="s">
        <v>2837</v>
      </c>
      <c r="D683" t="s">
        <v>1539</v>
      </c>
      <c r="E683" t="s">
        <v>668</v>
      </c>
      <c r="F683" t="s">
        <v>669</v>
      </c>
      <c r="H683" t="s">
        <v>2415</v>
      </c>
      <c r="I683">
        <v>5</v>
      </c>
      <c r="J683" t="s">
        <v>2838</v>
      </c>
      <c r="K683" t="s">
        <v>57</v>
      </c>
      <c r="L683">
        <v>390</v>
      </c>
      <c r="N683" t="s">
        <v>2486</v>
      </c>
      <c r="O683">
        <v>2010</v>
      </c>
      <c r="P683">
        <v>2010</v>
      </c>
      <c r="Q683" s="1"/>
      <c r="R683" s="1">
        <v>43831</v>
      </c>
      <c r="S683" t="s">
        <v>16</v>
      </c>
    </row>
    <row r="684" spans="1:19" x14ac:dyDescent="0.25">
      <c r="A684">
        <v>683</v>
      </c>
      <c r="B684">
        <v>6148028</v>
      </c>
      <c r="C684" t="s">
        <v>2839</v>
      </c>
      <c r="D684" t="s">
        <v>1540</v>
      </c>
      <c r="E684" t="s">
        <v>668</v>
      </c>
      <c r="F684" t="s">
        <v>669</v>
      </c>
      <c r="H684" t="s">
        <v>2416</v>
      </c>
      <c r="I684">
        <v>5</v>
      </c>
      <c r="J684" t="s">
        <v>2838</v>
      </c>
      <c r="K684" t="s">
        <v>57</v>
      </c>
      <c r="L684">
        <v>391</v>
      </c>
      <c r="N684" t="s">
        <v>2486</v>
      </c>
      <c r="O684">
        <v>2009</v>
      </c>
      <c r="P684">
        <v>2009</v>
      </c>
      <c r="Q684" s="1"/>
      <c r="R684" s="1">
        <v>43832</v>
      </c>
      <c r="S684" t="s">
        <v>16</v>
      </c>
    </row>
    <row r="685" spans="1:19" x14ac:dyDescent="0.25">
      <c r="A685">
        <v>684</v>
      </c>
      <c r="B685">
        <v>13496627</v>
      </c>
      <c r="C685" t="s">
        <v>1541</v>
      </c>
      <c r="D685" t="s">
        <v>17</v>
      </c>
      <c r="E685" t="s">
        <v>1542</v>
      </c>
      <c r="F685" t="s">
        <v>1543</v>
      </c>
      <c r="H685" t="s">
        <v>2417</v>
      </c>
      <c r="I685">
        <v>4</v>
      </c>
      <c r="J685" t="s">
        <v>2235</v>
      </c>
      <c r="K685" t="s">
        <v>2488</v>
      </c>
      <c r="L685">
        <v>272</v>
      </c>
      <c r="N685" t="s">
        <v>2494</v>
      </c>
      <c r="O685">
        <v>2012</v>
      </c>
      <c r="P685">
        <v>2012</v>
      </c>
      <c r="Q685" s="1"/>
      <c r="R685" s="1">
        <v>43832</v>
      </c>
      <c r="S685" t="s">
        <v>16</v>
      </c>
    </row>
    <row r="686" spans="1:19" x14ac:dyDescent="0.25">
      <c r="A686">
        <v>685</v>
      </c>
      <c r="B686">
        <v>11735983</v>
      </c>
      <c r="C686" t="s">
        <v>2809</v>
      </c>
      <c r="D686" t="s">
        <v>1544</v>
      </c>
      <c r="E686" t="s">
        <v>813</v>
      </c>
      <c r="F686" t="s">
        <v>814</v>
      </c>
      <c r="H686" t="s">
        <v>2418</v>
      </c>
      <c r="I686">
        <v>5</v>
      </c>
      <c r="J686" t="s">
        <v>1668</v>
      </c>
      <c r="K686" t="s">
        <v>57</v>
      </c>
      <c r="L686">
        <v>525</v>
      </c>
      <c r="N686" t="s">
        <v>2494</v>
      </c>
      <c r="O686">
        <v>2012</v>
      </c>
      <c r="P686">
        <v>2012</v>
      </c>
      <c r="Q686" s="1"/>
      <c r="R686" s="1">
        <v>43832</v>
      </c>
      <c r="S686" t="s">
        <v>16</v>
      </c>
    </row>
    <row r="687" spans="1:19" x14ac:dyDescent="0.25">
      <c r="A687">
        <v>686</v>
      </c>
      <c r="B687">
        <v>7933617</v>
      </c>
      <c r="C687" t="s">
        <v>2841</v>
      </c>
      <c r="D687" t="s">
        <v>1545</v>
      </c>
      <c r="E687" t="s">
        <v>1546</v>
      </c>
      <c r="F687" t="s">
        <v>1547</v>
      </c>
      <c r="H687" t="s">
        <v>2419</v>
      </c>
      <c r="I687">
        <v>2</v>
      </c>
      <c r="J687" t="s">
        <v>1668</v>
      </c>
      <c r="K687" t="s">
        <v>2488</v>
      </c>
      <c r="L687">
        <v>325</v>
      </c>
      <c r="N687" t="s">
        <v>2494</v>
      </c>
      <c r="O687">
        <v>2011</v>
      </c>
      <c r="P687">
        <v>2011</v>
      </c>
      <c r="Q687" s="1"/>
      <c r="R687" s="1">
        <v>43832</v>
      </c>
      <c r="S687" t="s">
        <v>16</v>
      </c>
    </row>
    <row r="688" spans="1:19" x14ac:dyDescent="0.25">
      <c r="A688">
        <v>687</v>
      </c>
      <c r="B688">
        <v>8652190</v>
      </c>
      <c r="C688" t="s">
        <v>2842</v>
      </c>
      <c r="D688" t="s">
        <v>1548</v>
      </c>
      <c r="E688" t="s">
        <v>1546</v>
      </c>
      <c r="F688" t="s">
        <v>1547</v>
      </c>
      <c r="H688" t="s">
        <v>2420</v>
      </c>
      <c r="I688">
        <v>2</v>
      </c>
      <c r="J688" t="s">
        <v>1668</v>
      </c>
      <c r="K688" t="s">
        <v>2488</v>
      </c>
      <c r="L688">
        <v>290</v>
      </c>
      <c r="N688" t="s">
        <v>2494</v>
      </c>
      <c r="O688">
        <v>2011</v>
      </c>
      <c r="P688">
        <v>2011</v>
      </c>
      <c r="Q688" s="1"/>
      <c r="R688" s="1">
        <v>43832</v>
      </c>
      <c r="S688" t="s">
        <v>16</v>
      </c>
    </row>
    <row r="689" spans="1:19" x14ac:dyDescent="0.25">
      <c r="A689">
        <v>688</v>
      </c>
      <c r="B689">
        <v>231604</v>
      </c>
      <c r="C689" t="s">
        <v>2850</v>
      </c>
      <c r="D689" t="s">
        <v>1549</v>
      </c>
      <c r="E689" t="s">
        <v>1550</v>
      </c>
      <c r="F689" t="s">
        <v>1551</v>
      </c>
      <c r="H689" t="str">
        <f>"9788055610771"</f>
        <v>9788055610771</v>
      </c>
      <c r="I689">
        <v>2</v>
      </c>
      <c r="J689" t="s">
        <v>1759</v>
      </c>
      <c r="K689" t="s">
        <v>57</v>
      </c>
      <c r="L689">
        <v>532</v>
      </c>
      <c r="N689" t="s">
        <v>2486</v>
      </c>
      <c r="O689">
        <v>2013</v>
      </c>
      <c r="P689">
        <v>1997</v>
      </c>
      <c r="Q689" s="1"/>
      <c r="R689" s="1">
        <v>43832</v>
      </c>
      <c r="S689" t="s">
        <v>16</v>
      </c>
    </row>
    <row r="690" spans="1:19" x14ac:dyDescent="0.25">
      <c r="A690">
        <v>689</v>
      </c>
      <c r="B690">
        <v>7833003</v>
      </c>
      <c r="C690" t="s">
        <v>2832</v>
      </c>
      <c r="D690" t="s">
        <v>1552</v>
      </c>
      <c r="E690" t="s">
        <v>1534</v>
      </c>
      <c r="F690" t="s">
        <v>1535</v>
      </c>
      <c r="H690" t="s">
        <v>2421</v>
      </c>
      <c r="I690">
        <v>3</v>
      </c>
      <c r="J690" t="s">
        <v>1668</v>
      </c>
      <c r="K690" t="s">
        <v>2488</v>
      </c>
      <c r="L690">
        <v>383</v>
      </c>
      <c r="N690" t="s">
        <v>2494</v>
      </c>
      <c r="O690">
        <v>2010</v>
      </c>
      <c r="P690">
        <v>2011</v>
      </c>
      <c r="Q690" s="1"/>
      <c r="R690" s="1">
        <v>43832</v>
      </c>
      <c r="S690" t="s">
        <v>16</v>
      </c>
    </row>
    <row r="691" spans="1:19" x14ac:dyDescent="0.25">
      <c r="A691">
        <v>690</v>
      </c>
      <c r="B691">
        <v>9294567</v>
      </c>
      <c r="C691" t="s">
        <v>2851</v>
      </c>
      <c r="D691" t="s">
        <v>17</v>
      </c>
      <c r="E691" t="s">
        <v>1553</v>
      </c>
      <c r="F691" t="s">
        <v>1554</v>
      </c>
      <c r="H691" t="s">
        <v>2422</v>
      </c>
      <c r="I691">
        <v>4</v>
      </c>
      <c r="J691" t="s">
        <v>2776</v>
      </c>
      <c r="K691" t="s">
        <v>2488</v>
      </c>
      <c r="L691">
        <v>408</v>
      </c>
      <c r="N691" t="s">
        <v>2494</v>
      </c>
      <c r="O691">
        <v>2010</v>
      </c>
      <c r="P691">
        <v>2010</v>
      </c>
      <c r="Q691" s="1"/>
      <c r="R691" s="1">
        <v>43832</v>
      </c>
      <c r="S691" t="s">
        <v>16</v>
      </c>
    </row>
    <row r="692" spans="1:19" x14ac:dyDescent="0.25">
      <c r="A692">
        <v>691</v>
      </c>
      <c r="B692">
        <v>355697</v>
      </c>
      <c r="C692" t="s">
        <v>2852</v>
      </c>
      <c r="D692" t="s">
        <v>17</v>
      </c>
      <c r="E692" t="s">
        <v>1555</v>
      </c>
      <c r="F692" t="s">
        <v>1556</v>
      </c>
      <c r="H692" t="s">
        <v>2423</v>
      </c>
      <c r="I692">
        <v>4</v>
      </c>
      <c r="J692" t="s">
        <v>2217</v>
      </c>
      <c r="K692" t="s">
        <v>2488</v>
      </c>
      <c r="L692">
        <v>296</v>
      </c>
      <c r="N692" t="s">
        <v>2494</v>
      </c>
      <c r="O692">
        <v>1987</v>
      </c>
      <c r="P692">
        <v>1928</v>
      </c>
      <c r="Q692" s="1"/>
      <c r="R692" s="1">
        <v>43832</v>
      </c>
      <c r="S692" t="s">
        <v>16</v>
      </c>
    </row>
    <row r="693" spans="1:19" x14ac:dyDescent="0.25">
      <c r="A693">
        <v>692</v>
      </c>
      <c r="B693">
        <v>7664041</v>
      </c>
      <c r="C693" t="s">
        <v>1557</v>
      </c>
      <c r="D693" t="s">
        <v>1558</v>
      </c>
      <c r="E693" t="s">
        <v>269</v>
      </c>
      <c r="F693" t="s">
        <v>270</v>
      </c>
      <c r="H693" t="s">
        <v>2424</v>
      </c>
      <c r="I693">
        <v>4</v>
      </c>
      <c r="J693" t="s">
        <v>1762</v>
      </c>
      <c r="K693" t="s">
        <v>2488</v>
      </c>
      <c r="L693">
        <v>849</v>
      </c>
      <c r="N693" t="s">
        <v>2494</v>
      </c>
      <c r="O693">
        <v>2011</v>
      </c>
      <c r="P693">
        <v>2011</v>
      </c>
      <c r="Q693" s="1"/>
      <c r="R693" s="1">
        <v>43832</v>
      </c>
      <c r="S693" t="s">
        <v>16</v>
      </c>
    </row>
    <row r="694" spans="1:19" x14ac:dyDescent="0.25">
      <c r="A694">
        <v>693</v>
      </c>
      <c r="B694">
        <v>6667916</v>
      </c>
      <c r="C694" t="s">
        <v>1559</v>
      </c>
      <c r="D694" t="s">
        <v>1560</v>
      </c>
      <c r="E694" t="s">
        <v>250</v>
      </c>
      <c r="F694" t="s">
        <v>251</v>
      </c>
      <c r="H694" t="s">
        <v>2425</v>
      </c>
      <c r="I694">
        <v>4</v>
      </c>
      <c r="J694" t="s">
        <v>1668</v>
      </c>
      <c r="K694" t="s">
        <v>2488</v>
      </c>
      <c r="L694">
        <v>526</v>
      </c>
      <c r="N694" t="s">
        <v>2494</v>
      </c>
      <c r="O694">
        <v>2009</v>
      </c>
      <c r="P694">
        <v>2009</v>
      </c>
      <c r="Q694" s="1"/>
      <c r="R694" s="1">
        <v>43832</v>
      </c>
      <c r="S694" t="s">
        <v>16</v>
      </c>
    </row>
    <row r="695" spans="1:19" x14ac:dyDescent="0.25">
      <c r="A695">
        <v>694</v>
      </c>
      <c r="B695">
        <v>8659601</v>
      </c>
      <c r="C695" t="s">
        <v>2853</v>
      </c>
      <c r="D695" t="s">
        <v>1561</v>
      </c>
      <c r="E695" t="s">
        <v>1562</v>
      </c>
      <c r="F695" t="s">
        <v>1563</v>
      </c>
      <c r="H695" t="s">
        <v>2426</v>
      </c>
      <c r="I695">
        <v>4</v>
      </c>
      <c r="J695" t="s">
        <v>1668</v>
      </c>
      <c r="K695" t="s">
        <v>2488</v>
      </c>
      <c r="L695">
        <v>406</v>
      </c>
      <c r="N695" t="s">
        <v>2494</v>
      </c>
      <c r="O695">
        <v>2011</v>
      </c>
      <c r="P695">
        <v>2011</v>
      </c>
      <c r="Q695" s="1"/>
      <c r="R695" s="1">
        <v>43832</v>
      </c>
      <c r="S695" t="s">
        <v>16</v>
      </c>
    </row>
    <row r="696" spans="1:19" x14ac:dyDescent="0.25">
      <c r="A696">
        <v>695</v>
      </c>
      <c r="B696">
        <v>6917952</v>
      </c>
      <c r="C696" t="s">
        <v>2843</v>
      </c>
      <c r="D696" t="s">
        <v>1564</v>
      </c>
      <c r="E696" t="s">
        <v>1546</v>
      </c>
      <c r="F696" t="s">
        <v>1547</v>
      </c>
      <c r="H696" t="s">
        <v>2427</v>
      </c>
      <c r="I696">
        <v>3</v>
      </c>
      <c r="J696" t="s">
        <v>1668</v>
      </c>
      <c r="K696" t="s">
        <v>2488</v>
      </c>
      <c r="L696">
        <v>323</v>
      </c>
      <c r="N696" t="s">
        <v>2494</v>
      </c>
      <c r="O696">
        <v>2010</v>
      </c>
      <c r="P696">
        <v>2010</v>
      </c>
      <c r="Q696" s="1"/>
      <c r="R696" s="1">
        <v>43832</v>
      </c>
      <c r="S696" t="s">
        <v>16</v>
      </c>
    </row>
    <row r="697" spans="1:19" x14ac:dyDescent="0.25">
      <c r="A697">
        <v>696</v>
      </c>
      <c r="B697">
        <v>8737174</v>
      </c>
      <c r="C697" t="s">
        <v>2835</v>
      </c>
      <c r="D697" t="s">
        <v>1565</v>
      </c>
      <c r="E697" t="s">
        <v>1537</v>
      </c>
      <c r="F697" t="s">
        <v>1538</v>
      </c>
      <c r="H697" t="s">
        <v>2428</v>
      </c>
      <c r="I697">
        <v>2</v>
      </c>
      <c r="J697" t="s">
        <v>1668</v>
      </c>
      <c r="K697" t="s">
        <v>57</v>
      </c>
      <c r="L697">
        <v>422</v>
      </c>
      <c r="N697" t="s">
        <v>2486</v>
      </c>
      <c r="O697">
        <v>2011</v>
      </c>
      <c r="P697">
        <v>2011</v>
      </c>
      <c r="Q697" s="1"/>
      <c r="R697" s="1">
        <v>43832</v>
      </c>
      <c r="S697" t="s">
        <v>16</v>
      </c>
    </row>
    <row r="698" spans="1:19" x14ac:dyDescent="0.25">
      <c r="A698">
        <v>697</v>
      </c>
      <c r="B698">
        <v>7747374</v>
      </c>
      <c r="C698" t="s">
        <v>2854</v>
      </c>
      <c r="D698" t="s">
        <v>1566</v>
      </c>
      <c r="E698" t="s">
        <v>1562</v>
      </c>
      <c r="F698" t="s">
        <v>1563</v>
      </c>
      <c r="H698" t="s">
        <v>2429</v>
      </c>
      <c r="I698">
        <v>3</v>
      </c>
      <c r="J698" t="s">
        <v>1668</v>
      </c>
      <c r="K698" t="s">
        <v>2488</v>
      </c>
      <c r="L698">
        <v>440</v>
      </c>
      <c r="N698" t="s">
        <v>2494</v>
      </c>
      <c r="O698">
        <v>2010</v>
      </c>
      <c r="P698">
        <v>2010</v>
      </c>
      <c r="Q698" s="1"/>
      <c r="R698" s="1">
        <v>43832</v>
      </c>
      <c r="S698" t="s">
        <v>16</v>
      </c>
    </row>
    <row r="699" spans="1:19" x14ac:dyDescent="0.25">
      <c r="A699">
        <v>698</v>
      </c>
      <c r="B699">
        <v>425904</v>
      </c>
      <c r="C699" t="s">
        <v>2855</v>
      </c>
      <c r="D699" t="s">
        <v>17</v>
      </c>
      <c r="E699" t="s">
        <v>1567</v>
      </c>
      <c r="F699" t="s">
        <v>1568</v>
      </c>
      <c r="H699" t="s">
        <v>2430</v>
      </c>
      <c r="I699">
        <v>5</v>
      </c>
      <c r="J699" t="s">
        <v>2431</v>
      </c>
      <c r="K699" t="s">
        <v>2488</v>
      </c>
      <c r="L699">
        <v>88</v>
      </c>
      <c r="N699" t="s">
        <v>2494</v>
      </c>
      <c r="O699">
        <v>2007</v>
      </c>
      <c r="P699">
        <v>1920</v>
      </c>
      <c r="Q699" s="1"/>
      <c r="R699" s="1">
        <v>43832</v>
      </c>
      <c r="S699" t="s">
        <v>16</v>
      </c>
    </row>
    <row r="700" spans="1:19" x14ac:dyDescent="0.25">
      <c r="A700">
        <v>699</v>
      </c>
      <c r="B700">
        <v>6690798</v>
      </c>
      <c r="C700" t="s">
        <v>2824</v>
      </c>
      <c r="D700" t="s">
        <v>1569</v>
      </c>
      <c r="E700" t="s">
        <v>1507</v>
      </c>
      <c r="F700" t="s">
        <v>1508</v>
      </c>
      <c r="H700" t="s">
        <v>2432</v>
      </c>
      <c r="I700">
        <v>4</v>
      </c>
      <c r="J700" t="s">
        <v>1668</v>
      </c>
      <c r="K700" t="s">
        <v>2488</v>
      </c>
      <c r="L700">
        <v>784</v>
      </c>
      <c r="N700" t="s">
        <v>2494</v>
      </c>
      <c r="O700">
        <v>2010</v>
      </c>
      <c r="P700">
        <v>2010</v>
      </c>
      <c r="Q700" s="1"/>
      <c r="R700" s="1">
        <v>43832</v>
      </c>
      <c r="S700" t="s">
        <v>16</v>
      </c>
    </row>
    <row r="701" spans="1:19" x14ac:dyDescent="0.25">
      <c r="A701">
        <v>700</v>
      </c>
      <c r="B701">
        <v>13577850</v>
      </c>
      <c r="C701" t="s">
        <v>1570</v>
      </c>
      <c r="D701" t="s">
        <v>17</v>
      </c>
      <c r="E701" t="s">
        <v>1571</v>
      </c>
      <c r="F701" t="s">
        <v>1572</v>
      </c>
      <c r="H701" t="s">
        <v>2433</v>
      </c>
      <c r="I701">
        <v>3</v>
      </c>
      <c r="J701" t="s">
        <v>1668</v>
      </c>
      <c r="K701" t="s">
        <v>2488</v>
      </c>
      <c r="L701">
        <v>240</v>
      </c>
      <c r="N701" t="s">
        <v>2494</v>
      </c>
      <c r="O701">
        <v>2010</v>
      </c>
      <c r="P701">
        <v>2010</v>
      </c>
      <c r="Q701" s="1"/>
      <c r="R701" s="1">
        <v>43832</v>
      </c>
      <c r="S701" t="s">
        <v>16</v>
      </c>
    </row>
    <row r="702" spans="1:19" x14ac:dyDescent="0.25">
      <c r="A702">
        <v>701</v>
      </c>
      <c r="B702">
        <v>157993</v>
      </c>
      <c r="C702" t="s">
        <v>2856</v>
      </c>
      <c r="D702" t="s">
        <v>17</v>
      </c>
      <c r="E702" t="s">
        <v>1573</v>
      </c>
      <c r="F702" t="s">
        <v>1574</v>
      </c>
      <c r="H702" t="s">
        <v>2434</v>
      </c>
      <c r="I702">
        <v>5</v>
      </c>
      <c r="J702" t="s">
        <v>2435</v>
      </c>
      <c r="K702" t="s">
        <v>2488</v>
      </c>
      <c r="L702">
        <v>96</v>
      </c>
      <c r="N702" t="s">
        <v>2494</v>
      </c>
      <c r="O702">
        <v>2000</v>
      </c>
      <c r="P702">
        <v>1943</v>
      </c>
      <c r="Q702" s="1"/>
      <c r="R702" s="1">
        <v>43832</v>
      </c>
      <c r="S702" t="s">
        <v>16</v>
      </c>
    </row>
    <row r="703" spans="1:19" x14ac:dyDescent="0.25">
      <c r="A703">
        <v>702</v>
      </c>
      <c r="B703">
        <v>6507760</v>
      </c>
      <c r="C703" t="s">
        <v>2833</v>
      </c>
      <c r="D703" t="s">
        <v>1575</v>
      </c>
      <c r="E703" t="s">
        <v>1534</v>
      </c>
      <c r="F703" t="s">
        <v>1535</v>
      </c>
      <c r="H703" t="s">
        <v>2436</v>
      </c>
      <c r="I703">
        <v>4</v>
      </c>
      <c r="J703" t="s">
        <v>1668</v>
      </c>
      <c r="K703" t="s">
        <v>2488</v>
      </c>
      <c r="L703">
        <v>406</v>
      </c>
      <c r="N703" t="s">
        <v>2494</v>
      </c>
      <c r="O703">
        <v>2009</v>
      </c>
      <c r="P703">
        <v>2010</v>
      </c>
      <c r="Q703" s="1"/>
      <c r="R703" s="1">
        <v>43832</v>
      </c>
      <c r="S703" t="s">
        <v>16</v>
      </c>
    </row>
    <row r="704" spans="1:19" x14ac:dyDescent="0.25">
      <c r="A704">
        <v>703</v>
      </c>
      <c r="B704">
        <v>1478958</v>
      </c>
      <c r="C704" t="s">
        <v>1576</v>
      </c>
      <c r="D704" t="s">
        <v>1576</v>
      </c>
      <c r="E704" t="s">
        <v>1577</v>
      </c>
      <c r="F704" t="s">
        <v>1578</v>
      </c>
      <c r="H704" t="s">
        <v>2437</v>
      </c>
      <c r="I704">
        <v>3</v>
      </c>
      <c r="J704" t="s">
        <v>2438</v>
      </c>
      <c r="K704" t="s">
        <v>2488</v>
      </c>
      <c r="L704">
        <v>334</v>
      </c>
      <c r="N704" t="s">
        <v>2494</v>
      </c>
      <c r="O704">
        <v>2006</v>
      </c>
      <c r="P704">
        <v>1855</v>
      </c>
      <c r="Q704" s="1"/>
      <c r="R704" s="1">
        <v>43832</v>
      </c>
      <c r="S704" t="s">
        <v>16</v>
      </c>
    </row>
    <row r="705" spans="1:19" x14ac:dyDescent="0.25">
      <c r="A705">
        <v>704</v>
      </c>
      <c r="B705">
        <v>17274667</v>
      </c>
      <c r="C705" t="s">
        <v>1579</v>
      </c>
      <c r="D705" t="s">
        <v>1580</v>
      </c>
      <c r="E705" t="s">
        <v>250</v>
      </c>
      <c r="F705" t="s">
        <v>251</v>
      </c>
      <c r="H705" t="s">
        <v>2439</v>
      </c>
      <c r="I705">
        <v>4</v>
      </c>
      <c r="J705" t="s">
        <v>1668</v>
      </c>
      <c r="K705" t="s">
        <v>2488</v>
      </c>
      <c r="L705">
        <v>458</v>
      </c>
      <c r="N705" t="s">
        <v>2494</v>
      </c>
      <c r="O705">
        <v>2013</v>
      </c>
      <c r="P705">
        <v>2002</v>
      </c>
      <c r="Q705" s="1"/>
      <c r="R705" s="1">
        <v>43832</v>
      </c>
      <c r="S705" t="s">
        <v>16</v>
      </c>
    </row>
    <row r="706" spans="1:19" x14ac:dyDescent="0.25">
      <c r="A706">
        <v>705</v>
      </c>
      <c r="B706">
        <v>7116709</v>
      </c>
      <c r="C706" t="s">
        <v>2836</v>
      </c>
      <c r="D706" t="s">
        <v>1581</v>
      </c>
      <c r="E706" t="s">
        <v>1537</v>
      </c>
      <c r="F706" t="s">
        <v>1538</v>
      </c>
      <c r="H706" t="s">
        <v>2440</v>
      </c>
      <c r="I706">
        <v>2</v>
      </c>
      <c r="J706" t="s">
        <v>1668</v>
      </c>
      <c r="K706" t="s">
        <v>57</v>
      </c>
      <c r="L706">
        <v>436</v>
      </c>
      <c r="N706" t="s">
        <v>2486</v>
      </c>
      <c r="O706">
        <v>2010</v>
      </c>
      <c r="P706">
        <v>2010</v>
      </c>
      <c r="Q706" s="1"/>
      <c r="R706" s="1">
        <v>43832</v>
      </c>
      <c r="S706" t="s">
        <v>16</v>
      </c>
    </row>
    <row r="707" spans="1:19" x14ac:dyDescent="0.25">
      <c r="A707">
        <v>706</v>
      </c>
      <c r="B707">
        <v>6262365</v>
      </c>
      <c r="C707" t="s">
        <v>2844</v>
      </c>
      <c r="D707" t="s">
        <v>1582</v>
      </c>
      <c r="E707" t="s">
        <v>1546</v>
      </c>
      <c r="F707" t="s">
        <v>1547</v>
      </c>
      <c r="H707" t="s">
        <v>2441</v>
      </c>
      <c r="I707">
        <v>3</v>
      </c>
      <c r="J707" t="s">
        <v>1668</v>
      </c>
      <c r="K707" t="s">
        <v>2488</v>
      </c>
      <c r="L707">
        <v>319</v>
      </c>
      <c r="N707" t="s">
        <v>2494</v>
      </c>
      <c r="O707">
        <v>2009</v>
      </c>
      <c r="P707">
        <v>2009</v>
      </c>
      <c r="Q707" s="1"/>
      <c r="R707" s="1">
        <v>43832</v>
      </c>
      <c r="S707" t="s">
        <v>16</v>
      </c>
    </row>
    <row r="708" spans="1:19" x14ac:dyDescent="0.25">
      <c r="A708">
        <v>707</v>
      </c>
      <c r="B708">
        <v>4134071</v>
      </c>
      <c r="C708" t="s">
        <v>2845</v>
      </c>
      <c r="D708" t="s">
        <v>1583</v>
      </c>
      <c r="E708" t="s">
        <v>1546</v>
      </c>
      <c r="F708" t="s">
        <v>1547</v>
      </c>
      <c r="H708" t="s">
        <v>2442</v>
      </c>
      <c r="I708">
        <v>3</v>
      </c>
      <c r="J708" t="s">
        <v>1668</v>
      </c>
      <c r="K708" t="s">
        <v>2488</v>
      </c>
      <c r="L708">
        <v>336</v>
      </c>
      <c r="N708" t="s">
        <v>2494</v>
      </c>
      <c r="O708">
        <v>2009</v>
      </c>
      <c r="P708">
        <v>2009</v>
      </c>
      <c r="Q708" s="1"/>
      <c r="R708" s="1">
        <v>43832</v>
      </c>
      <c r="S708" t="s">
        <v>16</v>
      </c>
    </row>
    <row r="709" spans="1:19" x14ac:dyDescent="0.25">
      <c r="A709">
        <v>708</v>
      </c>
      <c r="B709">
        <v>2866718</v>
      </c>
      <c r="C709" t="s">
        <v>2846</v>
      </c>
      <c r="D709" t="s">
        <v>1584</v>
      </c>
      <c r="E709" t="s">
        <v>1546</v>
      </c>
      <c r="F709" t="s">
        <v>1547</v>
      </c>
      <c r="H709" t="s">
        <v>2443</v>
      </c>
      <c r="I709">
        <v>4</v>
      </c>
      <c r="J709" t="s">
        <v>1668</v>
      </c>
      <c r="K709" t="s">
        <v>2488</v>
      </c>
      <c r="L709">
        <v>338</v>
      </c>
      <c r="N709" t="s">
        <v>2494</v>
      </c>
      <c r="O709">
        <v>2009</v>
      </c>
      <c r="P709">
        <v>2008</v>
      </c>
      <c r="Q709" s="1"/>
      <c r="R709" s="1">
        <v>43832</v>
      </c>
      <c r="S709" t="s">
        <v>16</v>
      </c>
    </row>
    <row r="710" spans="1:19" x14ac:dyDescent="0.25">
      <c r="A710">
        <v>709</v>
      </c>
      <c r="B710">
        <v>1326258</v>
      </c>
      <c r="C710" t="s">
        <v>2847</v>
      </c>
      <c r="D710" t="s">
        <v>1585</v>
      </c>
      <c r="E710" t="s">
        <v>1546</v>
      </c>
      <c r="F710" t="s">
        <v>1547</v>
      </c>
      <c r="H710" t="s">
        <v>2444</v>
      </c>
      <c r="I710">
        <v>4</v>
      </c>
      <c r="J710" t="s">
        <v>1668</v>
      </c>
      <c r="K710" t="s">
        <v>2488</v>
      </c>
      <c r="L710">
        <v>307</v>
      </c>
      <c r="N710" t="s">
        <v>2494</v>
      </c>
      <c r="O710">
        <v>2008</v>
      </c>
      <c r="P710">
        <v>2008</v>
      </c>
      <c r="Q710" s="1"/>
      <c r="R710" s="1">
        <v>43832</v>
      </c>
      <c r="S710" t="s">
        <v>16</v>
      </c>
    </row>
    <row r="711" spans="1:19" x14ac:dyDescent="0.25">
      <c r="A711">
        <v>710</v>
      </c>
      <c r="B711">
        <v>676924</v>
      </c>
      <c r="C711" t="s">
        <v>2848</v>
      </c>
      <c r="D711" t="s">
        <v>1586</v>
      </c>
      <c r="E711" t="s">
        <v>1546</v>
      </c>
      <c r="F711" t="s">
        <v>1547</v>
      </c>
      <c r="H711" t="s">
        <v>2445</v>
      </c>
      <c r="I711">
        <v>3</v>
      </c>
      <c r="J711" t="s">
        <v>1668</v>
      </c>
      <c r="K711" t="s">
        <v>2488</v>
      </c>
      <c r="L711">
        <v>310</v>
      </c>
      <c r="N711" t="s">
        <v>2494</v>
      </c>
      <c r="O711">
        <v>2007</v>
      </c>
      <c r="P711">
        <v>2007</v>
      </c>
      <c r="Q711" s="1"/>
      <c r="R711" s="1">
        <v>43832</v>
      </c>
      <c r="S711" t="s">
        <v>16</v>
      </c>
    </row>
    <row r="712" spans="1:19" x14ac:dyDescent="0.25">
      <c r="A712">
        <v>711</v>
      </c>
      <c r="B712">
        <v>30183</v>
      </c>
      <c r="C712" t="s">
        <v>2849</v>
      </c>
      <c r="D712" t="s">
        <v>1587</v>
      </c>
      <c r="E712" t="s">
        <v>1546</v>
      </c>
      <c r="F712" t="s">
        <v>1547</v>
      </c>
      <c r="H712" t="s">
        <v>2446</v>
      </c>
      <c r="I712">
        <v>2</v>
      </c>
      <c r="J712" t="s">
        <v>1668</v>
      </c>
      <c r="K712" t="s">
        <v>2488</v>
      </c>
      <c r="L712">
        <v>306</v>
      </c>
      <c r="N712" t="s">
        <v>2494</v>
      </c>
      <c r="O712">
        <v>2007</v>
      </c>
      <c r="P712">
        <v>2007</v>
      </c>
      <c r="Q712" s="1"/>
      <c r="R712" s="1">
        <v>43832</v>
      </c>
      <c r="S712" t="s">
        <v>16</v>
      </c>
    </row>
    <row r="713" spans="1:19" x14ac:dyDescent="0.25">
      <c r="A713">
        <v>712</v>
      </c>
      <c r="B713">
        <v>6137154</v>
      </c>
      <c r="C713" t="s">
        <v>2857</v>
      </c>
      <c r="D713" t="s">
        <v>1588</v>
      </c>
      <c r="E713" t="s">
        <v>1589</v>
      </c>
      <c r="F713" t="s">
        <v>1590</v>
      </c>
      <c r="H713" t="s">
        <v>2447</v>
      </c>
      <c r="I713">
        <v>3</v>
      </c>
      <c r="J713" t="s">
        <v>2858</v>
      </c>
      <c r="K713" t="s">
        <v>2488</v>
      </c>
      <c r="L713">
        <v>480</v>
      </c>
      <c r="N713" t="s">
        <v>2494</v>
      </c>
      <c r="O713">
        <v>2009</v>
      </c>
      <c r="P713">
        <v>2009</v>
      </c>
      <c r="Q713" s="1"/>
      <c r="R713" s="1">
        <v>43832</v>
      </c>
      <c r="S713" t="s">
        <v>16</v>
      </c>
    </row>
    <row r="714" spans="1:19" x14ac:dyDescent="0.25">
      <c r="A714">
        <v>713</v>
      </c>
      <c r="B714">
        <v>3236307</v>
      </c>
      <c r="C714" t="s">
        <v>2859</v>
      </c>
      <c r="D714" t="s">
        <v>1591</v>
      </c>
      <c r="E714" t="s">
        <v>1589</v>
      </c>
      <c r="F714" t="s">
        <v>1590</v>
      </c>
      <c r="H714" t="s">
        <v>2448</v>
      </c>
      <c r="I714">
        <v>4</v>
      </c>
      <c r="J714" t="s">
        <v>2858</v>
      </c>
      <c r="K714" t="s">
        <v>2488</v>
      </c>
      <c r="L714">
        <v>471</v>
      </c>
      <c r="N714" t="s">
        <v>2494</v>
      </c>
      <c r="O714">
        <v>2008</v>
      </c>
      <c r="P714">
        <v>2008</v>
      </c>
      <c r="Q714" s="1"/>
      <c r="R714" s="1">
        <v>43832</v>
      </c>
      <c r="S714" t="s">
        <v>16</v>
      </c>
    </row>
    <row r="715" spans="1:19" x14ac:dyDescent="0.25">
      <c r="A715">
        <v>714</v>
      </c>
      <c r="B715">
        <v>1630729</v>
      </c>
      <c r="C715" t="s">
        <v>2860</v>
      </c>
      <c r="D715" t="s">
        <v>1592</v>
      </c>
      <c r="E715" t="s">
        <v>1593</v>
      </c>
      <c r="F715" t="s">
        <v>1594</v>
      </c>
      <c r="H715" t="s">
        <v>2449</v>
      </c>
      <c r="I715">
        <v>3</v>
      </c>
      <c r="J715" t="s">
        <v>1668</v>
      </c>
      <c r="K715" t="s">
        <v>2488</v>
      </c>
      <c r="L715">
        <v>516</v>
      </c>
      <c r="N715" t="s">
        <v>2494</v>
      </c>
      <c r="O715">
        <v>2009</v>
      </c>
      <c r="P715">
        <v>2009</v>
      </c>
      <c r="Q715" s="1"/>
      <c r="R715" s="1">
        <v>43832</v>
      </c>
      <c r="S715" t="s">
        <v>16</v>
      </c>
    </row>
    <row r="716" spans="1:19" x14ac:dyDescent="0.25">
      <c r="A716">
        <v>715</v>
      </c>
      <c r="B716">
        <v>6411961</v>
      </c>
      <c r="C716" t="s">
        <v>2861</v>
      </c>
      <c r="D716" t="s">
        <v>1595</v>
      </c>
      <c r="E716" t="s">
        <v>125</v>
      </c>
      <c r="F716" t="s">
        <v>126</v>
      </c>
      <c r="H716" t="s">
        <v>2450</v>
      </c>
      <c r="I716">
        <v>4</v>
      </c>
      <c r="J716" t="s">
        <v>1668</v>
      </c>
      <c r="K716" t="s">
        <v>2488</v>
      </c>
      <c r="L716">
        <v>509</v>
      </c>
      <c r="N716" t="s">
        <v>2494</v>
      </c>
      <c r="O716">
        <v>2009</v>
      </c>
      <c r="P716">
        <v>2009</v>
      </c>
      <c r="Q716" s="1"/>
      <c r="R716" s="1">
        <v>43832</v>
      </c>
      <c r="S716" t="s">
        <v>16</v>
      </c>
    </row>
    <row r="717" spans="1:19" x14ac:dyDescent="0.25">
      <c r="A717">
        <v>716</v>
      </c>
      <c r="B717">
        <v>45978</v>
      </c>
      <c r="C717" t="s">
        <v>1596</v>
      </c>
      <c r="D717" t="s">
        <v>1597</v>
      </c>
      <c r="E717" t="s">
        <v>269</v>
      </c>
      <c r="F717" t="s">
        <v>270</v>
      </c>
      <c r="H717" t="s">
        <v>2451</v>
      </c>
      <c r="I717">
        <v>4</v>
      </c>
      <c r="J717" t="s">
        <v>1762</v>
      </c>
      <c r="K717" t="s">
        <v>2488</v>
      </c>
      <c r="L717">
        <v>704</v>
      </c>
      <c r="N717" t="s">
        <v>2494</v>
      </c>
      <c r="O717">
        <v>2007</v>
      </c>
      <c r="P717">
        <v>2005</v>
      </c>
      <c r="Q717" s="1"/>
      <c r="R717" s="1">
        <v>43832</v>
      </c>
      <c r="S717" t="s">
        <v>16</v>
      </c>
    </row>
    <row r="718" spans="1:19" x14ac:dyDescent="0.25">
      <c r="A718">
        <v>717</v>
      </c>
      <c r="B718">
        <v>6548409</v>
      </c>
      <c r="C718" t="s">
        <v>2871</v>
      </c>
      <c r="D718" t="s">
        <v>17</v>
      </c>
      <c r="E718" t="s">
        <v>1598</v>
      </c>
      <c r="F718" t="s">
        <v>1599</v>
      </c>
      <c r="H718" t="s">
        <v>2452</v>
      </c>
      <c r="I718">
        <v>4</v>
      </c>
      <c r="J718" t="s">
        <v>2872</v>
      </c>
      <c r="K718" t="s">
        <v>2488</v>
      </c>
      <c r="L718">
        <v>256</v>
      </c>
      <c r="N718" t="s">
        <v>2494</v>
      </c>
      <c r="O718">
        <v>2009</v>
      </c>
      <c r="P718">
        <v>2005</v>
      </c>
      <c r="Q718" s="1"/>
      <c r="R718" s="1">
        <v>43832</v>
      </c>
      <c r="S718" t="s">
        <v>16</v>
      </c>
    </row>
    <row r="719" spans="1:19" x14ac:dyDescent="0.25">
      <c r="A719">
        <v>718</v>
      </c>
      <c r="B719">
        <v>1162543</v>
      </c>
      <c r="C719" t="s">
        <v>2868</v>
      </c>
      <c r="D719" t="s">
        <v>1600</v>
      </c>
      <c r="E719" t="s">
        <v>1601</v>
      </c>
      <c r="F719" t="s">
        <v>1602</v>
      </c>
      <c r="H719" t="s">
        <v>2453</v>
      </c>
      <c r="I719">
        <v>4</v>
      </c>
      <c r="J719" t="s">
        <v>1723</v>
      </c>
      <c r="K719" t="s">
        <v>57</v>
      </c>
      <c r="L719">
        <v>756</v>
      </c>
      <c r="N719" t="s">
        <v>2486</v>
      </c>
      <c r="O719">
        <v>2008</v>
      </c>
      <c r="P719">
        <v>2008</v>
      </c>
      <c r="Q719" s="1"/>
      <c r="R719" s="1">
        <v>43832</v>
      </c>
      <c r="S719" t="s">
        <v>16</v>
      </c>
    </row>
    <row r="720" spans="1:19" x14ac:dyDescent="0.25">
      <c r="A720">
        <v>719</v>
      </c>
      <c r="B720">
        <v>49041</v>
      </c>
      <c r="C720" t="s">
        <v>2870</v>
      </c>
      <c r="D720" t="s">
        <v>2869</v>
      </c>
      <c r="E720" t="s">
        <v>1601</v>
      </c>
      <c r="F720" t="s">
        <v>1602</v>
      </c>
      <c r="H720" t="s">
        <v>2454</v>
      </c>
      <c r="I720">
        <v>4</v>
      </c>
      <c r="J720" t="s">
        <v>1723</v>
      </c>
      <c r="K720" t="s">
        <v>57</v>
      </c>
      <c r="L720">
        <v>563</v>
      </c>
      <c r="N720" t="s">
        <v>2486</v>
      </c>
      <c r="O720">
        <v>2006</v>
      </c>
      <c r="P720">
        <v>2006</v>
      </c>
      <c r="Q720" s="1"/>
      <c r="R720" s="1">
        <v>43832</v>
      </c>
      <c r="S720" t="s">
        <v>16</v>
      </c>
    </row>
    <row r="721" spans="1:19" x14ac:dyDescent="0.25">
      <c r="A721">
        <v>720</v>
      </c>
      <c r="B721">
        <v>12136181</v>
      </c>
      <c r="C721" t="s">
        <v>1604</v>
      </c>
      <c r="D721" t="s">
        <v>17</v>
      </c>
      <c r="E721" t="s">
        <v>1504</v>
      </c>
      <c r="F721" t="s">
        <v>1505</v>
      </c>
      <c r="H721" t="str">
        <f>"9788096980062"</f>
        <v>9788096980062</v>
      </c>
      <c r="I721">
        <v>2</v>
      </c>
      <c r="J721" t="s">
        <v>2235</v>
      </c>
      <c r="K721" t="s">
        <v>2488</v>
      </c>
      <c r="L721">
        <v>142</v>
      </c>
      <c r="N721" t="s">
        <v>2494</v>
      </c>
      <c r="O721">
        <v>2009</v>
      </c>
      <c r="P721">
        <v>2007</v>
      </c>
      <c r="Q721" s="1"/>
      <c r="R721" s="1">
        <v>43832</v>
      </c>
      <c r="S721" t="s">
        <v>16</v>
      </c>
    </row>
    <row r="722" spans="1:19" x14ac:dyDescent="0.25">
      <c r="A722">
        <v>721</v>
      </c>
      <c r="B722">
        <v>40874325</v>
      </c>
      <c r="C722" t="s">
        <v>2873</v>
      </c>
      <c r="D722" t="s">
        <v>17</v>
      </c>
      <c r="E722" t="s">
        <v>1605</v>
      </c>
      <c r="F722" t="s">
        <v>1606</v>
      </c>
      <c r="H722" t="str">
        <f>"9788022208246"</f>
        <v>9788022208246</v>
      </c>
      <c r="I722">
        <v>5</v>
      </c>
      <c r="J722" t="s">
        <v>1723</v>
      </c>
      <c r="K722" t="s">
        <v>2488</v>
      </c>
      <c r="L722">
        <v>294</v>
      </c>
      <c r="N722" t="s">
        <v>2494</v>
      </c>
      <c r="O722">
        <v>2008</v>
      </c>
      <c r="P722">
        <v>2007</v>
      </c>
      <c r="Q722" s="1"/>
      <c r="R722" s="1">
        <v>43832</v>
      </c>
      <c r="S722" t="s">
        <v>16</v>
      </c>
    </row>
    <row r="723" spans="1:19" x14ac:dyDescent="0.25">
      <c r="A723">
        <v>722</v>
      </c>
      <c r="B723">
        <v>13307403</v>
      </c>
      <c r="C723" t="s">
        <v>1607</v>
      </c>
      <c r="D723" t="s">
        <v>17</v>
      </c>
      <c r="E723" t="s">
        <v>1608</v>
      </c>
      <c r="F723" t="s">
        <v>1609</v>
      </c>
      <c r="H723" t="s">
        <v>2455</v>
      </c>
      <c r="I723">
        <v>2</v>
      </c>
      <c r="J723" t="s">
        <v>1730</v>
      </c>
      <c r="K723" t="s">
        <v>2488</v>
      </c>
      <c r="L723">
        <v>318</v>
      </c>
      <c r="N723" t="s">
        <v>2494</v>
      </c>
      <c r="O723">
        <v>2009</v>
      </c>
      <c r="P723">
        <v>2009</v>
      </c>
      <c r="Q723" s="1"/>
      <c r="R723" s="1">
        <v>43832</v>
      </c>
      <c r="S723" t="s">
        <v>16</v>
      </c>
    </row>
    <row r="724" spans="1:19" x14ac:dyDescent="0.25">
      <c r="A724">
        <v>723</v>
      </c>
      <c r="B724">
        <v>12136189</v>
      </c>
      <c r="C724" t="s">
        <v>1610</v>
      </c>
      <c r="D724" t="s">
        <v>17</v>
      </c>
      <c r="E724" t="s">
        <v>1504</v>
      </c>
      <c r="F724" t="s">
        <v>1505</v>
      </c>
      <c r="H724" t="s">
        <v>2456</v>
      </c>
      <c r="I724">
        <v>4</v>
      </c>
      <c r="J724" t="s">
        <v>2235</v>
      </c>
      <c r="K724" t="s">
        <v>2488</v>
      </c>
      <c r="L724">
        <v>240</v>
      </c>
      <c r="N724" t="s">
        <v>2494</v>
      </c>
      <c r="O724">
        <v>2008</v>
      </c>
      <c r="P724">
        <v>2008</v>
      </c>
      <c r="Q724" s="1"/>
      <c r="R724" s="1">
        <v>43832</v>
      </c>
      <c r="S724" t="s">
        <v>16</v>
      </c>
    </row>
    <row r="725" spans="1:19" x14ac:dyDescent="0.25">
      <c r="A725">
        <v>724</v>
      </c>
      <c r="B725">
        <v>52529</v>
      </c>
      <c r="C725" t="s">
        <v>2874</v>
      </c>
      <c r="D725" t="s">
        <v>1611</v>
      </c>
      <c r="E725" t="s">
        <v>1612</v>
      </c>
      <c r="F725" t="s">
        <v>1613</v>
      </c>
      <c r="H725" t="str">
        <f>"9788055172644"</f>
        <v>9788055172644</v>
      </c>
      <c r="I725">
        <v>5</v>
      </c>
      <c r="J725" t="s">
        <v>1668</v>
      </c>
      <c r="K725" t="s">
        <v>2488</v>
      </c>
      <c r="L725">
        <v>199</v>
      </c>
      <c r="N725" t="s">
        <v>2494</v>
      </c>
      <c r="O725">
        <v>2006</v>
      </c>
      <c r="P725">
        <v>2006</v>
      </c>
      <c r="Q725" s="1"/>
      <c r="R725" s="1">
        <v>43832</v>
      </c>
      <c r="S725" t="s">
        <v>16</v>
      </c>
    </row>
    <row r="726" spans="1:19" x14ac:dyDescent="0.25">
      <c r="A726">
        <v>725</v>
      </c>
      <c r="B726">
        <v>2248573</v>
      </c>
      <c r="C726" t="s">
        <v>1614</v>
      </c>
      <c r="D726" t="s">
        <v>1615</v>
      </c>
      <c r="E726" t="s">
        <v>269</v>
      </c>
      <c r="F726" t="s">
        <v>270</v>
      </c>
      <c r="H726" t="s">
        <v>2457</v>
      </c>
      <c r="I726">
        <v>4</v>
      </c>
      <c r="J726" t="s">
        <v>1762</v>
      </c>
      <c r="K726" t="s">
        <v>2488</v>
      </c>
      <c r="L726">
        <v>748</v>
      </c>
      <c r="N726" t="s">
        <v>2494</v>
      </c>
      <c r="O726">
        <v>2008</v>
      </c>
      <c r="P726">
        <v>2008</v>
      </c>
      <c r="Q726" s="1"/>
      <c r="R726" s="1">
        <v>43832</v>
      </c>
      <c r="S726" t="s">
        <v>16</v>
      </c>
    </row>
    <row r="727" spans="1:19" x14ac:dyDescent="0.25">
      <c r="A727">
        <v>726</v>
      </c>
      <c r="B727">
        <v>18144590</v>
      </c>
      <c r="C727" t="s">
        <v>2875</v>
      </c>
      <c r="D727" t="s">
        <v>17</v>
      </c>
      <c r="E727" t="s">
        <v>1616</v>
      </c>
      <c r="F727" t="s">
        <v>1617</v>
      </c>
      <c r="H727" t="s">
        <v>2458</v>
      </c>
      <c r="I727">
        <v>2</v>
      </c>
      <c r="J727" t="s">
        <v>1668</v>
      </c>
      <c r="K727" t="s">
        <v>2488</v>
      </c>
      <c r="L727">
        <v>182</v>
      </c>
      <c r="N727" t="s">
        <v>2494</v>
      </c>
      <c r="O727">
        <v>2014</v>
      </c>
      <c r="P727">
        <v>1988</v>
      </c>
      <c r="Q727" s="1"/>
      <c r="R727" s="1">
        <v>43832</v>
      </c>
      <c r="S727" t="s">
        <v>16</v>
      </c>
    </row>
    <row r="728" spans="1:19" x14ac:dyDescent="0.25">
      <c r="A728">
        <v>727</v>
      </c>
      <c r="B728">
        <v>6483863</v>
      </c>
      <c r="C728" t="s">
        <v>1618</v>
      </c>
      <c r="D728" t="s">
        <v>17</v>
      </c>
      <c r="E728" t="s">
        <v>1619</v>
      </c>
      <c r="F728" t="s">
        <v>1620</v>
      </c>
      <c r="H728" t="s">
        <v>2459</v>
      </c>
      <c r="I728">
        <v>2</v>
      </c>
      <c r="J728" t="s">
        <v>1759</v>
      </c>
      <c r="K728" t="s">
        <v>2488</v>
      </c>
      <c r="L728">
        <v>160</v>
      </c>
      <c r="N728" t="s">
        <v>2494</v>
      </c>
      <c r="O728">
        <v>2007</v>
      </c>
      <c r="P728">
        <v>2007</v>
      </c>
      <c r="Q728" s="1"/>
      <c r="R728" s="1">
        <v>43832</v>
      </c>
      <c r="S728" t="s">
        <v>16</v>
      </c>
    </row>
    <row r="729" spans="1:19" x14ac:dyDescent="0.25">
      <c r="A729">
        <v>728</v>
      </c>
      <c r="B729">
        <v>9223064</v>
      </c>
      <c r="C729" t="s">
        <v>1621</v>
      </c>
      <c r="D729" t="s">
        <v>17</v>
      </c>
      <c r="E729" t="s">
        <v>1504</v>
      </c>
      <c r="F729" t="s">
        <v>1505</v>
      </c>
      <c r="H729" t="s">
        <v>2460</v>
      </c>
      <c r="I729">
        <v>4</v>
      </c>
      <c r="J729" t="s">
        <v>2235</v>
      </c>
      <c r="K729" t="s">
        <v>2488</v>
      </c>
      <c r="L729">
        <v>328</v>
      </c>
      <c r="N729" t="s">
        <v>2494</v>
      </c>
      <c r="O729">
        <v>2010</v>
      </c>
      <c r="P729">
        <v>2007</v>
      </c>
      <c r="Q729" s="1"/>
      <c r="R729" s="1">
        <v>43832</v>
      </c>
      <c r="S729" t="s">
        <v>16</v>
      </c>
    </row>
    <row r="730" spans="1:19" x14ac:dyDescent="0.25">
      <c r="A730">
        <v>729</v>
      </c>
      <c r="B730">
        <v>136251</v>
      </c>
      <c r="C730" t="s">
        <v>2876</v>
      </c>
      <c r="D730" t="s">
        <v>1622</v>
      </c>
      <c r="E730" t="s">
        <v>1427</v>
      </c>
      <c r="F730" t="s">
        <v>1428</v>
      </c>
      <c r="H730" t="str">
        <f>"9788055196787"</f>
        <v>9788055196787</v>
      </c>
      <c r="I730">
        <v>4</v>
      </c>
      <c r="J730" t="s">
        <v>1668</v>
      </c>
      <c r="K730" t="s">
        <v>57</v>
      </c>
      <c r="L730">
        <v>759</v>
      </c>
      <c r="N730" t="s">
        <v>2486</v>
      </c>
      <c r="O730">
        <v>2007</v>
      </c>
      <c r="P730">
        <v>2007</v>
      </c>
      <c r="Q730" s="1"/>
      <c r="R730" s="1">
        <v>43832</v>
      </c>
      <c r="S730" t="s">
        <v>16</v>
      </c>
    </row>
    <row r="731" spans="1:19" x14ac:dyDescent="0.25">
      <c r="A731">
        <v>730</v>
      </c>
      <c r="B731">
        <v>6483864</v>
      </c>
      <c r="C731" t="s">
        <v>1623</v>
      </c>
      <c r="D731" t="s">
        <v>17</v>
      </c>
      <c r="E731" t="s">
        <v>1619</v>
      </c>
      <c r="F731" t="s">
        <v>1620</v>
      </c>
      <c r="H731" t="s">
        <v>2461</v>
      </c>
      <c r="I731">
        <v>3</v>
      </c>
      <c r="J731" t="s">
        <v>1759</v>
      </c>
      <c r="K731" t="s">
        <v>2488</v>
      </c>
      <c r="L731">
        <v>200</v>
      </c>
      <c r="N731" t="s">
        <v>2494</v>
      </c>
      <c r="O731">
        <v>2007</v>
      </c>
      <c r="P731">
        <v>2007</v>
      </c>
      <c r="Q731" s="1"/>
      <c r="R731" s="1">
        <v>43832</v>
      </c>
      <c r="S731" t="s">
        <v>16</v>
      </c>
    </row>
    <row r="732" spans="1:19" x14ac:dyDescent="0.25">
      <c r="A732">
        <v>731</v>
      </c>
      <c r="B732">
        <v>10210</v>
      </c>
      <c r="C732" t="s">
        <v>1624</v>
      </c>
      <c r="D732" t="s">
        <v>17</v>
      </c>
      <c r="E732" t="s">
        <v>1625</v>
      </c>
      <c r="F732" t="s">
        <v>1626</v>
      </c>
      <c r="H732" t="s">
        <v>2462</v>
      </c>
      <c r="I732">
        <v>5</v>
      </c>
      <c r="J732" t="s">
        <v>2883</v>
      </c>
      <c r="K732" t="s">
        <v>2488</v>
      </c>
      <c r="L732">
        <v>532</v>
      </c>
      <c r="N732" t="s">
        <v>2494</v>
      </c>
      <c r="O732">
        <v>2003</v>
      </c>
      <c r="P732">
        <v>1847</v>
      </c>
      <c r="Q732" s="1"/>
      <c r="R732" s="1">
        <v>43832</v>
      </c>
      <c r="S732" t="s">
        <v>16</v>
      </c>
    </row>
    <row r="733" spans="1:19" x14ac:dyDescent="0.25">
      <c r="A733">
        <v>732</v>
      </c>
      <c r="B733">
        <v>6483857</v>
      </c>
      <c r="C733" t="s">
        <v>1627</v>
      </c>
      <c r="D733" t="s">
        <v>17</v>
      </c>
      <c r="E733" t="s">
        <v>1619</v>
      </c>
      <c r="F733" t="s">
        <v>1620</v>
      </c>
      <c r="H733" t="str">
        <f>"9788080850968"</f>
        <v>9788080850968</v>
      </c>
      <c r="I733">
        <v>3</v>
      </c>
      <c r="J733" t="s">
        <v>2463</v>
      </c>
      <c r="K733" t="s">
        <v>2488</v>
      </c>
      <c r="L733">
        <v>176</v>
      </c>
      <c r="N733" t="s">
        <v>2494</v>
      </c>
      <c r="O733">
        <v>2006</v>
      </c>
      <c r="P733">
        <v>2001</v>
      </c>
      <c r="Q733" s="1"/>
      <c r="R733" s="1">
        <v>43832</v>
      </c>
      <c r="S733" t="s">
        <v>16</v>
      </c>
    </row>
    <row r="734" spans="1:19" x14ac:dyDescent="0.25">
      <c r="A734">
        <v>733</v>
      </c>
      <c r="B734">
        <v>710826</v>
      </c>
      <c r="C734" t="s">
        <v>2884</v>
      </c>
      <c r="D734" t="s">
        <v>17</v>
      </c>
      <c r="E734" t="s">
        <v>1628</v>
      </c>
      <c r="F734" t="s">
        <v>1629</v>
      </c>
      <c r="H734" t="s">
        <v>2464</v>
      </c>
      <c r="I734">
        <v>3</v>
      </c>
      <c r="J734" t="s">
        <v>1668</v>
      </c>
      <c r="K734" t="s">
        <v>57</v>
      </c>
      <c r="L734">
        <v>432</v>
      </c>
      <c r="N734" t="s">
        <v>2494</v>
      </c>
      <c r="O734">
        <v>2004</v>
      </c>
      <c r="P734">
        <v>2004</v>
      </c>
      <c r="Q734" s="1"/>
      <c r="R734" s="1">
        <v>43832</v>
      </c>
      <c r="S734" t="s">
        <v>16</v>
      </c>
    </row>
    <row r="735" spans="1:19" x14ac:dyDescent="0.25">
      <c r="A735">
        <v>734</v>
      </c>
      <c r="B735">
        <v>6483874</v>
      </c>
      <c r="C735" t="s">
        <v>1630</v>
      </c>
      <c r="D735" t="s">
        <v>17</v>
      </c>
      <c r="E735" t="s">
        <v>1619</v>
      </c>
      <c r="F735" t="s">
        <v>1620</v>
      </c>
      <c r="H735" t="s">
        <v>2465</v>
      </c>
      <c r="I735">
        <v>4</v>
      </c>
      <c r="J735" t="s">
        <v>1759</v>
      </c>
      <c r="K735" t="s">
        <v>2488</v>
      </c>
      <c r="L735">
        <v>181</v>
      </c>
      <c r="N735" t="s">
        <v>2494</v>
      </c>
      <c r="O735">
        <v>2005</v>
      </c>
      <c r="P735">
        <v>2005</v>
      </c>
      <c r="Q735" s="1"/>
      <c r="R735" s="1">
        <v>43832</v>
      </c>
      <c r="S735" t="s">
        <v>16</v>
      </c>
    </row>
    <row r="736" spans="1:19" x14ac:dyDescent="0.25">
      <c r="A736">
        <v>735</v>
      </c>
      <c r="B736">
        <v>1</v>
      </c>
      <c r="C736" t="s">
        <v>2877</v>
      </c>
      <c r="D736" t="s">
        <v>1631</v>
      </c>
      <c r="E736" t="s">
        <v>1427</v>
      </c>
      <c r="F736" t="s">
        <v>1428</v>
      </c>
      <c r="H736" t="str">
        <f>"9788055194721"</f>
        <v>9788055194721</v>
      </c>
      <c r="I736">
        <v>5</v>
      </c>
      <c r="J736" t="s">
        <v>1668</v>
      </c>
      <c r="K736" t="s">
        <v>57</v>
      </c>
      <c r="L736">
        <v>652</v>
      </c>
      <c r="N736" t="s">
        <v>2486</v>
      </c>
      <c r="O736">
        <v>2006</v>
      </c>
      <c r="P736">
        <v>2005</v>
      </c>
      <c r="Q736" s="1"/>
      <c r="R736" s="1">
        <v>43832</v>
      </c>
      <c r="S736" t="s">
        <v>16</v>
      </c>
    </row>
    <row r="737" spans="1:19" x14ac:dyDescent="0.25">
      <c r="A737">
        <v>736</v>
      </c>
      <c r="B737">
        <v>301825</v>
      </c>
      <c r="C737" t="s">
        <v>2885</v>
      </c>
      <c r="D737" t="s">
        <v>17</v>
      </c>
      <c r="E737" t="s">
        <v>1632</v>
      </c>
      <c r="F737" t="s">
        <v>1633</v>
      </c>
      <c r="H737" t="s">
        <v>2466</v>
      </c>
      <c r="I737">
        <v>3</v>
      </c>
      <c r="J737" t="s">
        <v>1668</v>
      </c>
      <c r="K737" t="s">
        <v>2488</v>
      </c>
      <c r="L737">
        <v>442</v>
      </c>
      <c r="N737" t="s">
        <v>2494</v>
      </c>
      <c r="O737">
        <v>2004</v>
      </c>
      <c r="P737">
        <v>2003</v>
      </c>
      <c r="Q737" s="1"/>
      <c r="R737" s="1">
        <v>43832</v>
      </c>
      <c r="S737" t="s">
        <v>16</v>
      </c>
    </row>
    <row r="738" spans="1:19" x14ac:dyDescent="0.25">
      <c r="A738">
        <v>737</v>
      </c>
      <c r="B738">
        <v>6483861</v>
      </c>
      <c r="C738" t="s">
        <v>1634</v>
      </c>
      <c r="D738" t="s">
        <v>17</v>
      </c>
      <c r="E738" t="s">
        <v>1619</v>
      </c>
      <c r="F738" t="s">
        <v>1620</v>
      </c>
      <c r="H738" t="s">
        <v>2467</v>
      </c>
      <c r="I738">
        <v>2</v>
      </c>
      <c r="J738" t="s">
        <v>1759</v>
      </c>
      <c r="K738" t="s">
        <v>2488</v>
      </c>
      <c r="L738">
        <v>184</v>
      </c>
      <c r="N738" t="s">
        <v>2494</v>
      </c>
      <c r="O738">
        <v>2004</v>
      </c>
      <c r="P738">
        <v>2004</v>
      </c>
      <c r="Q738" s="1"/>
      <c r="R738" s="1">
        <v>43832</v>
      </c>
      <c r="S738" t="s">
        <v>16</v>
      </c>
    </row>
    <row r="739" spans="1:19" x14ac:dyDescent="0.25">
      <c r="A739">
        <v>738</v>
      </c>
      <c r="B739">
        <v>2</v>
      </c>
      <c r="C739" t="s">
        <v>2878</v>
      </c>
      <c r="D739" t="s">
        <v>1635</v>
      </c>
      <c r="E739" t="s">
        <v>1427</v>
      </c>
      <c r="F739" t="s">
        <v>1428</v>
      </c>
      <c r="H739" t="s">
        <v>2468</v>
      </c>
      <c r="I739">
        <v>5</v>
      </c>
      <c r="J739" t="s">
        <v>1668</v>
      </c>
      <c r="K739" t="s">
        <v>2488</v>
      </c>
      <c r="L739">
        <v>576</v>
      </c>
      <c r="N739" t="s">
        <v>2494</v>
      </c>
      <c r="O739">
        <v>2004</v>
      </c>
      <c r="P739">
        <v>2003</v>
      </c>
      <c r="Q739" s="1"/>
      <c r="R739" s="1">
        <v>43832</v>
      </c>
      <c r="S739" t="s">
        <v>16</v>
      </c>
    </row>
    <row r="740" spans="1:19" x14ac:dyDescent="0.25">
      <c r="A740">
        <v>739</v>
      </c>
      <c r="B740">
        <v>10053116</v>
      </c>
      <c r="C740" t="s">
        <v>1636</v>
      </c>
      <c r="D740" t="s">
        <v>17</v>
      </c>
      <c r="E740" t="s">
        <v>1637</v>
      </c>
      <c r="F740" t="s">
        <v>1638</v>
      </c>
      <c r="H740" t="s">
        <v>2469</v>
      </c>
      <c r="I740">
        <v>5</v>
      </c>
      <c r="J740" t="s">
        <v>2470</v>
      </c>
      <c r="K740" t="s">
        <v>2488</v>
      </c>
      <c r="L740">
        <v>304</v>
      </c>
      <c r="N740" t="s">
        <v>2494</v>
      </c>
      <c r="O740">
        <v>2003</v>
      </c>
      <c r="P740">
        <v>1927</v>
      </c>
      <c r="Q740" s="1"/>
      <c r="R740" s="1">
        <v>43832</v>
      </c>
      <c r="S740" t="s">
        <v>16</v>
      </c>
    </row>
    <row r="741" spans="1:19" x14ac:dyDescent="0.25">
      <c r="A741">
        <v>740</v>
      </c>
      <c r="B741">
        <v>34468732</v>
      </c>
      <c r="C741" t="s">
        <v>1639</v>
      </c>
      <c r="D741" t="s">
        <v>17</v>
      </c>
      <c r="E741" t="s">
        <v>1628</v>
      </c>
      <c r="F741" t="s">
        <v>1629</v>
      </c>
      <c r="H741" t="str">
        <f>"9788055103617"</f>
        <v>9788055103617</v>
      </c>
      <c r="I741">
        <v>3</v>
      </c>
      <c r="J741" t="s">
        <v>1668</v>
      </c>
      <c r="K741" t="s">
        <v>2488</v>
      </c>
      <c r="L741">
        <v>200</v>
      </c>
      <c r="N741" t="s">
        <v>2494</v>
      </c>
      <c r="O741">
        <v>2002</v>
      </c>
      <c r="P741">
        <v>1983</v>
      </c>
      <c r="Q741" s="1"/>
      <c r="R741" s="1">
        <v>43832</v>
      </c>
      <c r="S741" t="s">
        <v>16</v>
      </c>
    </row>
    <row r="742" spans="1:19" x14ac:dyDescent="0.25">
      <c r="A742">
        <v>741</v>
      </c>
      <c r="B742">
        <v>16042549</v>
      </c>
      <c r="C742" t="s">
        <v>2886</v>
      </c>
      <c r="D742" t="s">
        <v>17</v>
      </c>
      <c r="E742" t="s">
        <v>1640</v>
      </c>
      <c r="F742" t="s">
        <v>1641</v>
      </c>
      <c r="H742" t="str">
        <f>"9788055198781"</f>
        <v>9788055198781</v>
      </c>
      <c r="I742">
        <v>2</v>
      </c>
      <c r="J742" t="s">
        <v>1668</v>
      </c>
      <c r="K742" t="s">
        <v>2488</v>
      </c>
      <c r="L742">
        <v>176</v>
      </c>
      <c r="N742" t="s">
        <v>2494</v>
      </c>
      <c r="O742">
        <v>2014</v>
      </c>
      <c r="P742">
        <v>1952</v>
      </c>
      <c r="Q742" s="1"/>
      <c r="R742" s="1">
        <v>43832</v>
      </c>
      <c r="S742" t="s">
        <v>16</v>
      </c>
    </row>
    <row r="743" spans="1:19" x14ac:dyDescent="0.25">
      <c r="A743">
        <v>742</v>
      </c>
      <c r="B743">
        <v>976</v>
      </c>
      <c r="C743" t="s">
        <v>2862</v>
      </c>
      <c r="D743" t="s">
        <v>17</v>
      </c>
      <c r="E743" t="s">
        <v>125</v>
      </c>
      <c r="F743" t="s">
        <v>126</v>
      </c>
      <c r="H743" t="s">
        <v>2471</v>
      </c>
      <c r="I743">
        <v>5</v>
      </c>
      <c r="J743" t="s">
        <v>1668</v>
      </c>
      <c r="K743" t="s">
        <v>2488</v>
      </c>
      <c r="L743">
        <v>556</v>
      </c>
      <c r="N743" t="s">
        <v>2494</v>
      </c>
      <c r="O743">
        <v>2002</v>
      </c>
      <c r="P743">
        <v>2001</v>
      </c>
      <c r="Q743" s="1"/>
      <c r="R743" s="1">
        <v>43831</v>
      </c>
      <c r="S743" t="s">
        <v>16</v>
      </c>
    </row>
    <row r="744" spans="1:19" x14ac:dyDescent="0.25">
      <c r="A744">
        <v>743</v>
      </c>
      <c r="B744">
        <v>11125</v>
      </c>
      <c r="C744" t="s">
        <v>2863</v>
      </c>
      <c r="D744" t="s">
        <v>17</v>
      </c>
      <c r="E744" t="s">
        <v>125</v>
      </c>
      <c r="F744" t="s">
        <v>126</v>
      </c>
      <c r="H744" t="str">
        <f>"9788055143156"</f>
        <v>9788055143156</v>
      </c>
      <c r="I744">
        <v>5</v>
      </c>
      <c r="J744" t="s">
        <v>1668</v>
      </c>
      <c r="K744" t="s">
        <v>2488</v>
      </c>
      <c r="L744">
        <v>510</v>
      </c>
      <c r="N744" t="s">
        <v>2494</v>
      </c>
      <c r="O744">
        <v>2004</v>
      </c>
      <c r="P744">
        <v>1998</v>
      </c>
      <c r="Q744" s="1"/>
      <c r="R744" s="1">
        <v>43831</v>
      </c>
      <c r="S744" t="s">
        <v>16</v>
      </c>
    </row>
    <row r="745" spans="1:19" x14ac:dyDescent="0.25">
      <c r="A745">
        <v>744</v>
      </c>
      <c r="B745">
        <v>17212231</v>
      </c>
      <c r="C745" t="s">
        <v>1642</v>
      </c>
      <c r="D745" t="s">
        <v>1643</v>
      </c>
      <c r="E745" t="s">
        <v>125</v>
      </c>
      <c r="F745" t="s">
        <v>126</v>
      </c>
      <c r="H745" t="s">
        <v>2472</v>
      </c>
      <c r="I745">
        <v>5</v>
      </c>
      <c r="J745" t="s">
        <v>1668</v>
      </c>
      <c r="K745" t="s">
        <v>2488</v>
      </c>
      <c r="L745">
        <v>463</v>
      </c>
      <c r="N745" t="s">
        <v>2494</v>
      </c>
      <c r="O745">
        <v>2013</v>
      </c>
      <c r="P745">
        <v>2013</v>
      </c>
      <c r="Q745" s="1"/>
      <c r="R745" s="1">
        <v>43831</v>
      </c>
      <c r="S745" t="s">
        <v>16</v>
      </c>
    </row>
    <row r="746" spans="1:19" x14ac:dyDescent="0.25">
      <c r="A746">
        <v>745</v>
      </c>
      <c r="B746">
        <v>968</v>
      </c>
      <c r="C746" t="s">
        <v>2864</v>
      </c>
      <c r="D746" t="s">
        <v>1644</v>
      </c>
      <c r="E746" t="s">
        <v>125</v>
      </c>
      <c r="F746" t="s">
        <v>126</v>
      </c>
      <c r="H746" t="str">
        <f>"9788055135274"</f>
        <v>9788055135274</v>
      </c>
      <c r="I746">
        <v>5</v>
      </c>
      <c r="J746" t="s">
        <v>1668</v>
      </c>
      <c r="K746" t="s">
        <v>2488</v>
      </c>
      <c r="L746">
        <v>489</v>
      </c>
      <c r="N746" t="s">
        <v>2494</v>
      </c>
      <c r="O746">
        <v>2006</v>
      </c>
      <c r="P746">
        <v>2003</v>
      </c>
      <c r="Q746" s="1"/>
      <c r="R746" s="1">
        <v>43831</v>
      </c>
      <c r="S746" t="s">
        <v>16</v>
      </c>
    </row>
    <row r="747" spans="1:19" x14ac:dyDescent="0.25">
      <c r="A747">
        <v>746</v>
      </c>
      <c r="B747">
        <v>40961427</v>
      </c>
      <c r="C747" t="s">
        <v>1645</v>
      </c>
      <c r="D747" t="s">
        <v>17</v>
      </c>
      <c r="E747" t="s">
        <v>1646</v>
      </c>
      <c r="F747" t="s">
        <v>1647</v>
      </c>
      <c r="H747" t="str">
        <f>"9788055193151"</f>
        <v>9788055193151</v>
      </c>
      <c r="I747">
        <v>5</v>
      </c>
      <c r="J747" t="s">
        <v>1668</v>
      </c>
      <c r="K747" t="s">
        <v>57</v>
      </c>
      <c r="L747">
        <v>298</v>
      </c>
      <c r="N747" t="s">
        <v>2494</v>
      </c>
      <c r="O747">
        <v>2013</v>
      </c>
      <c r="P747">
        <v>1948</v>
      </c>
      <c r="Q747" s="1"/>
      <c r="R747" s="1">
        <v>43831</v>
      </c>
      <c r="S747" t="s">
        <v>16</v>
      </c>
    </row>
    <row r="748" spans="1:19" x14ac:dyDescent="0.25">
      <c r="A748">
        <v>747</v>
      </c>
      <c r="B748">
        <v>6186357</v>
      </c>
      <c r="C748" t="s">
        <v>2887</v>
      </c>
      <c r="D748" t="s">
        <v>1648</v>
      </c>
      <c r="E748" t="s">
        <v>1455</v>
      </c>
      <c r="F748" t="s">
        <v>1456</v>
      </c>
      <c r="H748" t="s">
        <v>2473</v>
      </c>
      <c r="I748">
        <v>4</v>
      </c>
      <c r="J748" t="s">
        <v>1668</v>
      </c>
      <c r="K748" t="s">
        <v>57</v>
      </c>
      <c r="L748">
        <v>384</v>
      </c>
      <c r="N748" t="s">
        <v>2486</v>
      </c>
      <c r="O748">
        <v>2009</v>
      </c>
      <c r="P748">
        <v>2009</v>
      </c>
      <c r="Q748" s="1"/>
      <c r="R748" s="1">
        <v>43831</v>
      </c>
      <c r="S748" t="s">
        <v>16</v>
      </c>
    </row>
    <row r="749" spans="1:19" x14ac:dyDescent="0.25">
      <c r="A749">
        <v>748</v>
      </c>
      <c r="B749">
        <v>6466909</v>
      </c>
      <c r="C749" t="s">
        <v>2866</v>
      </c>
      <c r="D749" t="s">
        <v>1603</v>
      </c>
      <c r="E749" t="s">
        <v>1649</v>
      </c>
      <c r="F749" t="s">
        <v>1650</v>
      </c>
      <c r="H749" t="s">
        <v>2474</v>
      </c>
      <c r="I749">
        <v>3</v>
      </c>
      <c r="J749" t="s">
        <v>1723</v>
      </c>
      <c r="K749" t="s">
        <v>57</v>
      </c>
      <c r="L749">
        <v>144</v>
      </c>
      <c r="N749" t="s">
        <v>2486</v>
      </c>
      <c r="O749">
        <v>2009</v>
      </c>
      <c r="P749">
        <v>2009</v>
      </c>
      <c r="Q749" s="1"/>
      <c r="R749" s="1">
        <v>43831</v>
      </c>
      <c r="S749" t="s">
        <v>16</v>
      </c>
    </row>
    <row r="750" spans="1:19" x14ac:dyDescent="0.25">
      <c r="A750">
        <v>749</v>
      </c>
      <c r="B750">
        <v>10818853</v>
      </c>
      <c r="C750" t="s">
        <v>2829</v>
      </c>
      <c r="D750" t="s">
        <v>1651</v>
      </c>
      <c r="E750" t="s">
        <v>1520</v>
      </c>
      <c r="F750" t="s">
        <v>1521</v>
      </c>
      <c r="H750" t="s">
        <v>2475</v>
      </c>
      <c r="I750">
        <v>2</v>
      </c>
      <c r="J750" t="s">
        <v>2198</v>
      </c>
      <c r="K750" t="s">
        <v>57</v>
      </c>
      <c r="L750">
        <v>356</v>
      </c>
      <c r="N750" t="s">
        <v>2486</v>
      </c>
      <c r="O750">
        <v>2012</v>
      </c>
      <c r="P750">
        <v>2011</v>
      </c>
      <c r="Q750" s="1"/>
      <c r="R750" s="1">
        <v>43831</v>
      </c>
      <c r="S750" t="s">
        <v>16</v>
      </c>
    </row>
    <row r="751" spans="1:19" x14ac:dyDescent="0.25">
      <c r="A751">
        <v>750</v>
      </c>
      <c r="B751">
        <v>113436</v>
      </c>
      <c r="C751" t="s">
        <v>1652</v>
      </c>
      <c r="D751" t="s">
        <v>1653</v>
      </c>
      <c r="E751" t="s">
        <v>269</v>
      </c>
      <c r="F751" t="s">
        <v>270</v>
      </c>
      <c r="H751" t="s">
        <v>2476</v>
      </c>
      <c r="I751">
        <v>4</v>
      </c>
      <c r="J751" t="s">
        <v>1762</v>
      </c>
      <c r="K751" t="s">
        <v>2488</v>
      </c>
      <c r="L751">
        <v>503</v>
      </c>
      <c r="N751" t="s">
        <v>2494</v>
      </c>
      <c r="O751">
        <v>2005</v>
      </c>
      <c r="P751">
        <v>2002</v>
      </c>
      <c r="Q751" s="1"/>
      <c r="R751" s="1">
        <v>43831</v>
      </c>
      <c r="S751" t="s">
        <v>16</v>
      </c>
    </row>
    <row r="752" spans="1:19" x14ac:dyDescent="0.25">
      <c r="A752">
        <v>751</v>
      </c>
      <c r="B752">
        <v>6</v>
      </c>
      <c r="C752" t="s">
        <v>2879</v>
      </c>
      <c r="D752" t="s">
        <v>1654</v>
      </c>
      <c r="E752" t="s">
        <v>1427</v>
      </c>
      <c r="F752" t="s">
        <v>1428</v>
      </c>
      <c r="H752" t="s">
        <v>2477</v>
      </c>
      <c r="I752">
        <v>5</v>
      </c>
      <c r="J752" t="s">
        <v>1668</v>
      </c>
      <c r="K752" t="s">
        <v>2488</v>
      </c>
      <c r="L752">
        <v>734</v>
      </c>
      <c r="N752" t="s">
        <v>2494</v>
      </c>
      <c r="O752">
        <v>2002</v>
      </c>
      <c r="P752">
        <v>2000</v>
      </c>
      <c r="Q752" s="1"/>
      <c r="R752" s="1">
        <v>43831</v>
      </c>
      <c r="S752" t="s">
        <v>16</v>
      </c>
    </row>
    <row r="753" spans="1:19" x14ac:dyDescent="0.25">
      <c r="A753">
        <v>752</v>
      </c>
      <c r="B753">
        <v>5</v>
      </c>
      <c r="C753" t="s">
        <v>2880</v>
      </c>
      <c r="D753" t="s">
        <v>1655</v>
      </c>
      <c r="E753" t="s">
        <v>1427</v>
      </c>
      <c r="F753" t="s">
        <v>1428</v>
      </c>
      <c r="H753" t="s">
        <v>2478</v>
      </c>
      <c r="I753">
        <v>5</v>
      </c>
      <c r="J753" t="s">
        <v>1668</v>
      </c>
      <c r="K753" t="s">
        <v>2488</v>
      </c>
      <c r="L753">
        <v>547</v>
      </c>
      <c r="N753" t="s">
        <v>2494</v>
      </c>
      <c r="O753">
        <v>2004</v>
      </c>
      <c r="P753">
        <v>1999</v>
      </c>
      <c r="Q753" s="1"/>
      <c r="R753" s="1">
        <v>43831</v>
      </c>
      <c r="S753" t="s">
        <v>16</v>
      </c>
    </row>
    <row r="754" spans="1:19" x14ac:dyDescent="0.25">
      <c r="A754">
        <v>753</v>
      </c>
      <c r="B754">
        <v>15881</v>
      </c>
      <c r="C754" t="s">
        <v>2881</v>
      </c>
      <c r="D754" t="s">
        <v>1656</v>
      </c>
      <c r="E754" t="s">
        <v>1427</v>
      </c>
      <c r="F754" t="s">
        <v>1428</v>
      </c>
      <c r="H754" t="str">
        <f>"9788055196732"</f>
        <v>9788055196732</v>
      </c>
      <c r="I754">
        <v>5</v>
      </c>
      <c r="J754" t="s">
        <v>1668</v>
      </c>
      <c r="K754" t="s">
        <v>2488</v>
      </c>
      <c r="L754">
        <v>352</v>
      </c>
      <c r="N754" t="s">
        <v>2494</v>
      </c>
      <c r="O754">
        <v>1999</v>
      </c>
      <c r="P754">
        <v>1998</v>
      </c>
      <c r="Q754" s="1"/>
      <c r="R754" s="1">
        <v>43831</v>
      </c>
      <c r="S754" t="s">
        <v>16</v>
      </c>
    </row>
    <row r="755" spans="1:19" x14ac:dyDescent="0.25">
      <c r="A755">
        <v>754</v>
      </c>
      <c r="B755">
        <v>960</v>
      </c>
      <c r="C755" t="s">
        <v>2865</v>
      </c>
      <c r="D755" t="s">
        <v>1657</v>
      </c>
      <c r="E755" t="s">
        <v>125</v>
      </c>
      <c r="F755" t="s">
        <v>126</v>
      </c>
      <c r="H755" t="s">
        <v>2479</v>
      </c>
      <c r="I755">
        <v>5</v>
      </c>
      <c r="J755" t="s">
        <v>1668</v>
      </c>
      <c r="K755" t="s">
        <v>2488</v>
      </c>
      <c r="L755">
        <v>736</v>
      </c>
      <c r="N755" t="s">
        <v>2494</v>
      </c>
      <c r="O755">
        <v>2006</v>
      </c>
      <c r="P755">
        <v>2000</v>
      </c>
      <c r="Q755" s="1"/>
      <c r="R755" s="1">
        <v>43831</v>
      </c>
      <c r="S755" t="s">
        <v>16</v>
      </c>
    </row>
    <row r="756" spans="1:19" x14ac:dyDescent="0.25">
      <c r="A756">
        <v>755</v>
      </c>
      <c r="B756">
        <v>41865</v>
      </c>
      <c r="C756" t="s">
        <v>2867</v>
      </c>
      <c r="D756" t="s">
        <v>1658</v>
      </c>
      <c r="E756" t="s">
        <v>1601</v>
      </c>
      <c r="F756" t="s">
        <v>1602</v>
      </c>
      <c r="H756" t="s">
        <v>2480</v>
      </c>
      <c r="I756">
        <v>4</v>
      </c>
      <c r="J756" t="s">
        <v>1723</v>
      </c>
      <c r="K756" t="s">
        <v>57</v>
      </c>
      <c r="L756">
        <v>498</v>
      </c>
      <c r="N756" t="s">
        <v>2486</v>
      </c>
      <c r="O756">
        <v>2006</v>
      </c>
      <c r="P756">
        <v>2005</v>
      </c>
      <c r="Q756" s="1"/>
      <c r="R756" s="1">
        <v>43831</v>
      </c>
      <c r="S756" t="s">
        <v>16</v>
      </c>
    </row>
    <row r="757" spans="1:19" x14ac:dyDescent="0.25">
      <c r="A757">
        <v>756</v>
      </c>
      <c r="B757">
        <v>13335037</v>
      </c>
      <c r="C757" t="s">
        <v>2810</v>
      </c>
      <c r="D757" t="s">
        <v>1659</v>
      </c>
      <c r="E757" t="s">
        <v>813</v>
      </c>
      <c r="F757" t="s">
        <v>814</v>
      </c>
      <c r="H757" t="s">
        <v>2481</v>
      </c>
      <c r="I757">
        <v>5</v>
      </c>
      <c r="J757" t="s">
        <v>1668</v>
      </c>
      <c r="K757" t="s">
        <v>57</v>
      </c>
      <c r="L757">
        <v>487</v>
      </c>
      <c r="N757" t="s">
        <v>2494</v>
      </c>
      <c r="O757">
        <v>2012</v>
      </c>
      <c r="P757">
        <v>2011</v>
      </c>
      <c r="Q757" s="1"/>
      <c r="R757" s="1">
        <v>43831</v>
      </c>
      <c r="S757" t="s">
        <v>16</v>
      </c>
    </row>
    <row r="758" spans="1:19" x14ac:dyDescent="0.25">
      <c r="A758">
        <v>757</v>
      </c>
      <c r="B758">
        <v>2767052</v>
      </c>
      <c r="C758" t="s">
        <v>2840</v>
      </c>
      <c r="D758" t="s">
        <v>1660</v>
      </c>
      <c r="E758" t="s">
        <v>668</v>
      </c>
      <c r="F758" t="s">
        <v>669</v>
      </c>
      <c r="H758" t="s">
        <v>2482</v>
      </c>
      <c r="I758">
        <v>5</v>
      </c>
      <c r="J758" t="s">
        <v>2838</v>
      </c>
      <c r="K758" t="s">
        <v>57</v>
      </c>
      <c r="L758">
        <v>374</v>
      </c>
      <c r="N758" t="s">
        <v>2486</v>
      </c>
      <c r="O758">
        <v>2008</v>
      </c>
      <c r="P758">
        <v>2008</v>
      </c>
      <c r="Q758" s="1"/>
      <c r="R758" s="1">
        <v>43831</v>
      </c>
      <c r="S758" t="s">
        <v>16</v>
      </c>
    </row>
    <row r="759" spans="1:19" x14ac:dyDescent="0.25">
      <c r="A759">
        <v>758</v>
      </c>
      <c r="B759">
        <v>3</v>
      </c>
      <c r="C759" t="s">
        <v>2882</v>
      </c>
      <c r="D759" t="s">
        <v>1661</v>
      </c>
      <c r="E759" t="s">
        <v>1427</v>
      </c>
      <c r="F759" t="s">
        <v>1428</v>
      </c>
      <c r="H759" t="s">
        <v>2483</v>
      </c>
      <c r="I759">
        <v>5</v>
      </c>
      <c r="J759" t="s">
        <v>1668</v>
      </c>
      <c r="K759" t="s">
        <v>2488</v>
      </c>
      <c r="L759">
        <v>309</v>
      </c>
      <c r="N759" t="s">
        <v>2494</v>
      </c>
      <c r="O759">
        <v>2003</v>
      </c>
      <c r="P759">
        <v>1997</v>
      </c>
      <c r="Q759" s="1"/>
      <c r="R759" s="1">
        <v>43831</v>
      </c>
      <c r="S759" t="s">
        <v>16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FEFFE-D87D-4CA5-9756-C8133FD05A2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C7B276-5F77-43CB-89E3-CB8282E2BC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FaktBooks</vt:lpstr>
      <vt:lpstr>DimBookMetadata</vt:lpstr>
      <vt:lpstr>Goodreads_genres2</vt:lpstr>
      <vt:lpstr>Goodreads_analysis</vt:lpstr>
      <vt:lpstr>goodreads_library_export_7 6 20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Lenka Luksajova</dc:creator>
  <cp:lastModifiedBy>Lenka Luksajova</cp:lastModifiedBy>
  <dcterms:created xsi:type="dcterms:W3CDTF">2026-07-06T14:19:04Z</dcterms:created>
  <dcterms:modified xsi:type="dcterms:W3CDTF">2026-07-19T09:37:19Z</dcterms:modified>
</cp:coreProperties>
</file>